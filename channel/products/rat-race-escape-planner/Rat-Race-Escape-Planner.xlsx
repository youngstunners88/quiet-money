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1 Your numbers" sheetId="2" state="visible" r:id="rId4"/>
    <sheet name="2 Income streams" sheetId="3" state="visible" r:id="rId5"/>
    <sheet name="3 Rule of 100" sheetId="4" state="visible" r:id="rId6"/>
    <sheet name="4 Projection" sheetId="5" state="visible" r:id="rId7"/>
    <sheet name="5 Weekly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<sst xmlns="http://schemas.openxmlformats.org/spreadsheetml/2006/main" count="110" uniqueCount="104">
  <si>
    <t xml:space="preserve">Rat Race Escape Planner</t>
  </si>
  <si>
    <t xml:space="preserve">Know your freedom number. Track every income stream. Execute for 100 days.</t>
  </si>
  <si>
    <t xml:space="preserve">1. Open '1 Your numbers' and replace the blue cells with your own. Gray cells are formulas: leave them alone.</t>
  </si>
  <si>
    <t xml:space="preserve">2. Read your freedom number and your years to freedom. Then change one input at a time and watch what moves.</t>
  </si>
  <si>
    <t xml:space="preserve">3. List every income stream in '2 Income streams'. The goal is passive and asset income, not more hours.</t>
  </si>
  <si>
    <t xml:space="preserve">4. Run '3 Rule of 100' with your real offer, then log every week in '5 Weekly log'. Execution beats education.</t>
  </si>
  <si>
    <t xml:space="preserve">5. '4 Projection' shows the whole road, year by year, in today's dollars.</t>
  </si>
  <si>
    <t xml:space="preserve">Colors</t>
  </si>
  <si>
    <t xml:space="preserve">Blue = you type here</t>
  </si>
  <si>
    <t xml:space="preserve">Gray = formula</t>
  </si>
  <si>
    <t xml:space="preserve">How the math works</t>
  </si>
  <si>
    <t xml:space="preserve">Freedom number = yearly spending / safe withdrawal rate (the 4% rule is a rule of thumb, not a guarantee).</t>
  </si>
  <si>
    <t xml:space="preserve">Everything is in today's dollars: the real return is (1 + return) / (1 + inflation) - 1.</t>
  </si>
  <si>
    <t xml:space="preserve">Years to freedom uses the same NPER/FV functions your bank's calculators use, month by month.</t>
  </si>
  <si>
    <t xml:space="preserve">Educational tool, not financial advice. Results depend entirely on the assumptions you enter; returns are never guaranteed. Designed by Quiet Money with AI assistance; every formula was recalculated and checked against independent math.</t>
  </si>
  <si>
    <t xml:space="preserve">License: personal use for you and your household. Please do not resell or redistribute the file.</t>
  </si>
  <si>
    <t xml:space="preserve">1 Your numbers</t>
  </si>
  <si>
    <t xml:space="preserve">Replace the blue cells. Example numbers shown.</t>
  </si>
  <si>
    <t xml:space="preserve">Input</t>
  </si>
  <si>
    <t xml:space="preserve">Value</t>
  </si>
  <si>
    <t xml:space="preserve">Note</t>
  </si>
  <si>
    <t xml:space="preserve">Your age</t>
  </si>
  <si>
    <t xml:space="preserve">Monthly spending you need (today's dollars)</t>
  </si>
  <si>
    <t xml:space="preserve">What 'enough' costs you each month</t>
  </si>
  <si>
    <t xml:space="preserve">Monthly take-home income</t>
  </si>
  <si>
    <t xml:space="preserve">Invested today</t>
  </si>
  <si>
    <t xml:space="preserve">Savings and investments you could live off</t>
  </si>
  <si>
    <t xml:space="preserve">Amount you invest each month</t>
  </si>
  <si>
    <t xml:space="preserve">Expected yearly return (assumption)</t>
  </si>
  <si>
    <t xml:space="preserve">Not a promise; try 4%, 7%, 10%</t>
  </si>
  <si>
    <t xml:space="preserve">Expected yearly inflation (assumption)</t>
  </si>
  <si>
    <t xml:space="preserve">Safe yearly withdrawal rate</t>
  </si>
  <si>
    <t xml:space="preserve">4% is a common rule of thumb</t>
  </si>
  <si>
    <t xml:space="preserve">Extra you could invest each month</t>
  </si>
  <si>
    <t xml:space="preserve">For the 'what if' line below</t>
  </si>
  <si>
    <t xml:space="preserve">Your results</t>
  </si>
  <si>
    <t xml:space="preserve">What it means</t>
  </si>
  <si>
    <t xml:space="preserve">Freedom number</t>
  </si>
  <si>
    <t xml:space="preserve">The invested amount that covers your spending for good</t>
  </si>
  <si>
    <t xml:space="preserve">Real yearly return</t>
  </si>
  <si>
    <t xml:space="preserve">Return after inflation: keeps everything in today's dollars</t>
  </si>
  <si>
    <t xml:space="preserve">Savings rate</t>
  </si>
  <si>
    <t xml:space="preserve">Share of take-home income you invest</t>
  </si>
  <si>
    <t xml:space="preserve">Months to freedom</t>
  </si>
  <si>
    <t xml:space="preserve">Years to freedom</t>
  </si>
  <si>
    <t xml:space="preserve">Your freedom age</t>
  </si>
  <si>
    <t xml:space="preserve">Passive income your money makes today</t>
  </si>
  <si>
    <t xml:space="preserve">Per month, at your withdrawal rate</t>
  </si>
  <si>
    <t xml:space="preserve">Share of your spending already covered</t>
  </si>
  <si>
    <t xml:space="preserve">Years to freedom with the extra monthly amount</t>
  </si>
  <si>
    <t xml:space="preserve">Years the extra amount saves you</t>
  </si>
  <si>
    <t xml:space="preserve">Small, boring, automatic. That is the whole trick.</t>
  </si>
  <si>
    <t xml:space="preserve">2 Income streams</t>
  </si>
  <si>
    <t xml:space="preserve">Active trades hours for money. Passive runs without you. Asset is something you own that pays.</t>
  </si>
  <si>
    <t xml:space="preserve">Stream</t>
  </si>
  <si>
    <t xml:space="preserve">Type</t>
  </si>
  <si>
    <t xml:space="preserve">Per month</t>
  </si>
  <si>
    <t xml:space="preserve">Hours per week</t>
  </si>
  <si>
    <t xml:space="preserve">$ per hour</t>
  </si>
  <si>
    <t xml:space="preserve">What it is</t>
  </si>
  <si>
    <t xml:space="preserve">Day job (example: replace)</t>
  </si>
  <si>
    <t xml:space="preserve">Active</t>
  </si>
  <si>
    <t xml:space="preserve">Side project (example)</t>
  </si>
  <si>
    <t xml:space="preserve">Index fund dividends (example)</t>
  </si>
  <si>
    <t xml:space="preserve">Asset</t>
  </si>
  <si>
    <t xml:space="preserve">Digital product sales (example)</t>
  </si>
  <si>
    <t xml:space="preserve">Passive</t>
  </si>
  <si>
    <t xml:space="preserve">Total per month</t>
  </si>
  <si>
    <t xml:space="preserve">Passive + asset income per month</t>
  </si>
  <si>
    <t xml:space="preserve">Passive + asset share of your spending</t>
  </si>
  <si>
    <t xml:space="preserve">Hours you trade each week</t>
  </si>
  <si>
    <t xml:space="preserve">The escape is the day C19 reaches 100%: your spending is paid by money that works while you do not.</t>
  </si>
  <si>
    <t xml:space="preserve">3 Rule of 100</t>
  </si>
  <si>
    <t xml:space="preserve">Volume beats talent. 100 outreaches a day for 100 days is 10,000 shots at a customer.</t>
  </si>
  <si>
    <t xml:space="preserve">Outreaches per day</t>
  </si>
  <si>
    <t xml:space="preserve">Days</t>
  </si>
  <si>
    <t xml:space="preserve">Yes-rate (a guess until you test it)</t>
  </si>
  <si>
    <t xml:space="preserve">Average sale per customer</t>
  </si>
  <si>
    <t xml:space="preserve">Total outreaches</t>
  </si>
  <si>
    <t xml:space="preserve">Customers</t>
  </si>
  <si>
    <t xml:space="preserve">Revenue</t>
  </si>
  <si>
    <t xml:space="preserve">If your yes-rate is</t>
  </si>
  <si>
    <t xml:space="preserve">Hypothetical. Your real yes-rate and sale size are unknown until you make the calls: log them in '5 Weekly log' and replace the guesses.</t>
  </si>
  <si>
    <t xml:space="preserve">4 Projection</t>
  </si>
  <si>
    <t xml:space="preserve">Year by year, in today's dollars, from your numbers. Highlighted when your money covers your spending.</t>
  </si>
  <si>
    <t xml:space="preserve">Year</t>
  </si>
  <si>
    <t xml:space="preserve">Age</t>
  </si>
  <si>
    <t xml:space="preserve">Invested</t>
  </si>
  <si>
    <t xml:space="preserve">Passive income / month</t>
  </si>
  <si>
    <t xml:space="preserve">Spending covered</t>
  </si>
  <si>
    <t xml:space="preserve">5 Weekly log</t>
  </si>
  <si>
    <t xml:space="preserve">Thirteen weeks is about 100 days. Fill in what happened, not what you hoped for.</t>
  </si>
  <si>
    <t xml:space="preserve">Week</t>
  </si>
  <si>
    <t xml:space="preserve">Outreaches</t>
  </si>
  <si>
    <t xml:space="preserve">Replies</t>
  </si>
  <si>
    <t xml:space="preserve">Sales</t>
  </si>
  <si>
    <t xml:space="preserve">Hours worked</t>
  </si>
  <si>
    <t xml:space="preserve">What I learned</t>
  </si>
  <si>
    <t xml:space="preserve">Totals</t>
  </si>
  <si>
    <t xml:space="preserve">Reply rate</t>
  </si>
  <si>
    <t xml:space="preserve">Close rate (sales per reply)</t>
  </si>
  <si>
    <t xml:space="preserve">Yes-rate (sales per outreach)</t>
  </si>
  <si>
    <t xml:space="preserve">Revenue per hour</t>
  </si>
  <si>
    <t xml:space="preserve">Copy your real yes-rate into '3 Rule of 100' and watch the forecast become honest.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</si>
</sst>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$#,##0"/>
    <numFmt numFmtId="167" formatCode="0.0%"/>
    <numFmt numFmtId="168" formatCode="0.00%"/>
    <numFmt numFmtId="169" formatCode="0%"/>
    <numFmt numFmtId="170" formatCode="#,##0"/>
    <numFmt numFmtId="171" formatCode="0.0"/>
    <numFmt numFmtId="172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D23F"/>
      <name val="Calibri"/>
      <family val="0"/>
      <charset val="1"/>
    </font>
    <font>
      <i val="true"/>
      <sz val="11"/>
      <color rgb="FFF5F1E6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1F4E9E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8A8678"/>
      <name val="Calibri"/>
      <family val="0"/>
      <charset val="1"/>
    </font>
    <font>
      <b val="true"/>
      <sz val="11"/>
      <color rgb="FFFFD23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E0E10"/>
        <bgColor rgb="FF000000"/>
      </patternFill>
    </fill>
    <fill>
      <patternFill patternType="solid">
        <fgColor rgb="FFDCEBFF"/>
        <bgColor rgb="FFEFEFEF"/>
      </patternFill>
    </fill>
    <fill>
      <patternFill patternType="solid">
        <fgColor rgb="FFEFEFEF"/>
        <bgColor rgb="FFF5F1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DEFD3"/>
        </patternFill>
      </fill>
    </dxf>
  </dxfs>
  <colors>
    <indexedColors>
      <rgbColor rgb="FF000000"/>
      <rgbColor rgb="FFF5F1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78787"/>
      <rgbColor rgb="FF9999FF"/>
      <rgbColor rgb="FFBE4B48"/>
      <rgbColor rgb="FFEFEFEF"/>
      <rgbColor rgb="FFDCEB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F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23F"/>
      <rgbColor rgb="FFFF9900"/>
      <rgbColor rgb="FFFF6600"/>
      <rgbColor rgb="FF4A7EBB"/>
      <rgbColor rgb="FF8A8678"/>
      <rgbColor rgb="FF003366"/>
      <rgbColor rgb="FF339966"/>
      <rgbColor rgb="FF0E0E1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Invested vs freedom number (today's dollars)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 Projection'!C3</c:f>
              <c:strCache>
                <c:ptCount val="1"/>
                <c:pt idx="0">
                  <c:v>Invested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 Projection'!$A$4:$A$44</c:f>
              <c:strCach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strCache>
            </c:strRef>
          </c:cat>
          <c:val>
            <c:numRef>
              <c:f>'4 Projection'!$C$4:$C$44</c:f>
              <c:numCache>
                <c:formatCode>\$#,##0</c:formatCode>
                <c:ptCount val="41"/>
                <c:pt idx="0">
                  <c:v>15000</c:v>
                </c:pt>
                <c:pt idx="1">
                  <c:v>26587.3273952014</c:v>
                </c:pt>
                <c:pt idx="2">
                  <c:v>38632.7447124894</c:v>
                </c:pt>
                <c:pt idx="3">
                  <c:v>51154.3619412998</c:v>
                </c:pt>
                <c:pt idx="4">
                  <c:v>64171.0050259534</c:v>
                </c:pt>
                <c:pt idx="5">
                  <c:v>77702.244170001</c:v>
                </c:pt>
                <c:pt idx="6">
                  <c:v>91768.4232595445</c:v>
                </c:pt>
                <c:pt idx="7">
                  <c:v>106390.69044977</c:v>
                </c:pt>
                <c:pt idx="8">
                  <c:v>121591.029960683</c:v>
                </c:pt>
                <c:pt idx="9">
                  <c:v>137392.295129839</c:v>
                </c:pt>
                <c:pt idx="10">
                  <c:v>153818.242771781</c:v>
                </c:pt>
                <c:pt idx="11">
                  <c:v>170893.568895823</c:v>
                </c:pt>
                <c:pt idx="12">
                  <c:v>188643.945835897</c:v>
                </c:pt>
                <c:pt idx="13">
                  <c:v>207096.060848278</c:v>
                </c:pt>
                <c:pt idx="14">
                  <c:v>226277.656235214</c:v>
                </c:pt>
                <c:pt idx="15">
                  <c:v>246217.571054804</c:v>
                </c:pt>
                <c:pt idx="16">
                  <c:v>266945.784479808</c:v>
                </c:pt>
                <c:pt idx="17">
                  <c:v>288493.460870603</c:v>
                </c:pt>
                <c:pt idx="18">
                  <c:v>310892.996630029</c:v>
                </c:pt>
                <c:pt idx="19">
                  <c:v>334178.068910592</c:v>
                </c:pt>
                <c:pt idx="20">
                  <c:v>358383.68624723</c:v>
                </c:pt>
                <c:pt idx="21">
                  <c:v>383546.241191793</c:v>
                </c:pt>
                <c:pt idx="22">
                  <c:v>409703.565028346</c:v>
                </c:pt>
                <c:pt idx="23">
                  <c:v>436894.984651581</c:v>
                </c:pt>
                <c:pt idx="24">
                  <c:v>465161.381693835</c:v>
                </c:pt>
                <c:pt idx="25">
                  <c:v>494545.253989626</c:v>
                </c:pt>
                <c:pt idx="26">
                  <c:v>525090.779470098</c:v>
                </c:pt>
                <c:pt idx="27">
                  <c:v>556843.882583462</c:v>
                </c:pt>
                <c:pt idx="28">
                  <c:v>589852.303341275</c:v>
                </c:pt>
                <c:pt idx="29">
                  <c:v>624165.669094378</c:v>
                </c:pt>
                <c:pt idx="30">
                  <c:v>659835.569146398</c:v>
                </c:pt>
                <c:pt idx="31">
                  <c:v>696915.632317001</c:v>
                </c:pt>
                <c:pt idx="32">
                  <c:v>735461.60757151</c:v>
                </c:pt>
                <c:pt idx="33">
                  <c:v>775531.4478381</c:v>
                </c:pt>
                <c:pt idx="34">
                  <c:v>817185.397138612</c:v>
                </c:pt>
                <c:pt idx="35">
                  <c:v>860486.081163956</c:v>
                </c:pt>
                <c:pt idx="36">
                  <c:v>905498.601430302</c:v>
                </c:pt>
                <c:pt idx="37">
                  <c:v>952290.633157615</c:v>
                </c:pt>
                <c:pt idx="38">
                  <c:v>1000932.52701768</c:v>
                </c:pt>
                <c:pt idx="39">
                  <c:v>1051497.41490464</c:v>
                </c:pt>
                <c:pt idx="40">
                  <c:v>1104061.31988694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'4 Projection'!F3</c:f>
              <c:strCache>
                <c:ptCount val="1"/>
                <c:pt idx="0">
                  <c:v>Freedom number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 Projection'!$A$4:$A$44</c:f>
              <c:strCach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strCache>
            </c:strRef>
          </c:cat>
          <c:val>
            <c:numRef>
              <c:f>'4 Projection'!$F$4:$F$44</c:f>
              <c:numCache>
                <c:formatCode>\$#,##0</c:formatCode>
                <c:ptCount val="41"/>
                <c:pt idx="0">
                  <c:v>900000</c:v>
                </c:pt>
                <c:pt idx="1">
                  <c:v>900000</c:v>
                </c:pt>
                <c:pt idx="2">
                  <c:v>900000</c:v>
                </c:pt>
                <c:pt idx="3">
                  <c:v>900000</c:v>
                </c:pt>
                <c:pt idx="4">
                  <c:v>900000</c:v>
                </c:pt>
                <c:pt idx="5">
                  <c:v>900000</c:v>
                </c:pt>
                <c:pt idx="6">
                  <c:v>900000</c:v>
                </c:pt>
                <c:pt idx="7">
                  <c:v>900000</c:v>
                </c:pt>
                <c:pt idx="8">
                  <c:v>900000</c:v>
                </c:pt>
                <c:pt idx="9">
                  <c:v>900000</c:v>
                </c:pt>
                <c:pt idx="10">
                  <c:v>900000</c:v>
                </c:pt>
                <c:pt idx="11">
                  <c:v>900000</c:v>
                </c:pt>
                <c:pt idx="12">
                  <c:v>900000</c:v>
                </c:pt>
                <c:pt idx="13">
                  <c:v>900000</c:v>
                </c:pt>
                <c:pt idx="14">
                  <c:v>900000</c:v>
                </c:pt>
                <c:pt idx="15">
                  <c:v>900000</c:v>
                </c:pt>
                <c:pt idx="16">
                  <c:v>900000</c:v>
                </c:pt>
                <c:pt idx="17">
                  <c:v>900000</c:v>
                </c:pt>
                <c:pt idx="18">
                  <c:v>900000</c:v>
                </c:pt>
                <c:pt idx="19">
                  <c:v>900000</c:v>
                </c:pt>
                <c:pt idx="20">
                  <c:v>900000</c:v>
                </c:pt>
                <c:pt idx="21">
                  <c:v>900000</c:v>
                </c:pt>
                <c:pt idx="22">
                  <c:v>900000</c:v>
                </c:pt>
                <c:pt idx="23">
                  <c:v>900000</c:v>
                </c:pt>
                <c:pt idx="24">
                  <c:v>900000</c:v>
                </c:pt>
                <c:pt idx="25">
                  <c:v>900000</c:v>
                </c:pt>
                <c:pt idx="26">
                  <c:v>900000</c:v>
                </c:pt>
                <c:pt idx="27">
                  <c:v>900000</c:v>
                </c:pt>
                <c:pt idx="28">
                  <c:v>900000</c:v>
                </c:pt>
                <c:pt idx="29">
                  <c:v>900000</c:v>
                </c:pt>
                <c:pt idx="30">
                  <c:v>900000</c:v>
                </c:pt>
                <c:pt idx="31">
                  <c:v>900000</c:v>
                </c:pt>
                <c:pt idx="32">
                  <c:v>900000</c:v>
                </c:pt>
                <c:pt idx="33">
                  <c:v>900000</c:v>
                </c:pt>
                <c:pt idx="34">
                  <c:v>900000</c:v>
                </c:pt>
                <c:pt idx="35">
                  <c:v>900000</c:v>
                </c:pt>
                <c:pt idx="36">
                  <c:v>900000</c:v>
                </c:pt>
                <c:pt idx="37">
                  <c:v>900000</c:v>
                </c:pt>
                <c:pt idx="38">
                  <c:v>900000</c:v>
                </c:pt>
                <c:pt idx="39">
                  <c:v>900000</c:v>
                </c:pt>
                <c:pt idx="40">
                  <c:v>900000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425755"/>
        <c:axId val="44964645"/>
      </c:lineChart>
      <c:catAx>
        <c:axId val="3042575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64645"/>
        <c:crosses val="autoZero"/>
        <c:auto val="1"/>
        <c:lblAlgn val="ctr"/>
        <c:lblOffset val="100"/>
        <c:noMultiLvlLbl val="0"/>
      </c:catAx>
      <c:valAx>
        <c:axId val="44964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257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16</xdr:col>
      <xdr:colOff>370440</xdr:colOff>
      <xdr:row>18</xdr:row>
      <xdr:rowOff>22320</xdr:rowOff>
    </xdr:to>
    <xdr:graphicFrame>
      <xdr:nvGraphicFramePr>
        <xdr:cNvPr id="0" name="Chart 1"/>
        <xdr:cNvGraphicFramePr/>
      </xdr:nvGraphicFramePr>
      <xdr:xfrm>
        <a:off x="8759880" y="6192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0E10"/>
    <pageSetUpPr fitToPage="tru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</cols>
  <sheetData>
    <row r="1" customFormat="false" ht="33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31.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1.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1.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1.5" hidden="false" customHeight="true" outlineLevel="0" collapsed="false">
      <c r="A8" s="4" t="s">
        <v>6</v>
      </c>
      <c r="B8" s="4"/>
      <c r="C8" s="4"/>
      <c r="D8" s="4"/>
      <c r="E8" s="4"/>
      <c r="F8" s="4"/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7" t="s">
        <v>9</v>
      </c>
    </row>
    <row r="14" customFormat="false" ht="15" hidden="false" customHeight="false" outlineLevel="0" collapsed="false">
      <c r="A14" s="5" t="s">
        <v>10</v>
      </c>
    </row>
    <row r="15" customFormat="false" ht="30" hidden="false" customHeight="true" outlineLevel="0" collapsed="false">
      <c r="A15" s="4" t="s">
        <v>11</v>
      </c>
      <c r="B15" s="4"/>
      <c r="C15" s="4"/>
      <c r="D15" s="4"/>
      <c r="E15" s="4"/>
      <c r="F15" s="4"/>
    </row>
    <row r="16" customFormat="false" ht="30" hidden="false" customHeight="true" outlineLevel="0" collapsed="false">
      <c r="A16" s="4" t="s">
        <v>12</v>
      </c>
      <c r="B16" s="4"/>
      <c r="C16" s="4"/>
      <c r="D16" s="4"/>
      <c r="E16" s="4"/>
      <c r="F16" s="4"/>
    </row>
    <row r="17" customFormat="false" ht="30" hidden="false" customHeight="true" outlineLevel="0" collapsed="false">
      <c r="A17" s="4" t="s">
        <v>13</v>
      </c>
      <c r="B17" s="4"/>
      <c r="C17" s="4"/>
      <c r="D17" s="4"/>
      <c r="E17" s="4"/>
      <c r="F17" s="4"/>
    </row>
    <row r="19" customFormat="false" ht="48" hidden="false" customHeight="true" outlineLevel="0" collapsed="false">
      <c r="A19" s="8" t="s">
        <v>14</v>
      </c>
      <c r="B19" s="8"/>
      <c r="C19" s="8"/>
      <c r="D19" s="8"/>
      <c r="E19" s="8"/>
      <c r="F19" s="8"/>
    </row>
    <row r="21" customFormat="false" ht="15" hidden="false" customHeight="true" outlineLevel="0" collapsed="false">
      <c r="A21" s="4" t="s">
        <v>15</v>
      </c>
      <c r="B21" s="4"/>
      <c r="C21" s="4"/>
      <c r="D21" s="4"/>
      <c r="E21" s="4"/>
      <c r="F21" s="4"/>
    </row>
  </sheetData>
  <mergeCells count="10">
    <mergeCell ref="A4:F4"/>
    <mergeCell ref="A5:F5"/>
    <mergeCell ref="A6:F6"/>
    <mergeCell ref="A7:F7"/>
    <mergeCell ref="A8:F8"/>
    <mergeCell ref="A15:F15"/>
    <mergeCell ref="A16:F16"/>
    <mergeCell ref="A17:F17"/>
    <mergeCell ref="A19:F19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23F"/>
    <pageSetUpPr fitToPage="tru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4"/>
  </cols>
  <sheetData>
    <row r="1" customFormat="false" ht="33.75" hidden="false" customHeight="true" outlineLevel="0" collapsed="false">
      <c r="A1" s="1" t="s">
        <v>16</v>
      </c>
      <c r="B1" s="2"/>
      <c r="C1" s="2"/>
      <c r="D1" s="2"/>
    </row>
    <row r="2" customFormat="false" ht="15" hidden="false" customHeight="false" outlineLevel="0" collapsed="false">
      <c r="A2" s="3" t="s">
        <v>17</v>
      </c>
      <c r="B2" s="2"/>
      <c r="C2" s="2"/>
      <c r="D2" s="2"/>
    </row>
    <row r="3" customFormat="false" ht="15" hidden="false" customHeight="false" outlineLevel="0" collapsed="false">
      <c r="A3" s="9" t="s">
        <v>18</v>
      </c>
      <c r="B3" s="9" t="s">
        <v>19</v>
      </c>
      <c r="C3" s="9" t="s">
        <v>20</v>
      </c>
      <c r="D3" s="9"/>
    </row>
    <row r="4" customFormat="false" ht="15" hidden="false" customHeight="false" outlineLevel="0" collapsed="false">
      <c r="A4" s="10" t="s">
        <v>21</v>
      </c>
      <c r="B4" s="11" t="n">
        <v>35</v>
      </c>
      <c r="C4" s="12"/>
    </row>
    <row r="5" customFormat="false" ht="15" hidden="false" customHeight="false" outlineLevel="0" collapsed="false">
      <c r="A5" s="10" t="s">
        <v>22</v>
      </c>
      <c r="B5" s="13" t="n">
        <v>3000</v>
      </c>
      <c r="C5" s="12" t="s">
        <v>23</v>
      </c>
    </row>
    <row r="6" customFormat="false" ht="15" hidden="false" customHeight="false" outlineLevel="0" collapsed="false">
      <c r="A6" s="10" t="s">
        <v>24</v>
      </c>
      <c r="B6" s="13" t="n">
        <v>4500</v>
      </c>
      <c r="C6" s="12"/>
    </row>
    <row r="7" customFormat="false" ht="15" hidden="false" customHeight="false" outlineLevel="0" collapsed="false">
      <c r="A7" s="10" t="s">
        <v>25</v>
      </c>
      <c r="B7" s="13" t="n">
        <v>15000</v>
      </c>
      <c r="C7" s="12" t="s">
        <v>26</v>
      </c>
    </row>
    <row r="8" customFormat="false" ht="15" hidden="false" customHeight="false" outlineLevel="0" collapsed="false">
      <c r="A8" s="10" t="s">
        <v>27</v>
      </c>
      <c r="B8" s="13" t="n">
        <v>900</v>
      </c>
      <c r="C8" s="12"/>
    </row>
    <row r="9" customFormat="false" ht="15" hidden="false" customHeight="false" outlineLevel="0" collapsed="false">
      <c r="A9" s="10" t="s">
        <v>28</v>
      </c>
      <c r="B9" s="14" t="n">
        <v>0.07</v>
      </c>
      <c r="C9" s="12" t="s">
        <v>29</v>
      </c>
    </row>
    <row r="10" customFormat="false" ht="15" hidden="false" customHeight="false" outlineLevel="0" collapsed="false">
      <c r="A10" s="10" t="s">
        <v>30</v>
      </c>
      <c r="B10" s="14" t="n">
        <v>0.03</v>
      </c>
      <c r="C10" s="12"/>
    </row>
    <row r="11" customFormat="false" ht="15" hidden="false" customHeight="false" outlineLevel="0" collapsed="false">
      <c r="A11" s="10" t="s">
        <v>31</v>
      </c>
      <c r="B11" s="14" t="n">
        <v>0.04</v>
      </c>
      <c r="C11" s="12" t="s">
        <v>32</v>
      </c>
    </row>
    <row r="12" customFormat="false" ht="15" hidden="false" customHeight="false" outlineLevel="0" collapsed="false">
      <c r="A12" s="10" t="s">
        <v>33</v>
      </c>
      <c r="B12" s="13" t="n">
        <v>100</v>
      </c>
      <c r="C12" s="12" t="s">
        <v>34</v>
      </c>
    </row>
    <row r="15" customFormat="false" ht="15" hidden="false" customHeight="false" outlineLevel="0" collapsed="false">
      <c r="A15" s="9" t="s">
        <v>35</v>
      </c>
      <c r="B15" s="9" t="s">
        <v>19</v>
      </c>
      <c r="C15" s="9" t="s">
        <v>36</v>
      </c>
      <c r="D15" s="9"/>
    </row>
    <row r="16" customFormat="false" ht="15" hidden="false" customHeight="false" outlineLevel="0" collapsed="false">
      <c r="A16" s="5" t="s">
        <v>37</v>
      </c>
      <c r="B16" s="15" t="n">
        <f aca="false">$B$5*12/$B$11</f>
        <v>900000</v>
      </c>
      <c r="C16" s="12" t="s">
        <v>38</v>
      </c>
    </row>
    <row r="17" customFormat="false" ht="15" hidden="false" customHeight="false" outlineLevel="0" collapsed="false">
      <c r="A17" s="10" t="s">
        <v>39</v>
      </c>
      <c r="B17" s="16" t="n">
        <f aca="false">(1+$B$9)/(1+$B$10)-1</f>
        <v>0.0388349514563107</v>
      </c>
      <c r="C17" s="12" t="s">
        <v>40</v>
      </c>
    </row>
    <row r="18" customFormat="false" ht="15" hidden="false" customHeight="false" outlineLevel="0" collapsed="false">
      <c r="A18" s="10" t="s">
        <v>41</v>
      </c>
      <c r="B18" s="17" t="n">
        <f aca="false">IFERROR($B$8/$B$6,0)</f>
        <v>0.2</v>
      </c>
      <c r="C18" s="12" t="s">
        <v>42</v>
      </c>
    </row>
    <row r="19" customFormat="false" ht="15" hidden="false" customHeight="false" outlineLevel="0" collapsed="false">
      <c r="A19" s="10" t="s">
        <v>43</v>
      </c>
      <c r="B19" s="18" t="n">
        <f aca="false">IF($B$7&gt;=B16,0,IFERROR(NPER(B17/12,-$B$8,-$B$7,B16),"never at these numbers"))</f>
        <v>430.558818016702</v>
      </c>
      <c r="C19" s="12"/>
    </row>
    <row r="20" customFormat="false" ht="15" hidden="false" customHeight="false" outlineLevel="0" collapsed="false">
      <c r="A20" s="5" t="s">
        <v>44</v>
      </c>
      <c r="B20" s="19" t="n">
        <f aca="false">IF(ISNUMBER(B19),B19/12,"never at these numbers")</f>
        <v>35.8799015013918</v>
      </c>
      <c r="C20" s="12"/>
    </row>
    <row r="21" customFormat="false" ht="15" hidden="false" customHeight="false" outlineLevel="0" collapsed="false">
      <c r="A21" s="10" t="s">
        <v>45</v>
      </c>
      <c r="B21" s="20" t="n">
        <f aca="false">IF(ISNUMBER(B20),$B$4+B20,"-")</f>
        <v>70.8799015013918</v>
      </c>
      <c r="C21" s="12"/>
    </row>
    <row r="22" customFormat="false" ht="15" hidden="false" customHeight="false" outlineLevel="0" collapsed="false">
      <c r="A22" s="10" t="s">
        <v>46</v>
      </c>
      <c r="B22" s="21" t="n">
        <f aca="false">$B$7*$B$11/12</f>
        <v>50</v>
      </c>
      <c r="C22" s="12" t="s">
        <v>47</v>
      </c>
    </row>
    <row r="23" customFormat="false" ht="15" hidden="false" customHeight="false" outlineLevel="0" collapsed="false">
      <c r="A23" s="10" t="s">
        <v>48</v>
      </c>
      <c r="B23" s="17" t="n">
        <f aca="false">IFERROR(B22/$B$5,0)</f>
        <v>0.0166666666666667</v>
      </c>
      <c r="C23" s="12"/>
    </row>
    <row r="24" customFormat="false" ht="15" hidden="false" customHeight="false" outlineLevel="0" collapsed="false">
      <c r="A24" s="10" t="s">
        <v>49</v>
      </c>
      <c r="B24" s="20" t="n">
        <f aca="false">IF($B$7&gt;=B16,0,IFERROR(NPER(B17/12,-($B$8+$B$12),-$B$7,B16)/12,"never at these numbers"))</f>
        <v>33.9625747146266</v>
      </c>
      <c r="C24" s="12"/>
    </row>
    <row r="25" customFormat="false" ht="15" hidden="false" customHeight="false" outlineLevel="0" collapsed="false">
      <c r="A25" s="10" t="s">
        <v>50</v>
      </c>
      <c r="B25" s="20" t="n">
        <f aca="false">IF(AND(ISNUMBER(B20),ISNUMBER(B24)),B20-B24,"-")</f>
        <v>1.91732678676519</v>
      </c>
      <c r="C25" s="12" t="s">
        <v>51</v>
      </c>
    </row>
  </sheetData>
  <conditionalFormatting sqref="B23">
    <cfRule type="cellIs" priority="2" operator="greaterThanOrEqual" aboveAverage="0" equalAverage="0" bottom="0" percent="0" rank="0" text="" dxfId="0">
      <formula>1</formula>
    </cfRule>
  </conditionalFormatting>
  <dataValidations count="3">
    <dataValidation allowBlank="false" error="Enter a percentage between 0% and 30% (for example 7%)." errorStyle="stop" errorTitle="Check this number" operator="between" showDropDown="false" showErrorMessage="true" showInputMessage="false" sqref="B9" type="decimal">
      <formula1>0</formula1>
      <formula2>0.3</formula2>
    </dataValidation>
    <dataValidation allowBlank="false" error="Enter a percentage between 0% and 20% (for example 7%)." errorStyle="stop" errorTitle="Check this number" operator="between" showDropDown="false" showErrorMessage="true" showInputMessage="false" sqref="B10" type="decimal">
      <formula1>0</formula1>
      <formula2>0.2</formula2>
    </dataValidation>
    <dataValidation allowBlank="false" error="Enter a percentage between 1% and 10% (for example 7%)." errorStyle="stop" errorTitle="Check this number" operator="between" showDropDown="false" showErrorMessage="true" showInputMessage="false" sqref="B11" type="decimal">
      <formula1>0.01</formula1>
      <formula2>0.1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0E10"/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4"/>
  </cols>
  <sheetData>
    <row r="1" customFormat="false" ht="33.75" hidden="false" customHeight="true" outlineLevel="0" collapsed="false">
      <c r="A1" s="1" t="s">
        <v>52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53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9" t="s">
        <v>54</v>
      </c>
      <c r="B3" s="9" t="s">
        <v>55</v>
      </c>
      <c r="C3" s="9" t="s">
        <v>56</v>
      </c>
      <c r="D3" s="9" t="s">
        <v>57</v>
      </c>
      <c r="E3" s="9" t="s">
        <v>58</v>
      </c>
      <c r="F3" s="9" t="s">
        <v>59</v>
      </c>
    </row>
    <row r="4" customFormat="false" ht="15" hidden="false" customHeight="false" outlineLevel="0" collapsed="false">
      <c r="A4" s="22" t="s">
        <v>60</v>
      </c>
      <c r="B4" s="6" t="s">
        <v>61</v>
      </c>
      <c r="C4" s="13" t="n">
        <v>4500</v>
      </c>
      <c r="D4" s="11" t="n">
        <v>40</v>
      </c>
      <c r="E4" s="23" t="n">
        <f aca="false">IF(C4="","",IF(N(D4)&gt;0,C4/(D4*4.33),"no hours"))</f>
        <v>25.9815242494226</v>
      </c>
      <c r="F4" s="24" t="str">
        <f aca="false">IF(B4="Active","Trades your time",IF(B4="Passive","Runs without you",IF(B4="Asset","You own it","")))</f>
        <v>Trades your time</v>
      </c>
    </row>
    <row r="5" customFormat="false" ht="15" hidden="false" customHeight="false" outlineLevel="0" collapsed="false">
      <c r="A5" s="22" t="s">
        <v>62</v>
      </c>
      <c r="B5" s="6" t="s">
        <v>61</v>
      </c>
      <c r="C5" s="13" t="n">
        <v>300</v>
      </c>
      <c r="D5" s="11" t="n">
        <v>5</v>
      </c>
      <c r="E5" s="23" t="n">
        <f aca="false">IF(C5="","",IF(N(D5)&gt;0,C5/(D5*4.33),"no hours"))</f>
        <v>13.8568129330254</v>
      </c>
      <c r="F5" s="24" t="str">
        <f aca="false">IF(B5="Active","Trades your time",IF(B5="Passive","Runs without you",IF(B5="Asset","You own it","")))</f>
        <v>Trades your time</v>
      </c>
    </row>
    <row r="6" customFormat="false" ht="15" hidden="false" customHeight="false" outlineLevel="0" collapsed="false">
      <c r="A6" s="22" t="s">
        <v>63</v>
      </c>
      <c r="B6" s="6" t="s">
        <v>64</v>
      </c>
      <c r="C6" s="13" t="n">
        <v>40</v>
      </c>
      <c r="D6" s="11" t="n">
        <v>0</v>
      </c>
      <c r="E6" s="23" t="str">
        <f aca="false">IF(C6="","",IF(N(D6)&gt;0,C6/(D6*4.33),"no hours"))</f>
        <v>no hours</v>
      </c>
      <c r="F6" s="24" t="str">
        <f aca="false">IF(B6="Active","Trades your time",IF(B6="Passive","Runs without you",IF(B6="Asset","You own it","")))</f>
        <v>You own it</v>
      </c>
    </row>
    <row r="7" customFormat="false" ht="15" hidden="false" customHeight="false" outlineLevel="0" collapsed="false">
      <c r="A7" s="22" t="s">
        <v>65</v>
      </c>
      <c r="B7" s="6" t="s">
        <v>66</v>
      </c>
      <c r="C7" s="13" t="n">
        <v>0</v>
      </c>
      <c r="D7" s="11" t="n">
        <v>0</v>
      </c>
      <c r="E7" s="23" t="str">
        <f aca="false">IF(C7="","",IF(N(D7)&gt;0,C7/(D7*4.33),"no hours"))</f>
        <v>no hours</v>
      </c>
      <c r="F7" s="24" t="str">
        <f aca="false">IF(B7="Active","Trades your time",IF(B7="Passive","Runs without you",IF(B7="Asset","You own it","")))</f>
        <v>Runs without you</v>
      </c>
    </row>
    <row r="8" customFormat="false" ht="15" hidden="false" customHeight="false" outlineLevel="0" collapsed="false">
      <c r="A8" s="22"/>
      <c r="B8" s="6"/>
      <c r="C8" s="13"/>
      <c r="D8" s="11"/>
      <c r="E8" s="23" t="str">
        <f aca="false">IF(C8="","",IF(N(D8)&gt;0,C8/(D8*4.33),"no hours"))</f>
        <v/>
      </c>
      <c r="F8" s="24" t="str">
        <f aca="false">IF(B8="Active","Trades your time",IF(B8="Passive","Runs without you",IF(B8="Asset","You own it","")))</f>
        <v/>
      </c>
    </row>
    <row r="9" customFormat="false" ht="15" hidden="false" customHeight="false" outlineLevel="0" collapsed="false">
      <c r="A9" s="22"/>
      <c r="B9" s="6"/>
      <c r="C9" s="13"/>
      <c r="D9" s="11"/>
      <c r="E9" s="23" t="str">
        <f aca="false">IF(C9="","",IF(N(D9)&gt;0,C9/(D9*4.33),"no hours"))</f>
        <v/>
      </c>
      <c r="F9" s="24" t="str">
        <f aca="false">IF(B9="Active","Trades your time",IF(B9="Passive","Runs without you",IF(B9="Asset","You own it","")))</f>
        <v/>
      </c>
    </row>
    <row r="10" customFormat="false" ht="15" hidden="false" customHeight="false" outlineLevel="0" collapsed="false">
      <c r="A10" s="22"/>
      <c r="B10" s="6"/>
      <c r="C10" s="13"/>
      <c r="D10" s="11"/>
      <c r="E10" s="23" t="str">
        <f aca="false">IF(C10="","",IF(N(D10)&gt;0,C10/(D10*4.33),"no hours"))</f>
        <v/>
      </c>
      <c r="F10" s="24" t="str">
        <f aca="false">IF(B10="Active","Trades your time",IF(B10="Passive","Runs without you",IF(B10="Asset","You own it","")))</f>
        <v/>
      </c>
    </row>
    <row r="11" customFormat="false" ht="15" hidden="false" customHeight="false" outlineLevel="0" collapsed="false">
      <c r="A11" s="22"/>
      <c r="B11" s="6"/>
      <c r="C11" s="13"/>
      <c r="D11" s="11"/>
      <c r="E11" s="23" t="str">
        <f aca="false">IF(C11="","",IF(N(D11)&gt;0,C11/(D11*4.33),"no hours"))</f>
        <v/>
      </c>
      <c r="F11" s="24" t="str">
        <f aca="false">IF(B11="Active","Trades your time",IF(B11="Passive","Runs without you",IF(B11="Asset","You own it","")))</f>
        <v/>
      </c>
    </row>
    <row r="12" customFormat="false" ht="15" hidden="false" customHeight="false" outlineLevel="0" collapsed="false">
      <c r="A12" s="22"/>
      <c r="B12" s="6"/>
      <c r="C12" s="13"/>
      <c r="D12" s="11"/>
      <c r="E12" s="23" t="str">
        <f aca="false">IF(C12="","",IF(N(D12)&gt;0,C12/(D12*4.33),"no hours"))</f>
        <v/>
      </c>
      <c r="F12" s="24" t="str">
        <f aca="false">IF(B12="Active","Trades your time",IF(B12="Passive","Runs without you",IF(B12="Asset","You own it","")))</f>
        <v/>
      </c>
    </row>
    <row r="13" customFormat="false" ht="15" hidden="false" customHeight="false" outlineLevel="0" collapsed="false">
      <c r="A13" s="22"/>
      <c r="B13" s="6"/>
      <c r="C13" s="13"/>
      <c r="D13" s="11"/>
      <c r="E13" s="23" t="str">
        <f aca="false">IF(C13="","",IF(N(D13)&gt;0,C13/(D13*4.33),"no hours"))</f>
        <v/>
      </c>
      <c r="F13" s="24" t="str">
        <f aca="false">IF(B13="Active","Trades your time",IF(B13="Passive","Runs without you",IF(B13="Asset","You own it","")))</f>
        <v/>
      </c>
    </row>
    <row r="14" customFormat="false" ht="15" hidden="false" customHeight="false" outlineLevel="0" collapsed="false">
      <c r="A14" s="22"/>
      <c r="B14" s="6"/>
      <c r="C14" s="13"/>
      <c r="D14" s="11"/>
      <c r="E14" s="23" t="str">
        <f aca="false">IF(C14="","",IF(N(D14)&gt;0,C14/(D14*4.33),"no hours"))</f>
        <v/>
      </c>
      <c r="F14" s="24" t="str">
        <f aca="false">IF(B14="Active","Trades your time",IF(B14="Passive","Runs without you",IF(B14="Asset","You own it","")))</f>
        <v/>
      </c>
    </row>
    <row r="15" customFormat="false" ht="15" hidden="false" customHeight="false" outlineLevel="0" collapsed="false">
      <c r="A15" s="22"/>
      <c r="B15" s="6"/>
      <c r="C15" s="13"/>
      <c r="D15" s="11"/>
      <c r="E15" s="23" t="str">
        <f aca="false">IF(C15="","",IF(N(D15)&gt;0,C15/(D15*4.33),"no hours"))</f>
        <v/>
      </c>
      <c r="F15" s="24" t="str">
        <f aca="false">IF(B15="Active","Trades your time",IF(B15="Passive","Runs without you",IF(B15="Asset","You own it","")))</f>
        <v/>
      </c>
    </row>
    <row r="17" customFormat="false" ht="15" hidden="false" customHeight="false" outlineLevel="0" collapsed="false">
      <c r="A17" s="5" t="s">
        <v>67</v>
      </c>
      <c r="C17" s="15" t="n">
        <f aca="false">SUM(C4:C15)</f>
        <v>4840</v>
      </c>
    </row>
    <row r="18" customFormat="false" ht="15" hidden="false" customHeight="false" outlineLevel="0" collapsed="false">
      <c r="A18" s="5" t="s">
        <v>68</v>
      </c>
      <c r="C18" s="15" t="n">
        <f aca="false">SUMIF(B4:B15,"Passive",C4:C15)+SUMIF(B4:B15,"Asset",C4:C15)</f>
        <v>40</v>
      </c>
    </row>
    <row r="19" customFormat="false" ht="15" hidden="false" customHeight="false" outlineLevel="0" collapsed="false">
      <c r="A19" s="5" t="s">
        <v>69</v>
      </c>
      <c r="C19" s="25" t="n">
        <f aca="false">IFERROR(C18/'1 Your numbers'!B5,0)</f>
        <v>0.0133333333333333</v>
      </c>
    </row>
    <row r="20" customFormat="false" ht="15" hidden="false" customHeight="false" outlineLevel="0" collapsed="false">
      <c r="A20" s="5" t="s">
        <v>70</v>
      </c>
      <c r="C20" s="26" t="n">
        <f aca="false">SUMIF(B4:B15,"Active",D4:D15)</f>
        <v>45</v>
      </c>
    </row>
    <row r="22" customFormat="false" ht="15" hidden="false" customHeight="true" outlineLevel="0" collapsed="false">
      <c r="A22" s="4" t="s">
        <v>71</v>
      </c>
      <c r="B22" s="4"/>
      <c r="C22" s="4"/>
      <c r="D22" s="4"/>
      <c r="E22" s="4"/>
      <c r="F22" s="4"/>
    </row>
  </sheetData>
  <mergeCells count="1">
    <mergeCell ref="A22:F22"/>
  </mergeCells>
  <dataValidations count="1">
    <dataValidation allowBlank="true" error="Choose Active, Passive, or Asset." errorStyle="stop" errorTitle="Pick a type" operator="between" showDropDown="false" showErrorMessage="true" showInputMessage="false" sqref="B4:B15" type="list">
      <formula1>"Active,Passive,Asset"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0E10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5" min="4" style="0" width="4"/>
  </cols>
  <sheetData>
    <row r="1" customFormat="false" ht="33.75" hidden="false" customHeight="true" outlineLevel="0" collapsed="false">
      <c r="A1" s="1" t="s">
        <v>72</v>
      </c>
      <c r="B1" s="2"/>
      <c r="C1" s="2"/>
      <c r="D1" s="2"/>
      <c r="E1" s="2"/>
    </row>
    <row r="2" customFormat="false" ht="15" hidden="false" customHeight="false" outlineLevel="0" collapsed="false">
      <c r="A2" s="3" t="s">
        <v>73</v>
      </c>
      <c r="B2" s="2"/>
      <c r="C2" s="2"/>
      <c r="D2" s="2"/>
      <c r="E2" s="2"/>
    </row>
    <row r="4" customFormat="false" ht="15" hidden="false" customHeight="false" outlineLevel="0" collapsed="false">
      <c r="A4" s="10" t="s">
        <v>74</v>
      </c>
      <c r="B4" s="11" t="n">
        <v>100</v>
      </c>
    </row>
    <row r="5" customFormat="false" ht="15" hidden="false" customHeight="false" outlineLevel="0" collapsed="false">
      <c r="A5" s="10" t="s">
        <v>75</v>
      </c>
      <c r="B5" s="11" t="n">
        <v>100</v>
      </c>
    </row>
    <row r="6" customFormat="false" ht="15" hidden="false" customHeight="false" outlineLevel="0" collapsed="false">
      <c r="A6" s="10" t="s">
        <v>76</v>
      </c>
      <c r="B6" s="14" t="n">
        <v>0.01</v>
      </c>
    </row>
    <row r="7" customFormat="false" ht="15" hidden="false" customHeight="false" outlineLevel="0" collapsed="false">
      <c r="A7" s="10" t="s">
        <v>77</v>
      </c>
      <c r="B7" s="13" t="n">
        <v>150</v>
      </c>
    </row>
    <row r="9" customFormat="false" ht="15" hidden="false" customHeight="false" outlineLevel="0" collapsed="false">
      <c r="A9" s="5" t="s">
        <v>78</v>
      </c>
      <c r="B9" s="27" t="n">
        <f aca="false">B4*B5</f>
        <v>10000</v>
      </c>
    </row>
    <row r="10" customFormat="false" ht="15" hidden="false" customHeight="false" outlineLevel="0" collapsed="false">
      <c r="A10" s="5" t="s">
        <v>79</v>
      </c>
      <c r="B10" s="27" t="n">
        <f aca="false">B9*B6</f>
        <v>100</v>
      </c>
    </row>
    <row r="11" customFormat="false" ht="15" hidden="false" customHeight="false" outlineLevel="0" collapsed="false">
      <c r="A11" s="5" t="s">
        <v>80</v>
      </c>
      <c r="B11" s="15" t="n">
        <f aca="false">B10*B7</f>
        <v>15000</v>
      </c>
    </row>
    <row r="13" customFormat="false" ht="15" hidden="false" customHeight="false" outlineLevel="0" collapsed="false">
      <c r="A13" s="9" t="s">
        <v>81</v>
      </c>
      <c r="B13" s="9" t="s">
        <v>79</v>
      </c>
      <c r="C13" s="9" t="s">
        <v>80</v>
      </c>
      <c r="D13" s="9"/>
      <c r="E13" s="9"/>
    </row>
    <row r="14" customFormat="false" ht="15" hidden="false" customHeight="false" outlineLevel="0" collapsed="false">
      <c r="A14" s="14" t="n">
        <v>0.002</v>
      </c>
      <c r="B14" s="18" t="n">
        <f aca="false">$B$9*A14</f>
        <v>20</v>
      </c>
      <c r="C14" s="21" t="n">
        <f aca="false">B14*$B$7</f>
        <v>3000</v>
      </c>
    </row>
    <row r="15" customFormat="false" ht="15" hidden="false" customHeight="false" outlineLevel="0" collapsed="false">
      <c r="A15" s="14" t="n">
        <v>0.005</v>
      </c>
      <c r="B15" s="18" t="n">
        <f aca="false">$B$9*A15</f>
        <v>50</v>
      </c>
      <c r="C15" s="21" t="n">
        <f aca="false">B15*$B$7</f>
        <v>7500</v>
      </c>
    </row>
    <row r="16" customFormat="false" ht="15" hidden="false" customHeight="false" outlineLevel="0" collapsed="false">
      <c r="A16" s="14" t="n">
        <v>0.01</v>
      </c>
      <c r="B16" s="18" t="n">
        <f aca="false">$B$9*A16</f>
        <v>100</v>
      </c>
      <c r="C16" s="21" t="n">
        <f aca="false">B16*$B$7</f>
        <v>15000</v>
      </c>
    </row>
    <row r="17" customFormat="false" ht="15" hidden="false" customHeight="false" outlineLevel="0" collapsed="false">
      <c r="A17" s="14" t="n">
        <v>0.02</v>
      </c>
      <c r="B17" s="18" t="n">
        <f aca="false">$B$9*A17</f>
        <v>200</v>
      </c>
      <c r="C17" s="21" t="n">
        <f aca="false">B17*$B$7</f>
        <v>30000</v>
      </c>
    </row>
    <row r="18" customFormat="false" ht="15" hidden="false" customHeight="false" outlineLevel="0" collapsed="false">
      <c r="A18" s="14" t="n">
        <v>0.03</v>
      </c>
      <c r="B18" s="18" t="n">
        <f aca="false">$B$9*A18</f>
        <v>300</v>
      </c>
      <c r="C18" s="21" t="n">
        <f aca="false">B18*$B$7</f>
        <v>45000</v>
      </c>
    </row>
    <row r="20" customFormat="false" ht="33.75" hidden="false" customHeight="true" outlineLevel="0" collapsed="false">
      <c r="A20" s="4" t="s">
        <v>82</v>
      </c>
      <c r="B20" s="4"/>
      <c r="C20" s="4"/>
      <c r="D20" s="4"/>
      <c r="E20" s="4"/>
    </row>
  </sheetData>
  <mergeCells count="1"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0E10"/>
    <pageSetUpPr fitToPage="tru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18"/>
  </cols>
  <sheetData>
    <row r="1" customFormat="false" ht="33.75" hidden="false" customHeight="true" outlineLevel="0" collapsed="false">
      <c r="A1" s="1" t="s">
        <v>83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84</v>
      </c>
      <c r="B2" s="2"/>
      <c r="C2" s="2"/>
      <c r="D2" s="2"/>
      <c r="E2" s="2"/>
      <c r="F2" s="2"/>
    </row>
    <row r="3" customFormat="false" ht="28.35" hidden="false" customHeight="false" outlineLevel="0" collapsed="false">
      <c r="A3" s="9" t="s">
        <v>85</v>
      </c>
      <c r="B3" s="9" t="s">
        <v>86</v>
      </c>
      <c r="C3" s="9" t="s">
        <v>87</v>
      </c>
      <c r="D3" s="9" t="s">
        <v>88</v>
      </c>
      <c r="E3" s="9" t="s">
        <v>89</v>
      </c>
      <c r="F3" s="9" t="s">
        <v>37</v>
      </c>
    </row>
    <row r="4" customFormat="false" ht="15" hidden="false" customHeight="false" outlineLevel="0" collapsed="false">
      <c r="A4" s="28" t="n">
        <v>0</v>
      </c>
      <c r="B4" s="28" t="n">
        <f aca="false">'1 Your numbers'!$B$4+A4</f>
        <v>35</v>
      </c>
      <c r="C4" s="21" t="n">
        <f aca="false">FV('1 Your numbers'!$B$17/12,A4*12,-'1 Your numbers'!$B$8,-'1 Your numbers'!$B$7)</f>
        <v>15000</v>
      </c>
      <c r="D4" s="21" t="n">
        <f aca="false">C4*'1 Your numbers'!$B$11/12</f>
        <v>50</v>
      </c>
      <c r="E4" s="17" t="n">
        <f aca="false">IFERROR(D4/'1 Your numbers'!$B$5,0)</f>
        <v>0.0166666666666667</v>
      </c>
      <c r="F4" s="21" t="n">
        <f aca="false">'1 Your numbers'!$B$16</f>
        <v>900000</v>
      </c>
    </row>
    <row r="5" customFormat="false" ht="15" hidden="false" customHeight="false" outlineLevel="0" collapsed="false">
      <c r="A5" s="28" t="n">
        <v>1</v>
      </c>
      <c r="B5" s="28" t="n">
        <f aca="false">'1 Your numbers'!$B$4+A5</f>
        <v>36</v>
      </c>
      <c r="C5" s="21" t="n">
        <f aca="false">FV('1 Your numbers'!$B$17/12,A5*12,-'1 Your numbers'!$B$8,-'1 Your numbers'!$B$7)</f>
        <v>26587.3273952014</v>
      </c>
      <c r="D5" s="21" t="n">
        <f aca="false">C5*'1 Your numbers'!$B$11/12</f>
        <v>88.6244246506713</v>
      </c>
      <c r="E5" s="17" t="n">
        <f aca="false">IFERROR(D5/'1 Your numbers'!$B$5,0)</f>
        <v>0.0295414748835571</v>
      </c>
      <c r="F5" s="21" t="n">
        <f aca="false">'1 Your numbers'!$B$16</f>
        <v>900000</v>
      </c>
    </row>
    <row r="6" customFormat="false" ht="15" hidden="false" customHeight="false" outlineLevel="0" collapsed="false">
      <c r="A6" s="28" t="n">
        <v>2</v>
      </c>
      <c r="B6" s="28" t="n">
        <f aca="false">'1 Your numbers'!$B$4+A6</f>
        <v>37</v>
      </c>
      <c r="C6" s="21" t="n">
        <f aca="false">FV('1 Your numbers'!$B$17/12,A6*12,-'1 Your numbers'!$B$8,-'1 Your numbers'!$B$7)</f>
        <v>38632.7447124894</v>
      </c>
      <c r="D6" s="21" t="n">
        <f aca="false">C6*'1 Your numbers'!$B$11/12</f>
        <v>128.775815708298</v>
      </c>
      <c r="E6" s="17" t="n">
        <f aca="false">IFERROR(D6/'1 Your numbers'!$B$5,0)</f>
        <v>0.042925271902766</v>
      </c>
      <c r="F6" s="21" t="n">
        <f aca="false">'1 Your numbers'!$B$16</f>
        <v>900000</v>
      </c>
    </row>
    <row r="7" customFormat="false" ht="15" hidden="false" customHeight="false" outlineLevel="0" collapsed="false">
      <c r="A7" s="28" t="n">
        <v>3</v>
      </c>
      <c r="B7" s="28" t="n">
        <f aca="false">'1 Your numbers'!$B$4+A7</f>
        <v>38</v>
      </c>
      <c r="C7" s="21" t="n">
        <f aca="false">FV('1 Your numbers'!$B$17/12,A7*12,-'1 Your numbers'!$B$8,-'1 Your numbers'!$B$7)</f>
        <v>51154.3619412998</v>
      </c>
      <c r="D7" s="21" t="n">
        <f aca="false">C7*'1 Your numbers'!$B$11/12</f>
        <v>170.514539804333</v>
      </c>
      <c r="E7" s="17" t="n">
        <f aca="false">IFERROR(D7/'1 Your numbers'!$B$5,0)</f>
        <v>0.0568381799347776</v>
      </c>
      <c r="F7" s="21" t="n">
        <f aca="false">'1 Your numbers'!$B$16</f>
        <v>900000</v>
      </c>
    </row>
    <row r="8" customFormat="false" ht="15" hidden="false" customHeight="false" outlineLevel="0" collapsed="false">
      <c r="A8" s="28" t="n">
        <v>4</v>
      </c>
      <c r="B8" s="28" t="n">
        <f aca="false">'1 Your numbers'!$B$4+A8</f>
        <v>39</v>
      </c>
      <c r="C8" s="21" t="n">
        <f aca="false">FV('1 Your numbers'!$B$17/12,A8*12,-'1 Your numbers'!$B$8,-'1 Your numbers'!$B$7)</f>
        <v>64171.0050259534</v>
      </c>
      <c r="D8" s="21" t="n">
        <f aca="false">C8*'1 Your numbers'!$B$11/12</f>
        <v>213.903350086511</v>
      </c>
      <c r="E8" s="17" t="n">
        <f aca="false">IFERROR(D8/'1 Your numbers'!$B$5,0)</f>
        <v>0.0713011166955038</v>
      </c>
      <c r="F8" s="21" t="n">
        <f aca="false">'1 Your numbers'!$B$16</f>
        <v>900000</v>
      </c>
    </row>
    <row r="9" customFormat="false" ht="15" hidden="false" customHeight="false" outlineLevel="0" collapsed="false">
      <c r="A9" s="28" t="n">
        <v>5</v>
      </c>
      <c r="B9" s="28" t="n">
        <f aca="false">'1 Your numbers'!$B$4+A9</f>
        <v>40</v>
      </c>
      <c r="C9" s="21" t="n">
        <f aca="false">FV('1 Your numbers'!$B$17/12,A9*12,-'1 Your numbers'!$B$8,-'1 Your numbers'!$B$7)</f>
        <v>77702.244170001</v>
      </c>
      <c r="D9" s="21" t="n">
        <f aca="false">C9*'1 Your numbers'!$B$11/12</f>
        <v>259.00748056667</v>
      </c>
      <c r="E9" s="17" t="n">
        <f aca="false">IFERROR(D9/'1 Your numbers'!$B$5,0)</f>
        <v>0.0863358268555567</v>
      </c>
      <c r="F9" s="21" t="n">
        <f aca="false">'1 Your numbers'!$B$16</f>
        <v>900000</v>
      </c>
    </row>
    <row r="10" customFormat="false" ht="15" hidden="false" customHeight="false" outlineLevel="0" collapsed="false">
      <c r="A10" s="28" t="n">
        <v>6</v>
      </c>
      <c r="B10" s="28" t="n">
        <f aca="false">'1 Your numbers'!$B$4+A10</f>
        <v>41</v>
      </c>
      <c r="C10" s="21" t="n">
        <f aca="false">FV('1 Your numbers'!$B$17/12,A10*12,-'1 Your numbers'!$B$8,-'1 Your numbers'!$B$7)</f>
        <v>91768.4232595445</v>
      </c>
      <c r="D10" s="21" t="n">
        <f aca="false">C10*'1 Your numbers'!$B$11/12</f>
        <v>305.894744198482</v>
      </c>
      <c r="E10" s="17" t="n">
        <f aca="false">IFERROR(D10/'1 Your numbers'!$B$5,0)</f>
        <v>0.101964914732827</v>
      </c>
      <c r="F10" s="21" t="n">
        <f aca="false">'1 Your numbers'!$B$16</f>
        <v>900000</v>
      </c>
    </row>
    <row r="11" customFormat="false" ht="15" hidden="false" customHeight="false" outlineLevel="0" collapsed="false">
      <c r="A11" s="28" t="n">
        <v>7</v>
      </c>
      <c r="B11" s="28" t="n">
        <f aca="false">'1 Your numbers'!$B$4+A11</f>
        <v>42</v>
      </c>
      <c r="C11" s="21" t="n">
        <f aca="false">FV('1 Your numbers'!$B$17/12,A11*12,-'1 Your numbers'!$B$8,-'1 Your numbers'!$B$7)</f>
        <v>106390.69044977</v>
      </c>
      <c r="D11" s="21" t="n">
        <f aca="false">C11*'1 Your numbers'!$B$11/12</f>
        <v>354.635634832568</v>
      </c>
      <c r="E11" s="17" t="n">
        <f aca="false">IFERROR(D11/'1 Your numbers'!$B$5,0)</f>
        <v>0.118211878277523</v>
      </c>
      <c r="F11" s="21" t="n">
        <f aca="false">'1 Your numbers'!$B$16</f>
        <v>900000</v>
      </c>
    </row>
    <row r="12" customFormat="false" ht="15" hidden="false" customHeight="false" outlineLevel="0" collapsed="false">
      <c r="A12" s="28" t="n">
        <v>8</v>
      </c>
      <c r="B12" s="28" t="n">
        <f aca="false">'1 Your numbers'!$B$4+A12</f>
        <v>43</v>
      </c>
      <c r="C12" s="21" t="n">
        <f aca="false">FV('1 Your numbers'!$B$17/12,A12*12,-'1 Your numbers'!$B$8,-'1 Your numbers'!$B$7)</f>
        <v>121591.029960683</v>
      </c>
      <c r="D12" s="21" t="n">
        <f aca="false">C12*'1 Your numbers'!$B$11/12</f>
        <v>405.303433202278</v>
      </c>
      <c r="E12" s="17" t="n">
        <f aca="false">IFERROR(D12/'1 Your numbers'!$B$5,0)</f>
        <v>0.135101144400759</v>
      </c>
      <c r="F12" s="21" t="n">
        <f aca="false">'1 Your numbers'!$B$16</f>
        <v>900000</v>
      </c>
    </row>
    <row r="13" customFormat="false" ht="15" hidden="false" customHeight="false" outlineLevel="0" collapsed="false">
      <c r="A13" s="28" t="n">
        <v>9</v>
      </c>
      <c r="B13" s="28" t="n">
        <f aca="false">'1 Your numbers'!$B$4+A13</f>
        <v>44</v>
      </c>
      <c r="C13" s="21" t="n">
        <f aca="false">FV('1 Your numbers'!$B$17/12,A13*12,-'1 Your numbers'!$B$8,-'1 Your numbers'!$B$7)</f>
        <v>137392.295129839</v>
      </c>
      <c r="D13" s="21" t="n">
        <f aca="false">C13*'1 Your numbers'!$B$11/12</f>
        <v>457.974317099465</v>
      </c>
      <c r="E13" s="17" t="n">
        <f aca="false">IFERROR(D13/'1 Your numbers'!$B$5,0)</f>
        <v>0.152658105699822</v>
      </c>
      <c r="F13" s="21" t="n">
        <f aca="false">'1 Your numbers'!$B$16</f>
        <v>900000</v>
      </c>
    </row>
    <row r="14" customFormat="false" ht="15" hidden="false" customHeight="false" outlineLevel="0" collapsed="false">
      <c r="A14" s="28" t="n">
        <v>10</v>
      </c>
      <c r="B14" s="28" t="n">
        <f aca="false">'1 Your numbers'!$B$4+A14</f>
        <v>45</v>
      </c>
      <c r="C14" s="21" t="n">
        <f aca="false">FV('1 Your numbers'!$B$17/12,A14*12,-'1 Your numbers'!$B$8,-'1 Your numbers'!$B$7)</f>
        <v>153818.242771781</v>
      </c>
      <c r="D14" s="21" t="n">
        <f aca="false">C14*'1 Your numbers'!$B$11/12</f>
        <v>512.727475905937</v>
      </c>
      <c r="E14" s="17" t="n">
        <f aca="false">IFERROR(D14/'1 Your numbers'!$B$5,0)</f>
        <v>0.170909158635312</v>
      </c>
      <c r="F14" s="21" t="n">
        <f aca="false">'1 Your numbers'!$B$16</f>
        <v>900000</v>
      </c>
    </row>
    <row r="15" customFormat="false" ht="15" hidden="false" customHeight="false" outlineLevel="0" collapsed="false">
      <c r="A15" s="28" t="n">
        <v>11</v>
      </c>
      <c r="B15" s="28" t="n">
        <f aca="false">'1 Your numbers'!$B$4+A15</f>
        <v>46</v>
      </c>
      <c r="C15" s="21" t="n">
        <f aca="false">FV('1 Your numbers'!$B$17/12,A15*12,-'1 Your numbers'!$B$8,-'1 Your numbers'!$B$7)</f>
        <v>170893.568895823</v>
      </c>
      <c r="D15" s="21" t="n">
        <f aca="false">C15*'1 Your numbers'!$B$11/12</f>
        <v>569.645229652743</v>
      </c>
      <c r="E15" s="17" t="n">
        <f aca="false">IFERROR(D15/'1 Your numbers'!$B$5,0)</f>
        <v>0.189881743217581</v>
      </c>
      <c r="F15" s="21" t="n">
        <f aca="false">'1 Your numbers'!$B$16</f>
        <v>900000</v>
      </c>
    </row>
    <row r="16" customFormat="false" ht="15" hidden="false" customHeight="false" outlineLevel="0" collapsed="false">
      <c r="A16" s="28" t="n">
        <v>12</v>
      </c>
      <c r="B16" s="28" t="n">
        <f aca="false">'1 Your numbers'!$B$4+A16</f>
        <v>47</v>
      </c>
      <c r="C16" s="21" t="n">
        <f aca="false">FV('1 Your numbers'!$B$17/12,A16*12,-'1 Your numbers'!$B$8,-'1 Your numbers'!$B$7)</f>
        <v>188643.945835897</v>
      </c>
      <c r="D16" s="21" t="n">
        <f aca="false">C16*'1 Your numbers'!$B$11/12</f>
        <v>628.813152786324</v>
      </c>
      <c r="E16" s="17" t="n">
        <f aca="false">IFERROR(D16/'1 Your numbers'!$B$5,0)</f>
        <v>0.209604384262108</v>
      </c>
      <c r="F16" s="21" t="n">
        <f aca="false">'1 Your numbers'!$B$16</f>
        <v>900000</v>
      </c>
    </row>
    <row r="17" customFormat="false" ht="15" hidden="false" customHeight="false" outlineLevel="0" collapsed="false">
      <c r="A17" s="28" t="n">
        <v>13</v>
      </c>
      <c r="B17" s="28" t="n">
        <f aca="false">'1 Your numbers'!$B$4+A17</f>
        <v>48</v>
      </c>
      <c r="C17" s="21" t="n">
        <f aca="false">FV('1 Your numbers'!$B$17/12,A17*12,-'1 Your numbers'!$B$8,-'1 Your numbers'!$B$7)</f>
        <v>207096.060848278</v>
      </c>
      <c r="D17" s="21" t="n">
        <f aca="false">C17*'1 Your numbers'!$B$11/12</f>
        <v>690.320202827592</v>
      </c>
      <c r="E17" s="17" t="n">
        <f aca="false">IFERROR(D17/'1 Your numbers'!$B$5,0)</f>
        <v>0.230106734275864</v>
      </c>
      <c r="F17" s="21" t="n">
        <f aca="false">'1 Your numbers'!$B$16</f>
        <v>900000</v>
      </c>
    </row>
    <row r="18" customFormat="false" ht="15" hidden="false" customHeight="false" outlineLevel="0" collapsed="false">
      <c r="A18" s="28" t="n">
        <v>14</v>
      </c>
      <c r="B18" s="28" t="n">
        <f aca="false">'1 Your numbers'!$B$4+A18</f>
        <v>49</v>
      </c>
      <c r="C18" s="21" t="n">
        <f aca="false">FV('1 Your numbers'!$B$17/12,A18*12,-'1 Your numbers'!$B$8,-'1 Your numbers'!$B$7)</f>
        <v>226277.656235214</v>
      </c>
      <c r="D18" s="21" t="n">
        <f aca="false">C18*'1 Your numbers'!$B$11/12</f>
        <v>754.25885411738</v>
      </c>
      <c r="E18" s="17" t="n">
        <f aca="false">IFERROR(D18/'1 Your numbers'!$B$5,0)</f>
        <v>0.251419618039127</v>
      </c>
      <c r="F18" s="21" t="n">
        <f aca="false">'1 Your numbers'!$B$16</f>
        <v>900000</v>
      </c>
    </row>
    <row r="19" customFormat="false" ht="15" hidden="false" customHeight="false" outlineLevel="0" collapsed="false">
      <c r="A19" s="28" t="n">
        <v>15</v>
      </c>
      <c r="B19" s="28" t="n">
        <f aca="false">'1 Your numbers'!$B$4+A19</f>
        <v>50</v>
      </c>
      <c r="C19" s="21" t="n">
        <f aca="false">FV('1 Your numbers'!$B$17/12,A19*12,-'1 Your numbers'!$B$8,-'1 Your numbers'!$B$7)</f>
        <v>246217.571054804</v>
      </c>
      <c r="D19" s="21" t="n">
        <f aca="false">C19*'1 Your numbers'!$B$11/12</f>
        <v>820.725236849346</v>
      </c>
      <c r="E19" s="17" t="n">
        <f aca="false">IFERROR(D19/'1 Your numbers'!$B$5,0)</f>
        <v>0.273575078949782</v>
      </c>
      <c r="F19" s="21" t="n">
        <f aca="false">'1 Your numbers'!$B$16</f>
        <v>900000</v>
      </c>
    </row>
    <row r="20" customFormat="false" ht="15" hidden="false" customHeight="false" outlineLevel="0" collapsed="false">
      <c r="A20" s="28" t="n">
        <v>16</v>
      </c>
      <c r="B20" s="28" t="n">
        <f aca="false">'1 Your numbers'!$B$4+A20</f>
        <v>51</v>
      </c>
      <c r="C20" s="21" t="n">
        <f aca="false">FV('1 Your numbers'!$B$17/12,A20*12,-'1 Your numbers'!$B$8,-'1 Your numbers'!$B$7)</f>
        <v>266945.784479808</v>
      </c>
      <c r="D20" s="21" t="n">
        <f aca="false">C20*'1 Your numbers'!$B$11/12</f>
        <v>889.81928159936</v>
      </c>
      <c r="E20" s="17" t="n">
        <f aca="false">IFERROR(D20/'1 Your numbers'!$B$5,0)</f>
        <v>0.296606427199787</v>
      </c>
      <c r="F20" s="21" t="n">
        <f aca="false">'1 Your numbers'!$B$16</f>
        <v>900000</v>
      </c>
    </row>
    <row r="21" customFormat="false" ht="15" hidden="false" customHeight="false" outlineLevel="0" collapsed="false">
      <c r="A21" s="28" t="n">
        <v>17</v>
      </c>
      <c r="B21" s="28" t="n">
        <f aca="false">'1 Your numbers'!$B$4+A21</f>
        <v>52</v>
      </c>
      <c r="C21" s="21" t="n">
        <f aca="false">FV('1 Your numbers'!$B$17/12,A21*12,-'1 Your numbers'!$B$8,-'1 Your numbers'!$B$7)</f>
        <v>288493.460870603</v>
      </c>
      <c r="D21" s="21" t="n">
        <f aca="false">C21*'1 Your numbers'!$B$11/12</f>
        <v>961.644869568676</v>
      </c>
      <c r="E21" s="17" t="n">
        <f aca="false">IFERROR(D21/'1 Your numbers'!$B$5,0)</f>
        <v>0.320548289856225</v>
      </c>
      <c r="F21" s="21" t="n">
        <f aca="false">'1 Your numbers'!$B$16</f>
        <v>900000</v>
      </c>
    </row>
    <row r="22" customFormat="false" ht="15" hidden="false" customHeight="false" outlineLevel="0" collapsed="false">
      <c r="A22" s="28" t="n">
        <v>18</v>
      </c>
      <c r="B22" s="28" t="n">
        <f aca="false">'1 Your numbers'!$B$4+A22</f>
        <v>53</v>
      </c>
      <c r="C22" s="21" t="n">
        <f aca="false">FV('1 Your numbers'!$B$17/12,A22*12,-'1 Your numbers'!$B$8,-'1 Your numbers'!$B$7)</f>
        <v>310892.996630029</v>
      </c>
      <c r="D22" s="21" t="n">
        <f aca="false">C22*'1 Your numbers'!$B$11/12</f>
        <v>1036.30998876676</v>
      </c>
      <c r="E22" s="17" t="n">
        <f aca="false">IFERROR(D22/'1 Your numbers'!$B$5,0)</f>
        <v>0.345436662922255</v>
      </c>
      <c r="F22" s="21" t="n">
        <f aca="false">'1 Your numbers'!$B$16</f>
        <v>900000</v>
      </c>
    </row>
    <row r="23" customFormat="false" ht="15" hidden="false" customHeight="false" outlineLevel="0" collapsed="false">
      <c r="A23" s="28" t="n">
        <v>19</v>
      </c>
      <c r="B23" s="28" t="n">
        <f aca="false">'1 Your numbers'!$B$4+A23</f>
        <v>54</v>
      </c>
      <c r="C23" s="21" t="n">
        <f aca="false">FV('1 Your numbers'!$B$17/12,A23*12,-'1 Your numbers'!$B$8,-'1 Your numbers'!$B$7)</f>
        <v>334178.068910592</v>
      </c>
      <c r="D23" s="21" t="n">
        <f aca="false">C23*'1 Your numbers'!$B$11/12</f>
        <v>1113.92689636864</v>
      </c>
      <c r="E23" s="17" t="n">
        <f aca="false">IFERROR(D23/'1 Your numbers'!$B$5,0)</f>
        <v>0.371308965456213</v>
      </c>
      <c r="F23" s="21" t="n">
        <f aca="false">'1 Your numbers'!$B$16</f>
        <v>900000</v>
      </c>
    </row>
    <row r="24" customFormat="false" ht="15" hidden="false" customHeight="false" outlineLevel="0" collapsed="false">
      <c r="A24" s="28" t="n">
        <v>20</v>
      </c>
      <c r="B24" s="28" t="n">
        <f aca="false">'1 Your numbers'!$B$4+A24</f>
        <v>55</v>
      </c>
      <c r="C24" s="21" t="n">
        <f aca="false">FV('1 Your numbers'!$B$17/12,A24*12,-'1 Your numbers'!$B$8,-'1 Your numbers'!$B$7)</f>
        <v>358383.68624723</v>
      </c>
      <c r="D24" s="21" t="n">
        <f aca="false">C24*'1 Your numbers'!$B$11/12</f>
        <v>1194.61228749077</v>
      </c>
      <c r="E24" s="17" t="n">
        <f aca="false">IFERROR(D24/'1 Your numbers'!$B$5,0)</f>
        <v>0.398204095830256</v>
      </c>
      <c r="F24" s="21" t="n">
        <f aca="false">'1 Your numbers'!$B$16</f>
        <v>900000</v>
      </c>
    </row>
    <row r="25" customFormat="false" ht="15" hidden="false" customHeight="false" outlineLevel="0" collapsed="false">
      <c r="A25" s="28" t="n">
        <v>21</v>
      </c>
      <c r="B25" s="28" t="n">
        <f aca="false">'1 Your numbers'!$B$4+A25</f>
        <v>56</v>
      </c>
      <c r="C25" s="21" t="n">
        <f aca="false">FV('1 Your numbers'!$B$17/12,A25*12,-'1 Your numbers'!$B$8,-'1 Your numbers'!$B$7)</f>
        <v>383546.241191793</v>
      </c>
      <c r="D25" s="21" t="n">
        <f aca="false">C25*'1 Your numbers'!$B$11/12</f>
        <v>1278.48747063931</v>
      </c>
      <c r="E25" s="17" t="n">
        <f aca="false">IFERROR(D25/'1 Your numbers'!$B$5,0)</f>
        <v>0.426162490213103</v>
      </c>
      <c r="F25" s="21" t="n">
        <f aca="false">'1 Your numbers'!$B$16</f>
        <v>900000</v>
      </c>
    </row>
    <row r="26" customFormat="false" ht="15" hidden="false" customHeight="false" outlineLevel="0" collapsed="false">
      <c r="A26" s="28" t="n">
        <v>22</v>
      </c>
      <c r="B26" s="28" t="n">
        <f aca="false">'1 Your numbers'!$B$4+A26</f>
        <v>57</v>
      </c>
      <c r="C26" s="21" t="n">
        <f aca="false">FV('1 Your numbers'!$B$17/12,A26*12,-'1 Your numbers'!$B$8,-'1 Your numbers'!$B$7)</f>
        <v>409703.565028346</v>
      </c>
      <c r="D26" s="21" t="n">
        <f aca="false">C26*'1 Your numbers'!$B$11/12</f>
        <v>1365.67855009449</v>
      </c>
      <c r="E26" s="17" t="n">
        <f aca="false">IFERROR(D26/'1 Your numbers'!$B$5,0)</f>
        <v>0.455226183364829</v>
      </c>
      <c r="F26" s="21" t="n">
        <f aca="false">'1 Your numbers'!$B$16</f>
        <v>900000</v>
      </c>
    </row>
    <row r="27" customFormat="false" ht="15" hidden="false" customHeight="false" outlineLevel="0" collapsed="false">
      <c r="A27" s="28" t="n">
        <v>23</v>
      </c>
      <c r="B27" s="28" t="n">
        <f aca="false">'1 Your numbers'!$B$4+A27</f>
        <v>58</v>
      </c>
      <c r="C27" s="21" t="n">
        <f aca="false">FV('1 Your numbers'!$B$17/12,A27*12,-'1 Your numbers'!$B$8,-'1 Your numbers'!$B$7)</f>
        <v>436894.984651581</v>
      </c>
      <c r="D27" s="21" t="n">
        <f aca="false">C27*'1 Your numbers'!$B$11/12</f>
        <v>1456.31661550527</v>
      </c>
      <c r="E27" s="17" t="n">
        <f aca="false">IFERROR(D27/'1 Your numbers'!$B$5,0)</f>
        <v>0.485438871835089</v>
      </c>
      <c r="F27" s="21" t="n">
        <f aca="false">'1 Your numbers'!$B$16</f>
        <v>900000</v>
      </c>
    </row>
    <row r="28" customFormat="false" ht="15" hidden="false" customHeight="false" outlineLevel="0" collapsed="false">
      <c r="A28" s="28" t="n">
        <v>24</v>
      </c>
      <c r="B28" s="28" t="n">
        <f aca="false">'1 Your numbers'!$B$4+A28</f>
        <v>59</v>
      </c>
      <c r="C28" s="21" t="n">
        <f aca="false">FV('1 Your numbers'!$B$17/12,A28*12,-'1 Your numbers'!$B$8,-'1 Your numbers'!$B$7)</f>
        <v>465161.381693835</v>
      </c>
      <c r="D28" s="21" t="n">
        <f aca="false">C28*'1 Your numbers'!$B$11/12</f>
        <v>1550.53793897945</v>
      </c>
      <c r="E28" s="17" t="n">
        <f aca="false">IFERROR(D28/'1 Your numbers'!$B$5,0)</f>
        <v>0.516845979659817</v>
      </c>
      <c r="F28" s="21" t="n">
        <f aca="false">'1 Your numbers'!$B$16</f>
        <v>900000</v>
      </c>
    </row>
    <row r="29" customFormat="false" ht="15" hidden="false" customHeight="false" outlineLevel="0" collapsed="false">
      <c r="A29" s="28" t="n">
        <v>25</v>
      </c>
      <c r="B29" s="28" t="n">
        <f aca="false">'1 Your numbers'!$B$4+A29</f>
        <v>60</v>
      </c>
      <c r="C29" s="21" t="n">
        <f aca="false">FV('1 Your numbers'!$B$17/12,A29*12,-'1 Your numbers'!$B$8,-'1 Your numbers'!$B$7)</f>
        <v>494545.253989626</v>
      </c>
      <c r="D29" s="21" t="n">
        <f aca="false">C29*'1 Your numbers'!$B$11/12</f>
        <v>1648.48417996542</v>
      </c>
      <c r="E29" s="17" t="n">
        <f aca="false">IFERROR(D29/'1 Your numbers'!$B$5,0)</f>
        <v>0.54949472665514</v>
      </c>
      <c r="F29" s="21" t="n">
        <f aca="false">'1 Your numbers'!$B$16</f>
        <v>900000</v>
      </c>
    </row>
    <row r="30" customFormat="false" ht="15" hidden="false" customHeight="false" outlineLevel="0" collapsed="false">
      <c r="A30" s="28" t="n">
        <v>26</v>
      </c>
      <c r="B30" s="28" t="n">
        <f aca="false">'1 Your numbers'!$B$4+A30</f>
        <v>61</v>
      </c>
      <c r="C30" s="21" t="n">
        <f aca="false">FV('1 Your numbers'!$B$17/12,A30*12,-'1 Your numbers'!$B$8,-'1 Your numbers'!$B$7)</f>
        <v>525090.779470098</v>
      </c>
      <c r="D30" s="21" t="n">
        <f aca="false">C30*'1 Your numbers'!$B$11/12</f>
        <v>1750.30259823366</v>
      </c>
      <c r="E30" s="17" t="n">
        <f aca="false">IFERROR(D30/'1 Your numbers'!$B$5,0)</f>
        <v>0.58343419941122</v>
      </c>
      <c r="F30" s="21" t="n">
        <f aca="false">'1 Your numbers'!$B$16</f>
        <v>900000</v>
      </c>
    </row>
    <row r="31" customFormat="false" ht="15" hidden="false" customHeight="false" outlineLevel="0" collapsed="false">
      <c r="A31" s="28" t="n">
        <v>27</v>
      </c>
      <c r="B31" s="28" t="n">
        <f aca="false">'1 Your numbers'!$B$4+A31</f>
        <v>62</v>
      </c>
      <c r="C31" s="21" t="n">
        <f aca="false">FV('1 Your numbers'!$B$17/12,A31*12,-'1 Your numbers'!$B$8,-'1 Your numbers'!$B$7)</f>
        <v>556843.882583462</v>
      </c>
      <c r="D31" s="21" t="n">
        <f aca="false">C31*'1 Your numbers'!$B$11/12</f>
        <v>1856.14627527821</v>
      </c>
      <c r="E31" s="17" t="n">
        <f aca="false">IFERROR(D31/'1 Your numbers'!$B$5,0)</f>
        <v>0.618715425092735</v>
      </c>
      <c r="F31" s="21" t="n">
        <f aca="false">'1 Your numbers'!$B$16</f>
        <v>900000</v>
      </c>
    </row>
    <row r="32" customFormat="false" ht="15" hidden="false" customHeight="false" outlineLevel="0" collapsed="false">
      <c r="A32" s="28" t="n">
        <v>28</v>
      </c>
      <c r="B32" s="28" t="n">
        <f aca="false">'1 Your numbers'!$B$4+A32</f>
        <v>63</v>
      </c>
      <c r="C32" s="21" t="n">
        <f aca="false">FV('1 Your numbers'!$B$17/12,A32*12,-'1 Your numbers'!$B$8,-'1 Your numbers'!$B$7)</f>
        <v>589852.303341275</v>
      </c>
      <c r="D32" s="21" t="n">
        <f aca="false">C32*'1 Your numbers'!$B$11/12</f>
        <v>1966.17434447092</v>
      </c>
      <c r="E32" s="17" t="n">
        <f aca="false">IFERROR(D32/'1 Your numbers'!$B$5,0)</f>
        <v>0.655391448156972</v>
      </c>
      <c r="F32" s="21" t="n">
        <f aca="false">'1 Your numbers'!$B$16</f>
        <v>900000</v>
      </c>
    </row>
    <row r="33" customFormat="false" ht="15" hidden="false" customHeight="false" outlineLevel="0" collapsed="false">
      <c r="A33" s="28" t="n">
        <v>29</v>
      </c>
      <c r="B33" s="28" t="n">
        <f aca="false">'1 Your numbers'!$B$4+A33</f>
        <v>64</v>
      </c>
      <c r="C33" s="21" t="n">
        <f aca="false">FV('1 Your numbers'!$B$17/12,A33*12,-'1 Your numbers'!$B$8,-'1 Your numbers'!$B$7)</f>
        <v>624165.669094378</v>
      </c>
      <c r="D33" s="21" t="n">
        <f aca="false">C33*'1 Your numbers'!$B$11/12</f>
        <v>2080.55223031459</v>
      </c>
      <c r="E33" s="17" t="n">
        <f aca="false">IFERROR(D33/'1 Your numbers'!$B$5,0)</f>
        <v>0.693517410104865</v>
      </c>
      <c r="F33" s="21" t="n">
        <f aca="false">'1 Your numbers'!$B$16</f>
        <v>900000</v>
      </c>
    </row>
    <row r="34" customFormat="false" ht="15" hidden="false" customHeight="false" outlineLevel="0" collapsed="false">
      <c r="A34" s="28" t="n">
        <v>30</v>
      </c>
      <c r="B34" s="28" t="n">
        <f aca="false">'1 Your numbers'!$B$4+A34</f>
        <v>65</v>
      </c>
      <c r="C34" s="21" t="n">
        <f aca="false">FV('1 Your numbers'!$B$17/12,A34*12,-'1 Your numbers'!$B$8,-'1 Your numbers'!$B$7)</f>
        <v>659835.569146398</v>
      </c>
      <c r="D34" s="21" t="n">
        <f aca="false">C34*'1 Your numbers'!$B$11/12</f>
        <v>2199.45189715466</v>
      </c>
      <c r="E34" s="17" t="n">
        <f aca="false">IFERROR(D34/'1 Your numbers'!$B$5,0)</f>
        <v>0.733150632384887</v>
      </c>
      <c r="F34" s="21" t="n">
        <f aca="false">'1 Your numbers'!$B$16</f>
        <v>900000</v>
      </c>
    </row>
    <row r="35" customFormat="false" ht="15" hidden="false" customHeight="false" outlineLevel="0" collapsed="false">
      <c r="A35" s="28" t="n">
        <v>31</v>
      </c>
      <c r="B35" s="28" t="n">
        <f aca="false">'1 Your numbers'!$B$4+A35</f>
        <v>66</v>
      </c>
      <c r="C35" s="21" t="n">
        <f aca="false">FV('1 Your numbers'!$B$17/12,A35*12,-'1 Your numbers'!$B$8,-'1 Your numbers'!$B$7)</f>
        <v>696915.632317001</v>
      </c>
      <c r="D35" s="21" t="n">
        <f aca="false">C35*'1 Your numbers'!$B$11/12</f>
        <v>2323.05210772334</v>
      </c>
      <c r="E35" s="17" t="n">
        <f aca="false">IFERROR(D35/'1 Your numbers'!$B$5,0)</f>
        <v>0.774350702574446</v>
      </c>
      <c r="F35" s="21" t="n">
        <f aca="false">'1 Your numbers'!$B$16</f>
        <v>900000</v>
      </c>
    </row>
    <row r="36" customFormat="false" ht="15" hidden="false" customHeight="false" outlineLevel="0" collapsed="false">
      <c r="A36" s="28" t="n">
        <v>32</v>
      </c>
      <c r="B36" s="28" t="n">
        <f aca="false">'1 Your numbers'!$B$4+A36</f>
        <v>67</v>
      </c>
      <c r="C36" s="21" t="n">
        <f aca="false">FV('1 Your numbers'!$B$17/12,A36*12,-'1 Your numbers'!$B$8,-'1 Your numbers'!$B$7)</f>
        <v>735461.60757151</v>
      </c>
      <c r="D36" s="21" t="n">
        <f aca="false">C36*'1 Your numbers'!$B$11/12</f>
        <v>2451.53869190503</v>
      </c>
      <c r="E36" s="17" t="n">
        <f aca="false">IFERROR(D36/'1 Your numbers'!$B$5,0)</f>
        <v>0.817179563968344</v>
      </c>
      <c r="F36" s="21" t="n">
        <f aca="false">'1 Your numbers'!$B$16</f>
        <v>900000</v>
      </c>
    </row>
    <row r="37" customFormat="false" ht="15" hidden="false" customHeight="false" outlineLevel="0" collapsed="false">
      <c r="A37" s="28" t="n">
        <v>33</v>
      </c>
      <c r="B37" s="28" t="n">
        <f aca="false">'1 Your numbers'!$B$4+A37</f>
        <v>68</v>
      </c>
      <c r="C37" s="21" t="n">
        <f aca="false">FV('1 Your numbers'!$B$17/12,A37*12,-'1 Your numbers'!$B$8,-'1 Your numbers'!$B$7)</f>
        <v>775531.4478381</v>
      </c>
      <c r="D37" s="21" t="n">
        <f aca="false">C37*'1 Your numbers'!$B$11/12</f>
        <v>2585.104826127</v>
      </c>
      <c r="E37" s="17" t="n">
        <f aca="false">IFERROR(D37/'1 Your numbers'!$B$5,0)</f>
        <v>0.861701608709</v>
      </c>
      <c r="F37" s="21" t="n">
        <f aca="false">'1 Your numbers'!$B$16</f>
        <v>900000</v>
      </c>
    </row>
    <row r="38" customFormat="false" ht="15" hidden="false" customHeight="false" outlineLevel="0" collapsed="false">
      <c r="A38" s="28" t="n">
        <v>34</v>
      </c>
      <c r="B38" s="28" t="n">
        <f aca="false">'1 Your numbers'!$B$4+A38</f>
        <v>69</v>
      </c>
      <c r="C38" s="21" t="n">
        <f aca="false">FV('1 Your numbers'!$B$17/12,A38*12,-'1 Your numbers'!$B$8,-'1 Your numbers'!$B$7)</f>
        <v>817185.397138612</v>
      </c>
      <c r="D38" s="21" t="n">
        <f aca="false">C38*'1 Your numbers'!$B$11/12</f>
        <v>2723.95132379537</v>
      </c>
      <c r="E38" s="17" t="n">
        <f aca="false">IFERROR(D38/'1 Your numbers'!$B$5,0)</f>
        <v>0.907983774598458</v>
      </c>
      <c r="F38" s="21" t="n">
        <f aca="false">'1 Your numbers'!$B$16</f>
        <v>900000</v>
      </c>
    </row>
    <row r="39" customFormat="false" ht="15" hidden="false" customHeight="false" outlineLevel="0" collapsed="false">
      <c r="A39" s="28" t="n">
        <v>35</v>
      </c>
      <c r="B39" s="28" t="n">
        <f aca="false">'1 Your numbers'!$B$4+A39</f>
        <v>70</v>
      </c>
      <c r="C39" s="21" t="n">
        <f aca="false">FV('1 Your numbers'!$B$17/12,A39*12,-'1 Your numbers'!$B$8,-'1 Your numbers'!$B$7)</f>
        <v>860486.081163956</v>
      </c>
      <c r="D39" s="21" t="n">
        <f aca="false">C39*'1 Your numbers'!$B$11/12</f>
        <v>2868.28693721319</v>
      </c>
      <c r="E39" s="17" t="n">
        <f aca="false">IFERROR(D39/'1 Your numbers'!$B$5,0)</f>
        <v>0.956095645737729</v>
      </c>
      <c r="F39" s="21" t="n">
        <f aca="false">'1 Your numbers'!$B$16</f>
        <v>900000</v>
      </c>
    </row>
    <row r="40" customFormat="false" ht="15" hidden="false" customHeight="false" outlineLevel="0" collapsed="false">
      <c r="A40" s="28" t="n">
        <v>36</v>
      </c>
      <c r="B40" s="28" t="n">
        <f aca="false">'1 Your numbers'!$B$4+A40</f>
        <v>71</v>
      </c>
      <c r="C40" s="21" t="n">
        <f aca="false">FV('1 Your numbers'!$B$17/12,A40*12,-'1 Your numbers'!$B$8,-'1 Your numbers'!$B$7)</f>
        <v>905498.601430302</v>
      </c>
      <c r="D40" s="21" t="n">
        <f aca="false">C40*'1 Your numbers'!$B$11/12</f>
        <v>3018.32867143434</v>
      </c>
      <c r="E40" s="17" t="n">
        <f aca="false">IFERROR(D40/'1 Your numbers'!$B$5,0)</f>
        <v>1.00610955714478</v>
      </c>
      <c r="F40" s="21" t="n">
        <f aca="false">'1 Your numbers'!$B$16</f>
        <v>900000</v>
      </c>
    </row>
    <row r="41" customFormat="false" ht="15" hidden="false" customHeight="false" outlineLevel="0" collapsed="false">
      <c r="A41" s="28" t="n">
        <v>37</v>
      </c>
      <c r="B41" s="28" t="n">
        <f aca="false">'1 Your numbers'!$B$4+A41</f>
        <v>72</v>
      </c>
      <c r="C41" s="21" t="n">
        <f aca="false">FV('1 Your numbers'!$B$17/12,A41*12,-'1 Your numbers'!$B$8,-'1 Your numbers'!$B$7)</f>
        <v>952290.633157615</v>
      </c>
      <c r="D41" s="21" t="n">
        <f aca="false">C41*'1 Your numbers'!$B$11/12</f>
        <v>3174.30211052538</v>
      </c>
      <c r="E41" s="17" t="n">
        <f aca="false">IFERROR(D41/'1 Your numbers'!$B$5,0)</f>
        <v>1.05810070350846</v>
      </c>
      <c r="F41" s="21" t="n">
        <f aca="false">'1 Your numbers'!$B$16</f>
        <v>900000</v>
      </c>
    </row>
    <row r="42" customFormat="false" ht="15" hidden="false" customHeight="false" outlineLevel="0" collapsed="false">
      <c r="A42" s="28" t="n">
        <v>38</v>
      </c>
      <c r="B42" s="28" t="n">
        <f aca="false">'1 Your numbers'!$B$4+A42</f>
        <v>73</v>
      </c>
      <c r="C42" s="21" t="n">
        <f aca="false">FV('1 Your numbers'!$B$17/12,A42*12,-'1 Your numbers'!$B$8,-'1 Your numbers'!$B$7)</f>
        <v>1000932.52701768</v>
      </c>
      <c r="D42" s="21" t="n">
        <f aca="false">C42*'1 Your numbers'!$B$11/12</f>
        <v>3336.44175672562</v>
      </c>
      <c r="E42" s="17" t="n">
        <f aca="false">IFERROR(D42/'1 Your numbers'!$B$5,0)</f>
        <v>1.11214725224187</v>
      </c>
      <c r="F42" s="21" t="n">
        <f aca="false">'1 Your numbers'!$B$16</f>
        <v>900000</v>
      </c>
    </row>
    <row r="43" customFormat="false" ht="15" hidden="false" customHeight="false" outlineLevel="0" collapsed="false">
      <c r="A43" s="28" t="n">
        <v>39</v>
      </c>
      <c r="B43" s="28" t="n">
        <f aca="false">'1 Your numbers'!$B$4+A43</f>
        <v>74</v>
      </c>
      <c r="C43" s="21" t="n">
        <f aca="false">FV('1 Your numbers'!$B$17/12,A43*12,-'1 Your numbers'!$B$8,-'1 Your numbers'!$B$7)</f>
        <v>1051497.41490464</v>
      </c>
      <c r="D43" s="21" t="n">
        <f aca="false">C43*'1 Your numbers'!$B$11/12</f>
        <v>3504.99138301546</v>
      </c>
      <c r="E43" s="17" t="n">
        <f aca="false">IFERROR(D43/'1 Your numbers'!$B$5,0)</f>
        <v>1.16833046100515</v>
      </c>
      <c r="F43" s="21" t="n">
        <f aca="false">'1 Your numbers'!$B$16</f>
        <v>900000</v>
      </c>
    </row>
    <row r="44" customFormat="false" ht="15" hidden="false" customHeight="false" outlineLevel="0" collapsed="false">
      <c r="A44" s="28" t="n">
        <v>40</v>
      </c>
      <c r="B44" s="28" t="n">
        <f aca="false">'1 Your numbers'!$B$4+A44</f>
        <v>75</v>
      </c>
      <c r="C44" s="21" t="n">
        <f aca="false">FV('1 Your numbers'!$B$17/12,A44*12,-'1 Your numbers'!$B$8,-'1 Your numbers'!$B$7)</f>
        <v>1104061.31988694</v>
      </c>
      <c r="D44" s="21" t="n">
        <f aca="false">C44*'1 Your numbers'!$B$11/12</f>
        <v>3680.20439962314</v>
      </c>
      <c r="E44" s="17" t="n">
        <f aca="false">IFERROR(D44/'1 Your numbers'!$B$5,0)</f>
        <v>1.22673479987438</v>
      </c>
      <c r="F44" s="21" t="n">
        <f aca="false">'1 Your numbers'!$B$16</f>
        <v>900000</v>
      </c>
    </row>
  </sheetData>
  <conditionalFormatting sqref="A4:F44">
    <cfRule type="expression" priority="2" aboveAverage="0" equalAverage="0" bottom="0" percent="0" rank="0" text="" dxfId="0">
      <formula>$E4&gt;=1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0E10"/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48"/>
  </cols>
  <sheetData>
    <row r="1" customFormat="false" ht="33.75" hidden="false" customHeight="true" outlineLevel="0" collapsed="false">
      <c r="A1" s="1" t="s">
        <v>90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91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9" t="s">
        <v>92</v>
      </c>
      <c r="B3" s="9" t="s">
        <v>93</v>
      </c>
      <c r="C3" s="9" t="s">
        <v>94</v>
      </c>
      <c r="D3" s="9" t="s">
        <v>95</v>
      </c>
      <c r="E3" s="9" t="s">
        <v>80</v>
      </c>
      <c r="F3" s="9" t="s">
        <v>96</v>
      </c>
      <c r="G3" s="9" t="s">
        <v>97</v>
      </c>
    </row>
    <row r="4" customFormat="false" ht="15" hidden="false" customHeight="false" outlineLevel="0" collapsed="false">
      <c r="A4" s="28" t="n">
        <v>1</v>
      </c>
      <c r="B4" s="11"/>
      <c r="C4" s="11"/>
      <c r="D4" s="11"/>
      <c r="E4" s="13"/>
      <c r="F4" s="11"/>
      <c r="G4" s="29"/>
    </row>
    <row r="5" customFormat="false" ht="15" hidden="false" customHeight="false" outlineLevel="0" collapsed="false">
      <c r="A5" s="28" t="n">
        <v>2</v>
      </c>
      <c r="B5" s="11"/>
      <c r="C5" s="11"/>
      <c r="D5" s="11"/>
      <c r="E5" s="13"/>
      <c r="F5" s="11"/>
      <c r="G5" s="29"/>
    </row>
    <row r="6" customFormat="false" ht="15" hidden="false" customHeight="false" outlineLevel="0" collapsed="false">
      <c r="A6" s="28" t="n">
        <v>3</v>
      </c>
      <c r="B6" s="11"/>
      <c r="C6" s="11"/>
      <c r="D6" s="11"/>
      <c r="E6" s="13"/>
      <c r="F6" s="11"/>
      <c r="G6" s="29"/>
    </row>
    <row r="7" customFormat="false" ht="15" hidden="false" customHeight="false" outlineLevel="0" collapsed="false">
      <c r="A7" s="28" t="n">
        <v>4</v>
      </c>
      <c r="B7" s="11"/>
      <c r="C7" s="11"/>
      <c r="D7" s="11"/>
      <c r="E7" s="13"/>
      <c r="F7" s="11"/>
      <c r="G7" s="29"/>
    </row>
    <row r="8" customFormat="false" ht="15" hidden="false" customHeight="false" outlineLevel="0" collapsed="false">
      <c r="A8" s="28" t="n">
        <v>5</v>
      </c>
      <c r="B8" s="11"/>
      <c r="C8" s="11"/>
      <c r="D8" s="11"/>
      <c r="E8" s="13"/>
      <c r="F8" s="11"/>
      <c r="G8" s="29"/>
    </row>
    <row r="9" customFormat="false" ht="15" hidden="false" customHeight="false" outlineLevel="0" collapsed="false">
      <c r="A9" s="28" t="n">
        <v>6</v>
      </c>
      <c r="B9" s="11"/>
      <c r="C9" s="11"/>
      <c r="D9" s="11"/>
      <c r="E9" s="13"/>
      <c r="F9" s="11"/>
      <c r="G9" s="29"/>
    </row>
    <row r="10" customFormat="false" ht="15" hidden="false" customHeight="false" outlineLevel="0" collapsed="false">
      <c r="A10" s="28" t="n">
        <v>7</v>
      </c>
      <c r="B10" s="11"/>
      <c r="C10" s="11"/>
      <c r="D10" s="11"/>
      <c r="E10" s="13"/>
      <c r="F10" s="11"/>
      <c r="G10" s="29"/>
    </row>
    <row r="11" customFormat="false" ht="15" hidden="false" customHeight="false" outlineLevel="0" collapsed="false">
      <c r="A11" s="28" t="n">
        <v>8</v>
      </c>
      <c r="B11" s="11"/>
      <c r="C11" s="11"/>
      <c r="D11" s="11"/>
      <c r="E11" s="13"/>
      <c r="F11" s="11"/>
      <c r="G11" s="29"/>
    </row>
    <row r="12" customFormat="false" ht="15" hidden="false" customHeight="false" outlineLevel="0" collapsed="false">
      <c r="A12" s="28" t="n">
        <v>9</v>
      </c>
      <c r="B12" s="11"/>
      <c r="C12" s="11"/>
      <c r="D12" s="11"/>
      <c r="E12" s="13"/>
      <c r="F12" s="11"/>
      <c r="G12" s="29"/>
    </row>
    <row r="13" customFormat="false" ht="15" hidden="false" customHeight="false" outlineLevel="0" collapsed="false">
      <c r="A13" s="28" t="n">
        <v>10</v>
      </c>
      <c r="B13" s="11"/>
      <c r="C13" s="11"/>
      <c r="D13" s="11"/>
      <c r="E13" s="13"/>
      <c r="F13" s="11"/>
      <c r="G13" s="29"/>
    </row>
    <row r="14" customFormat="false" ht="15" hidden="false" customHeight="false" outlineLevel="0" collapsed="false">
      <c r="A14" s="28" t="n">
        <v>11</v>
      </c>
      <c r="B14" s="11"/>
      <c r="C14" s="11"/>
      <c r="D14" s="11"/>
      <c r="E14" s="13"/>
      <c r="F14" s="11"/>
      <c r="G14" s="29"/>
    </row>
    <row r="15" customFormat="false" ht="15" hidden="false" customHeight="false" outlineLevel="0" collapsed="false">
      <c r="A15" s="28" t="n">
        <v>12</v>
      </c>
      <c r="B15" s="11"/>
      <c r="C15" s="11"/>
      <c r="D15" s="11"/>
      <c r="E15" s="13"/>
      <c r="F15" s="11"/>
      <c r="G15" s="29"/>
    </row>
    <row r="16" customFormat="false" ht="15" hidden="false" customHeight="false" outlineLevel="0" collapsed="false">
      <c r="A16" s="28" t="n">
        <v>13</v>
      </c>
      <c r="B16" s="11"/>
      <c r="C16" s="11"/>
      <c r="D16" s="11"/>
      <c r="E16" s="13"/>
      <c r="F16" s="11"/>
      <c r="G16" s="29"/>
    </row>
    <row r="18" customFormat="false" ht="15" hidden="false" customHeight="false" outlineLevel="0" collapsed="false">
      <c r="A18" s="5" t="s">
        <v>98</v>
      </c>
      <c r="B18" s="27" t="n">
        <f aca="false">SUM(B4:B16)</f>
        <v>0</v>
      </c>
      <c r="C18" s="27" t="n">
        <f aca="false">SUM(C4:C16)</f>
        <v>0</v>
      </c>
      <c r="D18" s="27" t="n">
        <f aca="false">SUM(D4:D16)</f>
        <v>0</v>
      </c>
      <c r="E18" s="15" t="n">
        <f aca="false">SUM(E4:E16)</f>
        <v>0</v>
      </c>
      <c r="F18" s="27" t="n">
        <f aca="false">SUM(F4:F16)</f>
        <v>0</v>
      </c>
    </row>
    <row r="20" customFormat="false" ht="15" hidden="false" customHeight="false" outlineLevel="0" collapsed="false">
      <c r="A20" s="10" t="s">
        <v>99</v>
      </c>
      <c r="B20" s="30" t="n">
        <f aca="false">IFERROR(C18/B18,0)</f>
        <v>0</v>
      </c>
    </row>
    <row r="21" customFormat="false" ht="15" hidden="false" customHeight="false" outlineLevel="0" collapsed="false">
      <c r="A21" s="10" t="s">
        <v>100</v>
      </c>
      <c r="B21" s="30" t="n">
        <f aca="false">IFERROR(D18/C18,0)</f>
        <v>0</v>
      </c>
    </row>
    <row r="22" customFormat="false" ht="15" hidden="false" customHeight="false" outlineLevel="0" collapsed="false">
      <c r="A22" s="10" t="s">
        <v>101</v>
      </c>
      <c r="B22" s="16" t="n">
        <f aca="false">IFERROR(D18/B18,0)</f>
        <v>0</v>
      </c>
    </row>
    <row r="23" customFormat="false" ht="15" hidden="false" customHeight="false" outlineLevel="0" collapsed="false">
      <c r="A23" s="10" t="s">
        <v>102</v>
      </c>
      <c r="B23" s="23" t="n">
        <f aca="false">IFERROR(E18/F18,0)</f>
        <v>0</v>
      </c>
    </row>
    <row r="24" customFormat="false" ht="15" hidden="false" customHeight="true" outlineLevel="0" collapsed="false">
      <c r="A24" s="4" t="s">
        <v>103</v>
      </c>
      <c r="B24" s="4"/>
      <c r="C24" s="4"/>
      <c r="D24" s="4"/>
      <c r="E24" s="4"/>
      <c r="F24" s="4"/>
      <c r="G24" s="4"/>
    </row>
  </sheetData>
  <mergeCells count="1"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2026-10-07T13:02:26Z</dcterms:created>
  <dc:creator>Quiet Money</dc:creator>
  <dc:description/>
  <dc:language>en-US</dc:language>
  <cp:lastModifiedBy/>
  <dcterms:modified xsi:type="dcterms:W3CDTF">2026-10-07T13:02:26Z</dcterms:modified>
  <cp:revision>0</cp:revision>
  <dc:subject/>
  <dc:title>Rat Race Escape Planner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