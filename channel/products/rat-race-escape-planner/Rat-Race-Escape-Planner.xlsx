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1 Your numbers" sheetId="2" state="visible" r:id="rId2"/>
    <sheet name="2 Income streams" sheetId="3" state="visible" r:id="rId3"/>
    <sheet name="3 Rule of 100" sheetId="4" state="visible" r:id="rId4"/>
    <sheet name="4 Projection" sheetId="5" state="visible" r:id="rId5"/>
    <sheet name="5 Weekly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0.0"/>
    <numFmt numFmtId="167" formatCode="$#,##0.00"/>
  </numFmts>
  <fonts count="10">
    <font>
      <name val="Calibri"/>
      <family val="2"/>
      <color theme="1"/>
      <sz val="11"/>
      <scheme val="minor"/>
    </font>
    <font>
      <name val="Calibri"/>
      <b val="1"/>
      <color rgb="00FFD23F"/>
      <sz val="20"/>
    </font>
    <font>
      <name val="Calibri"/>
      <i val="1"/>
      <color rgb="00F5F1E6"/>
      <sz val="11"/>
    </font>
    <font>
      <name val="Calibri"/>
      <sz val="11"/>
    </font>
    <font>
      <name val="Calibri"/>
      <b val="1"/>
      <sz val="11"/>
    </font>
    <font>
      <name val="Calibri"/>
      <color rgb="001F4E9E"/>
      <sz val="11"/>
    </font>
    <font>
      <name val="Calibri"/>
      <color rgb="00000000"/>
      <sz val="11"/>
    </font>
    <font>
      <name val="Calibri"/>
      <i val="1"/>
      <color rgb="008A8678"/>
      <sz val="10"/>
    </font>
    <font>
      <name val="Calibri"/>
      <b val="1"/>
      <color rgb="00FFD23F"/>
      <sz val="11"/>
    </font>
    <font>
      <name val="Calibr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0E0E10"/>
      </patternFill>
    </fill>
    <fill>
      <patternFill patternType="solid">
        <fgColor rgb="00DCEBFF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right" vertical="center"/>
    </xf>
    <xf numFmtId="0" fontId="7" fillId="0" borderId="0" pivotButton="0" quotePrefix="0" xfId="0"/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10" fontId="6" fillId="4" borderId="1" applyAlignment="1" pivotButton="0" quotePrefix="0" xfId="0">
      <alignment horizontal="right" vertical="center"/>
    </xf>
    <xf numFmtId="9" fontId="6" fillId="4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166" fontId="9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/>
    </xf>
    <xf numFmtId="167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/>
    </xf>
    <xf numFmtId="9" fontId="9" fillId="4" borderId="1" applyAlignment="1" pivotButton="0" quotePrefix="0" xfId="0">
      <alignment horizontal="right" vertical="center"/>
    </xf>
    <xf numFmtId="1" fontId="9" fillId="4" borderId="1" applyAlignment="1" pivotButton="0" quotePrefix="0" xfId="0">
      <alignment horizontal="right" vertical="center"/>
    </xf>
    <xf numFmtId="3" fontId="9" fillId="4" borderId="1" applyAlignment="1" pivotButton="0" quotePrefix="0" xfId="0">
      <alignment horizontal="right" vertical="center"/>
    </xf>
    <xf numFmtId="1" fontId="6" fillId="4" borderId="1" applyAlignment="1" pivotButton="0" quotePrefix="0" xfId="0">
      <alignment horizontal="right" vertical="center"/>
    </xf>
    <xf numFmtId="1" fontId="5" fillId="3" borderId="1" applyAlignment="1" pivotButton="0" quotePrefix="0" xfId="0">
      <alignment horizontal="left"/>
    </xf>
    <xf numFmtId="165" fontId="6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CDEF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Invested vs freedom number (today's dollars)</a:t>
            </a:r>
          </a:p>
        </rich>
      </tx>
    </title>
    <plotArea>
      <lineChart>
        <grouping val="standard"/>
        <ser>
          <idx val="0"/>
          <order val="0"/>
          <tx>
            <strRef>
              <f>'4 Projection'!C3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 Projection'!$A$4:$A$44</f>
            </numRef>
          </cat>
          <val>
            <numRef>
              <f>'4 Projection'!$C$4:$C$44</f>
            </numRef>
          </val>
        </ser>
        <ser>
          <idx val="1"/>
          <order val="1"/>
          <tx>
            <strRef>
              <f>'4 Projection'!F3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 Projection'!$A$4:$A$44</f>
            </numRef>
          </cat>
          <val>
            <numRef>
              <f>'4 Projection'!$F$4:$F$44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E0E10"/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4" customHeight="1">
      <c r="A1" s="1" t="inlineStr">
        <is>
          <t>Rat Race Escape Planner</t>
        </is>
      </c>
      <c r="B1" s="2" t="n"/>
      <c r="C1" s="2" t="n"/>
      <c r="D1" s="2" t="n"/>
      <c r="E1" s="2" t="n"/>
      <c r="F1" s="2" t="n"/>
    </row>
    <row r="2">
      <c r="A2" s="3" t="inlineStr">
        <is>
          <t>Know your freedom number. Track every income stream. Execute for 100 days.</t>
        </is>
      </c>
      <c r="B2" s="2" t="n"/>
      <c r="C2" s="2" t="n"/>
      <c r="D2" s="2" t="n"/>
      <c r="E2" s="2" t="n"/>
      <c r="F2" s="2" t="n"/>
    </row>
    <row r="4" ht="32" customHeight="1">
      <c r="A4" s="4" t="inlineStr">
        <is>
          <t>1. Open '1 Your numbers' and replace the blue cells with your own. Gray cells are formulas: leave them alone.</t>
        </is>
      </c>
    </row>
    <row r="5" ht="32" customHeight="1">
      <c r="A5" s="4" t="inlineStr">
        <is>
          <t>2. Read your freedom number and your years to freedom. Then change one input at a time and watch what moves.</t>
        </is>
      </c>
    </row>
    <row r="6" ht="32" customHeight="1">
      <c r="A6" s="4" t="inlineStr">
        <is>
          <t>3. List every income stream in '2 Income streams'. The goal is passive and asset income, not more hours.</t>
        </is>
      </c>
    </row>
    <row r="7" ht="32" customHeight="1">
      <c r="A7" s="4" t="inlineStr">
        <is>
          <t>4. Run '3 Rule of 100' with your real offer, then log every week in '5 Weekly log'. Execution beats education.</t>
        </is>
      </c>
    </row>
    <row r="8" ht="32" customHeight="1">
      <c r="A8" s="4" t="inlineStr">
        <is>
          <t>5. '4 Projection' shows the whole road, year by year, in today's dollars.</t>
        </is>
      </c>
    </row>
    <row r="10">
      <c r="A10" s="5" t="inlineStr">
        <is>
          <t>Colors</t>
        </is>
      </c>
    </row>
    <row r="11">
      <c r="A11" s="6" t="inlineStr">
        <is>
          <t>Blue = you type here</t>
        </is>
      </c>
    </row>
    <row r="12">
      <c r="A12" s="7" t="inlineStr">
        <is>
          <t>Gray = formula</t>
        </is>
      </c>
    </row>
    <row r="14">
      <c r="A14" s="5" t="inlineStr">
        <is>
          <t>How the math works</t>
        </is>
      </c>
    </row>
    <row r="15" ht="30" customHeight="1">
      <c r="A15" s="4" t="inlineStr">
        <is>
          <t>Freedom number = yearly spending / safe withdrawal rate (the 4% rule is a rule of thumb, not a guarantee).</t>
        </is>
      </c>
    </row>
    <row r="16" ht="30" customHeight="1">
      <c r="A16" s="4" t="inlineStr">
        <is>
          <t>Everything is in today's dollars: the real return is (1 + return) / (1 + inflation) - 1.</t>
        </is>
      </c>
    </row>
    <row r="17" ht="30" customHeight="1">
      <c r="A17" s="4" t="inlineStr">
        <is>
          <t>Years to freedom uses the same NPER/FV functions your bank's calculators use, month by month.</t>
        </is>
      </c>
    </row>
    <row r="19" ht="48" customHeight="1">
      <c r="A19" s="8" t="inlineStr">
        <is>
          <t>Educational tool, not financial advice. Results depend entirely on the assumptions you enter; returns are never guaranteed. Designed by Quiet Money with AI assistance; every formula was recalculated and checked against independent math.</t>
        </is>
      </c>
    </row>
    <row r="21">
      <c r="A21" s="4" t="inlineStr">
        <is>
          <t>License: personal use for you and your household. Please do not resell or redistribute the file.</t>
        </is>
      </c>
    </row>
  </sheetData>
  <mergeCells count="10">
    <mergeCell ref="A16:F16"/>
    <mergeCell ref="A19:F19"/>
    <mergeCell ref="A5:F5"/>
    <mergeCell ref="A8:F8"/>
    <mergeCell ref="A6:F6"/>
    <mergeCell ref="A17:F17"/>
    <mergeCell ref="A4:F4"/>
    <mergeCell ref="A21:F21"/>
    <mergeCell ref="A15:F15"/>
    <mergeCell ref="A7:F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FFD23F"/>
    <outlinePr summaryBelow="1" summaryRight="1"/>
    <pageSetUpPr fitToPage="1"/>
  </sheetPr>
  <dimension ref="A1:D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58" customWidth="1" min="3" max="3"/>
    <col width="4" customWidth="1" min="4" max="4"/>
  </cols>
  <sheetData>
    <row r="1" ht="34" customHeight="1">
      <c r="A1" s="1" t="inlineStr">
        <is>
          <t>1 Your numbers</t>
        </is>
      </c>
      <c r="B1" s="2" t="n"/>
      <c r="C1" s="2" t="n"/>
      <c r="D1" s="2" t="n"/>
    </row>
    <row r="2">
      <c r="A2" s="3" t="inlineStr">
        <is>
          <t>Replace the blue cells. Example numbers shown.</t>
        </is>
      </c>
      <c r="B2" s="2" t="n"/>
      <c r="C2" s="2" t="n"/>
      <c r="D2" s="2" t="n"/>
    </row>
    <row r="3">
      <c r="A3" s="9" t="inlineStr">
        <is>
          <t>Input</t>
        </is>
      </c>
      <c r="B3" s="9" t="inlineStr">
        <is>
          <t>Value</t>
        </is>
      </c>
      <c r="C3" s="9" t="inlineStr">
        <is>
          <t>Note</t>
        </is>
      </c>
      <c r="D3" s="9" t="inlineStr"/>
    </row>
    <row r="4">
      <c r="A4" s="4" t="inlineStr">
        <is>
          <t>Your age</t>
        </is>
      </c>
      <c r="B4" s="10" t="n">
        <v>35</v>
      </c>
      <c r="C4" s="11" t="inlineStr"/>
    </row>
    <row r="5">
      <c r="A5" s="4" t="inlineStr">
        <is>
          <t>Monthly spending you need (today's dollars)</t>
        </is>
      </c>
      <c r="B5" s="12" t="n">
        <v>3000</v>
      </c>
      <c r="C5" s="11" t="inlineStr">
        <is>
          <t>What 'enough' costs you each month</t>
        </is>
      </c>
    </row>
    <row r="6">
      <c r="A6" s="4" t="inlineStr">
        <is>
          <t>Monthly take-home income</t>
        </is>
      </c>
      <c r="B6" s="12" t="n">
        <v>4500</v>
      </c>
      <c r="C6" s="11" t="inlineStr"/>
    </row>
    <row r="7">
      <c r="A7" s="4" t="inlineStr">
        <is>
          <t>Invested today</t>
        </is>
      </c>
      <c r="B7" s="12" t="n">
        <v>15000</v>
      </c>
      <c r="C7" s="11" t="inlineStr">
        <is>
          <t>Savings and investments you could live off</t>
        </is>
      </c>
    </row>
    <row r="8">
      <c r="A8" s="4" t="inlineStr">
        <is>
          <t>Amount you invest each month</t>
        </is>
      </c>
      <c r="B8" s="12" t="n">
        <v>900</v>
      </c>
      <c r="C8" s="11" t="inlineStr"/>
    </row>
    <row r="9">
      <c r="A9" s="4" t="inlineStr">
        <is>
          <t>Expected yearly return (assumption)</t>
        </is>
      </c>
      <c r="B9" s="13" t="n">
        <v>0.07000000000000001</v>
      </c>
      <c r="C9" s="11" t="inlineStr">
        <is>
          <t>Not a promise; try 4%, 7%, 10%</t>
        </is>
      </c>
    </row>
    <row r="10">
      <c r="A10" s="4" t="inlineStr">
        <is>
          <t>Expected yearly inflation (assumption)</t>
        </is>
      </c>
      <c r="B10" s="13" t="n">
        <v>0.03</v>
      </c>
      <c r="C10" s="11" t="inlineStr"/>
    </row>
    <row r="11">
      <c r="A11" s="4" t="inlineStr">
        <is>
          <t>Safe yearly withdrawal rate</t>
        </is>
      </c>
      <c r="B11" s="13" t="n">
        <v>0.04</v>
      </c>
      <c r="C11" s="11" t="inlineStr">
        <is>
          <t>4% is a common rule of thumb</t>
        </is>
      </c>
    </row>
    <row r="12">
      <c r="A12" s="4" t="inlineStr">
        <is>
          <t>Extra you could invest each month</t>
        </is>
      </c>
      <c r="B12" s="12" t="n">
        <v>100</v>
      </c>
      <c r="C12" s="11" t="inlineStr">
        <is>
          <t>For the 'what if' line below</t>
        </is>
      </c>
    </row>
    <row r="15">
      <c r="A15" s="9" t="inlineStr">
        <is>
          <t>Your results</t>
        </is>
      </c>
      <c r="B15" s="9" t="inlineStr">
        <is>
          <t>Value</t>
        </is>
      </c>
      <c r="C15" s="9" t="inlineStr">
        <is>
          <t>What it means</t>
        </is>
      </c>
      <c r="D15" s="9" t="inlineStr"/>
    </row>
    <row r="16">
      <c r="A16" s="5" t="inlineStr">
        <is>
          <t>Freedom number</t>
        </is>
      </c>
      <c r="B16" s="14">
        <f>$B$5*12/$B$11</f>
        <v/>
      </c>
      <c r="C16" s="11" t="inlineStr">
        <is>
          <t>The invested amount that covers your spending for good</t>
        </is>
      </c>
    </row>
    <row r="17">
      <c r="A17" s="4" t="inlineStr">
        <is>
          <t>Real yearly return</t>
        </is>
      </c>
      <c r="B17" s="15">
        <f>(1+$B$9)/(1+$B$10)-1</f>
        <v/>
      </c>
      <c r="C17" s="11" t="inlineStr">
        <is>
          <t>Return after inflation: keeps everything in today's dollars</t>
        </is>
      </c>
    </row>
    <row r="18">
      <c r="A18" s="4" t="inlineStr">
        <is>
          <t>Savings rate</t>
        </is>
      </c>
      <c r="B18" s="16">
        <f>IFERROR($B$8/$B$6,0)</f>
        <v/>
      </c>
      <c r="C18" s="11" t="inlineStr">
        <is>
          <t>Share of take-home income you invest</t>
        </is>
      </c>
    </row>
    <row r="19">
      <c r="A19" s="4" t="inlineStr">
        <is>
          <t>Months to freedom</t>
        </is>
      </c>
      <c r="B19" s="17">
        <f>IF($B$7&gt;=B16,0,IFERROR(NPER(B17/12,-$B$8,-$B$7,B16),"never at these numbers"))</f>
        <v/>
      </c>
      <c r="C19" s="11" t="inlineStr"/>
    </row>
    <row r="20">
      <c r="A20" s="5" t="inlineStr">
        <is>
          <t>Years to freedom</t>
        </is>
      </c>
      <c r="B20" s="18">
        <f>IF(ISNUMBER(B19),B19/12,"never at these numbers")</f>
        <v/>
      </c>
      <c r="C20" s="11" t="inlineStr"/>
    </row>
    <row r="21">
      <c r="A21" s="4" t="inlineStr">
        <is>
          <t>Your freedom age</t>
        </is>
      </c>
      <c r="B21" s="19">
        <f>IF(ISNUMBER(B20),$B$4+B20,"-")</f>
        <v/>
      </c>
      <c r="C21" s="11" t="inlineStr"/>
    </row>
    <row r="22">
      <c r="A22" s="4" t="inlineStr">
        <is>
          <t>Passive income your money makes today</t>
        </is>
      </c>
      <c r="B22" s="20">
        <f>$B$7*$B$11/12</f>
        <v/>
      </c>
      <c r="C22" s="11" t="inlineStr">
        <is>
          <t>Per month, at your withdrawal rate</t>
        </is>
      </c>
    </row>
    <row r="23">
      <c r="A23" s="4" t="inlineStr">
        <is>
          <t>Share of your spending already covered</t>
        </is>
      </c>
      <c r="B23" s="16">
        <f>IFERROR(B22/$B$5,0)</f>
        <v/>
      </c>
      <c r="C23" s="11" t="inlineStr"/>
    </row>
    <row r="24">
      <c r="A24" s="4" t="inlineStr">
        <is>
          <t>Years to freedom with the extra monthly amount</t>
        </is>
      </c>
      <c r="B24" s="19">
        <f>IF($B$7&gt;=B16,0,IFERROR(NPER(B17/12,-($B$8+$B$12),-$B$7,B16)/12,"never at these numbers"))</f>
        <v/>
      </c>
      <c r="C24" s="11" t="inlineStr"/>
    </row>
    <row r="25">
      <c r="A25" s="4" t="inlineStr">
        <is>
          <t>Years the extra amount saves you</t>
        </is>
      </c>
      <c r="B25" s="19">
        <f>IF(AND(ISNUMBER(B20),ISNUMBER(B24)),B20-B24,"-")</f>
        <v/>
      </c>
      <c r="C25" s="11" t="inlineStr">
        <is>
          <t>Small, boring, automatic. That is the whole trick.</t>
        </is>
      </c>
    </row>
  </sheetData>
  <conditionalFormatting sqref="B23">
    <cfRule type="cellIs" priority="1" operator="greaterThanOrEqual" dxfId="0">
      <formula>1</formula>
    </cfRule>
  </conditionalFormatting>
  <dataValidations count="3">
    <dataValidation sqref="B9" showDropDown="0" showInputMessage="0" showErrorMessage="1" allowBlank="0" errorTitle="Check this number" error="Enter a percentage between 0% and 30% (for example 7%)." type="decimal" operator="between">
      <formula1>0</formula1>
      <formula2>0.3</formula2>
    </dataValidation>
    <dataValidation sqref="B10" showDropDown="0" showInputMessage="0" showErrorMessage="1" allowBlank="0" errorTitle="Check this number" error="Enter a percentage between 0% and 20% (for example 7%)." type="decimal" operator="between">
      <formula1>0</formula1>
      <formula2>0.2</formula2>
    </dataValidation>
    <dataValidation sqref="B11" showDropDown="0" showInputMessage="0" showErrorMessage="1" allowBlank="0" errorTitle="Check this number" error="Enter a percentage between 1% and 10% (for example 7%)." type="decimal" operator="between">
      <formula1>0.01</formula1>
      <formula2>0.1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E0E10"/>
    <outlinePr summaryBelow="1" summaryRight="1"/>
    <pageSetUpPr fitToPage="1"/>
  </sheetPr>
  <dimension ref="A1:F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6" customWidth="1" min="4" max="4"/>
    <col width="14" customWidth="1" min="5" max="5"/>
    <col width="24" customWidth="1" min="6" max="6"/>
  </cols>
  <sheetData>
    <row r="1" ht="34" customHeight="1">
      <c r="A1" s="1" t="inlineStr">
        <is>
          <t>2 Income streams</t>
        </is>
      </c>
      <c r="B1" s="2" t="n"/>
      <c r="C1" s="2" t="n"/>
      <c r="D1" s="2" t="n"/>
      <c r="E1" s="2" t="n"/>
      <c r="F1" s="2" t="n"/>
    </row>
    <row r="2">
      <c r="A2" s="3" t="inlineStr">
        <is>
          <t>Active trades hours for money. Passive runs without you. Asset is something you own that pays.</t>
        </is>
      </c>
      <c r="B2" s="2" t="n"/>
      <c r="C2" s="2" t="n"/>
      <c r="D2" s="2" t="n"/>
      <c r="E2" s="2" t="n"/>
      <c r="F2" s="2" t="n"/>
    </row>
    <row r="3">
      <c r="A3" s="9" t="inlineStr">
        <is>
          <t>Stream</t>
        </is>
      </c>
      <c r="B3" s="9" t="inlineStr">
        <is>
          <t>Type</t>
        </is>
      </c>
      <c r="C3" s="9" t="inlineStr">
        <is>
          <t>Per month</t>
        </is>
      </c>
      <c r="D3" s="9" t="inlineStr">
        <is>
          <t>Hours per week</t>
        </is>
      </c>
      <c r="E3" s="9" t="inlineStr">
        <is>
          <t>$ per hour</t>
        </is>
      </c>
      <c r="F3" s="9" t="inlineStr">
        <is>
          <t>What it is</t>
        </is>
      </c>
    </row>
    <row r="4">
      <c r="A4" s="21" t="inlineStr">
        <is>
          <t>Day job (example: replace)</t>
        </is>
      </c>
      <c r="B4" s="6" t="inlineStr">
        <is>
          <t>Active</t>
        </is>
      </c>
      <c r="C4" s="12" t="n">
        <v>4500</v>
      </c>
      <c r="D4" s="10" t="n">
        <v>40</v>
      </c>
      <c r="E4" s="22">
        <f>IF(C4="","",IF(N(D4)&gt;0,C4/(D4*4.33),"no hours"))</f>
        <v/>
      </c>
      <c r="F4" s="23">
        <f>IF(B4="Active","Trades your time",IF(B4="Passive","Runs without you",IF(B4="Asset","You own it","")))</f>
        <v/>
      </c>
    </row>
    <row r="5">
      <c r="A5" s="21" t="inlineStr">
        <is>
          <t>Side project (example)</t>
        </is>
      </c>
      <c r="B5" s="6" t="inlineStr">
        <is>
          <t>Active</t>
        </is>
      </c>
      <c r="C5" s="12" t="n">
        <v>300</v>
      </c>
      <c r="D5" s="10" t="n">
        <v>5</v>
      </c>
      <c r="E5" s="22">
        <f>IF(C5="","",IF(N(D5)&gt;0,C5/(D5*4.33),"no hours"))</f>
        <v/>
      </c>
      <c r="F5" s="23">
        <f>IF(B5="Active","Trades your time",IF(B5="Passive","Runs without you",IF(B5="Asset","You own it","")))</f>
        <v/>
      </c>
    </row>
    <row r="6">
      <c r="A6" s="21" t="inlineStr">
        <is>
          <t>Index fund dividends (example)</t>
        </is>
      </c>
      <c r="B6" s="6" t="inlineStr">
        <is>
          <t>Asset</t>
        </is>
      </c>
      <c r="C6" s="12" t="n">
        <v>40</v>
      </c>
      <c r="D6" s="10" t="n">
        <v>0</v>
      </c>
      <c r="E6" s="22">
        <f>IF(C6="","",IF(N(D6)&gt;0,C6/(D6*4.33),"no hours"))</f>
        <v/>
      </c>
      <c r="F6" s="23">
        <f>IF(B6="Active","Trades your time",IF(B6="Passive","Runs without you",IF(B6="Asset","You own it","")))</f>
        <v/>
      </c>
    </row>
    <row r="7">
      <c r="A7" s="21" t="inlineStr">
        <is>
          <t>Digital product sales (example)</t>
        </is>
      </c>
      <c r="B7" s="6" t="inlineStr">
        <is>
          <t>Passive</t>
        </is>
      </c>
      <c r="C7" s="12" t="n">
        <v>0</v>
      </c>
      <c r="D7" s="10" t="n">
        <v>0</v>
      </c>
      <c r="E7" s="22">
        <f>IF(C7="","",IF(N(D7)&gt;0,C7/(D7*4.33),"no hours"))</f>
        <v/>
      </c>
      <c r="F7" s="23">
        <f>IF(B7="Active","Trades your time",IF(B7="Passive","Runs without you",IF(B7="Asset","You own it","")))</f>
        <v/>
      </c>
    </row>
    <row r="8">
      <c r="A8" s="21" t="inlineStr"/>
      <c r="B8" s="6" t="inlineStr"/>
      <c r="C8" s="12" t="n"/>
      <c r="D8" s="10" t="n"/>
      <c r="E8" s="22">
        <f>IF(C8="","",IF(N(D8)&gt;0,C8/(D8*4.33),"no hours"))</f>
        <v/>
      </c>
      <c r="F8" s="23">
        <f>IF(B8="Active","Trades your time",IF(B8="Passive","Runs without you",IF(B8="Asset","You own it","")))</f>
        <v/>
      </c>
    </row>
    <row r="9">
      <c r="A9" s="21" t="inlineStr"/>
      <c r="B9" s="6" t="inlineStr"/>
      <c r="C9" s="12" t="n"/>
      <c r="D9" s="10" t="n"/>
      <c r="E9" s="22">
        <f>IF(C9="","",IF(N(D9)&gt;0,C9/(D9*4.33),"no hours"))</f>
        <v/>
      </c>
      <c r="F9" s="23">
        <f>IF(B9="Active","Trades your time",IF(B9="Passive","Runs without you",IF(B9="Asset","You own it","")))</f>
        <v/>
      </c>
    </row>
    <row r="10">
      <c r="A10" s="21" t="inlineStr"/>
      <c r="B10" s="6" t="inlineStr"/>
      <c r="C10" s="12" t="n"/>
      <c r="D10" s="10" t="n"/>
      <c r="E10" s="22">
        <f>IF(C10="","",IF(N(D10)&gt;0,C10/(D10*4.33),"no hours"))</f>
        <v/>
      </c>
      <c r="F10" s="23">
        <f>IF(B10="Active","Trades your time",IF(B10="Passive","Runs without you",IF(B10="Asset","You own it","")))</f>
        <v/>
      </c>
    </row>
    <row r="11">
      <c r="A11" s="21" t="inlineStr"/>
      <c r="B11" s="6" t="inlineStr"/>
      <c r="C11" s="12" t="n"/>
      <c r="D11" s="10" t="n"/>
      <c r="E11" s="22">
        <f>IF(C11="","",IF(N(D11)&gt;0,C11/(D11*4.33),"no hours"))</f>
        <v/>
      </c>
      <c r="F11" s="23">
        <f>IF(B11="Active","Trades your time",IF(B11="Passive","Runs without you",IF(B11="Asset","You own it","")))</f>
        <v/>
      </c>
    </row>
    <row r="12">
      <c r="A12" s="21" t="inlineStr"/>
      <c r="B12" s="6" t="inlineStr"/>
      <c r="C12" s="12" t="n"/>
      <c r="D12" s="10" t="n"/>
      <c r="E12" s="22">
        <f>IF(C12="","",IF(N(D12)&gt;0,C12/(D12*4.33),"no hours"))</f>
        <v/>
      </c>
      <c r="F12" s="23">
        <f>IF(B12="Active","Trades your time",IF(B12="Passive","Runs without you",IF(B12="Asset","You own it","")))</f>
        <v/>
      </c>
    </row>
    <row r="13">
      <c r="A13" s="21" t="inlineStr"/>
      <c r="B13" s="6" t="inlineStr"/>
      <c r="C13" s="12" t="n"/>
      <c r="D13" s="10" t="n"/>
      <c r="E13" s="22">
        <f>IF(C13="","",IF(N(D13)&gt;0,C13/(D13*4.33),"no hours"))</f>
        <v/>
      </c>
      <c r="F13" s="23">
        <f>IF(B13="Active","Trades your time",IF(B13="Passive","Runs without you",IF(B13="Asset","You own it","")))</f>
        <v/>
      </c>
    </row>
    <row r="14">
      <c r="A14" s="21" t="inlineStr"/>
      <c r="B14" s="6" t="inlineStr"/>
      <c r="C14" s="12" t="n"/>
      <c r="D14" s="10" t="n"/>
      <c r="E14" s="22">
        <f>IF(C14="","",IF(N(D14)&gt;0,C14/(D14*4.33),"no hours"))</f>
        <v/>
      </c>
      <c r="F14" s="23">
        <f>IF(B14="Active","Trades your time",IF(B14="Passive","Runs without you",IF(B14="Asset","You own it","")))</f>
        <v/>
      </c>
    </row>
    <row r="15">
      <c r="A15" s="21" t="inlineStr"/>
      <c r="B15" s="6" t="inlineStr"/>
      <c r="C15" s="12" t="n"/>
      <c r="D15" s="10" t="n"/>
      <c r="E15" s="22">
        <f>IF(C15="","",IF(N(D15)&gt;0,C15/(D15*4.33),"no hours"))</f>
        <v/>
      </c>
      <c r="F15" s="23">
        <f>IF(B15="Active","Trades your time",IF(B15="Passive","Runs without you",IF(B15="Asset","You own it","")))</f>
        <v/>
      </c>
    </row>
    <row r="17">
      <c r="A17" s="5" t="inlineStr">
        <is>
          <t>Total per month</t>
        </is>
      </c>
      <c r="C17" s="14">
        <f>SUM(C4:C15)</f>
        <v/>
      </c>
    </row>
    <row r="18">
      <c r="A18" s="5" t="inlineStr">
        <is>
          <t>Passive + asset income per month</t>
        </is>
      </c>
      <c r="C18" s="14">
        <f>SUMIF(B4:B15,"Passive",C4:C15)+SUMIF(B4:B15,"Asset",C4:C15)</f>
        <v/>
      </c>
    </row>
    <row r="19">
      <c r="A19" s="5" t="inlineStr">
        <is>
          <t>Passive + asset share of your spending</t>
        </is>
      </c>
      <c r="C19" s="24">
        <f>IFERROR(C18/'1 Your numbers'!B5,0)</f>
        <v/>
      </c>
    </row>
    <row r="20">
      <c r="A20" s="5" t="inlineStr">
        <is>
          <t>Hours you trade each week</t>
        </is>
      </c>
      <c r="C20" s="25">
        <f>SUMIF(B4:B15,"Active",D4:D15)</f>
        <v/>
      </c>
    </row>
    <row r="22">
      <c r="A22" s="4" t="inlineStr">
        <is>
          <t>The escape is the day C19 reaches 100%: your spending is paid by money that works while you do not.</t>
        </is>
      </c>
    </row>
  </sheetData>
  <mergeCells count="1">
    <mergeCell ref="A22:F22"/>
  </mergeCells>
  <dataValidations count="1">
    <dataValidation sqref="B4:B15" showDropDown="0" showInputMessage="0" showErrorMessage="1" allowBlank="1" errorTitle="Pick a type" error="Choose Active, Passive, or Asset." type="list">
      <formula1>"Active,Passive,Asset"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E0E10"/>
    <outlinePr summaryBelow="1" summaryRight="1"/>
    <pageSetUpPr fitToPage="1"/>
  </sheetPr>
  <dimension ref="A1:E2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4" customWidth="1" min="4" max="4"/>
    <col width="4" customWidth="1" min="5" max="5"/>
  </cols>
  <sheetData>
    <row r="1" ht="34" customHeight="1">
      <c r="A1" s="1" t="inlineStr">
        <is>
          <t>3 Rule of 100</t>
        </is>
      </c>
      <c r="B1" s="2" t="n"/>
      <c r="C1" s="2" t="n"/>
      <c r="D1" s="2" t="n"/>
      <c r="E1" s="2" t="n"/>
    </row>
    <row r="2">
      <c r="A2" s="3" t="inlineStr">
        <is>
          <t>Volume beats talent. 100 outreaches a day for 100 days is 10,000 shots at a customer.</t>
        </is>
      </c>
      <c r="B2" s="2" t="n"/>
      <c r="C2" s="2" t="n"/>
      <c r="D2" s="2" t="n"/>
      <c r="E2" s="2" t="n"/>
    </row>
    <row r="4">
      <c r="A4" s="4" t="inlineStr">
        <is>
          <t>Outreaches per day</t>
        </is>
      </c>
      <c r="B4" s="10" t="n">
        <v>100</v>
      </c>
    </row>
    <row r="5">
      <c r="A5" s="4" t="inlineStr">
        <is>
          <t>Days</t>
        </is>
      </c>
      <c r="B5" s="10" t="n">
        <v>100</v>
      </c>
    </row>
    <row r="6">
      <c r="A6" s="4" t="inlineStr">
        <is>
          <t>Yes-rate (a guess until you test it)</t>
        </is>
      </c>
      <c r="B6" s="13" t="n">
        <v>0.01</v>
      </c>
    </row>
    <row r="7">
      <c r="A7" s="4" t="inlineStr">
        <is>
          <t>Average sale per customer</t>
        </is>
      </c>
      <c r="B7" s="12" t="n">
        <v>150</v>
      </c>
    </row>
    <row r="9">
      <c r="A9" s="5" t="inlineStr">
        <is>
          <t>Total outreaches</t>
        </is>
      </c>
      <c r="B9" s="26">
        <f>B4*B5</f>
        <v/>
      </c>
    </row>
    <row r="10">
      <c r="A10" s="5" t="inlineStr">
        <is>
          <t>Customers</t>
        </is>
      </c>
      <c r="B10" s="26">
        <f>B9*B6</f>
        <v/>
      </c>
    </row>
    <row r="11">
      <c r="A11" s="5" t="inlineStr">
        <is>
          <t>Revenue</t>
        </is>
      </c>
      <c r="B11" s="14">
        <f>B10*B7</f>
        <v/>
      </c>
    </row>
    <row r="13">
      <c r="A13" s="9" t="inlineStr">
        <is>
          <t>If your yes-rate is</t>
        </is>
      </c>
      <c r="B13" s="9" t="inlineStr">
        <is>
          <t>Customers</t>
        </is>
      </c>
      <c r="C13" s="9" t="inlineStr">
        <is>
          <t>Revenue</t>
        </is>
      </c>
      <c r="D13" s="9" t="inlineStr"/>
      <c r="E13" s="9" t="inlineStr"/>
    </row>
    <row r="14">
      <c r="A14" s="13" t="n">
        <v>0.002</v>
      </c>
      <c r="B14" s="17">
        <f>$B$9*A14</f>
        <v/>
      </c>
      <c r="C14" s="20">
        <f>B14*$B$7</f>
        <v/>
      </c>
    </row>
    <row r="15">
      <c r="A15" s="13" t="n">
        <v>0.005</v>
      </c>
      <c r="B15" s="17">
        <f>$B$9*A15</f>
        <v/>
      </c>
      <c r="C15" s="20">
        <f>B15*$B$7</f>
        <v/>
      </c>
    </row>
    <row r="16">
      <c r="A16" s="13" t="n">
        <v>0.01</v>
      </c>
      <c r="B16" s="17">
        <f>$B$9*A16</f>
        <v/>
      </c>
      <c r="C16" s="20">
        <f>B16*$B$7</f>
        <v/>
      </c>
    </row>
    <row r="17">
      <c r="A17" s="13" t="n">
        <v>0.02</v>
      </c>
      <c r="B17" s="17">
        <f>$B$9*A17</f>
        <v/>
      </c>
      <c r="C17" s="20">
        <f>B17*$B$7</f>
        <v/>
      </c>
    </row>
    <row r="18">
      <c r="A18" s="13" t="n">
        <v>0.03</v>
      </c>
      <c r="B18" s="17">
        <f>$B$9*A18</f>
        <v/>
      </c>
      <c r="C18" s="20">
        <f>B18*$B$7</f>
        <v/>
      </c>
    </row>
    <row r="20" ht="34" customHeight="1">
      <c r="A20" s="4" t="inlineStr">
        <is>
          <t>Hypothetical. Your real yes-rate and sale size are unknown until you make the calls: log them in '5 Weekly log' and replace the guesses.</t>
        </is>
      </c>
    </row>
  </sheetData>
  <mergeCells count="1">
    <mergeCell ref="A20:E20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0E0E10"/>
    <outlinePr summaryBelow="1" summaryRight="1"/>
    <pageSetUpPr fitToPage="1"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8" customWidth="1" min="5" max="5"/>
    <col width="18" customWidth="1" min="6" max="6"/>
  </cols>
  <sheetData>
    <row r="1" ht="34" customHeight="1">
      <c r="A1" s="1" t="inlineStr">
        <is>
          <t>4 Projection</t>
        </is>
      </c>
      <c r="B1" s="2" t="n"/>
      <c r="C1" s="2" t="n"/>
      <c r="D1" s="2" t="n"/>
      <c r="E1" s="2" t="n"/>
      <c r="F1" s="2" t="n"/>
    </row>
    <row r="2">
      <c r="A2" s="3" t="inlineStr">
        <is>
          <t>Year by year, in today's dollars, from your numbers. Highlighted when your money covers your spending.</t>
        </is>
      </c>
      <c r="B2" s="2" t="n"/>
      <c r="C2" s="2" t="n"/>
      <c r="D2" s="2" t="n"/>
      <c r="E2" s="2" t="n"/>
      <c r="F2" s="2" t="n"/>
    </row>
    <row r="3">
      <c r="A3" s="9" t="inlineStr">
        <is>
          <t>Year</t>
        </is>
      </c>
      <c r="B3" s="9" t="inlineStr">
        <is>
          <t>Age</t>
        </is>
      </c>
      <c r="C3" s="9" t="inlineStr">
        <is>
          <t>Invested</t>
        </is>
      </c>
      <c r="D3" s="9" t="inlineStr">
        <is>
          <t>Passive income / month</t>
        </is>
      </c>
      <c r="E3" s="9" t="inlineStr">
        <is>
          <t>Spending covered</t>
        </is>
      </c>
      <c r="F3" s="9" t="inlineStr">
        <is>
          <t>Freedom number</t>
        </is>
      </c>
    </row>
    <row r="4">
      <c r="A4" s="27" t="n">
        <v>0</v>
      </c>
      <c r="B4" s="27">
        <f>'1 Your numbers'!$B$4+A4</f>
        <v/>
      </c>
      <c r="C4" s="20">
        <f>FV('1 Your numbers'!$B$17/12,A4*12,-'1 Your numbers'!$B$8,-'1 Your numbers'!$B$7)</f>
        <v/>
      </c>
      <c r="D4" s="20">
        <f>C4*'1 Your numbers'!$B$11/12</f>
        <v/>
      </c>
      <c r="E4" s="16">
        <f>IFERROR(D4/'1 Your numbers'!$B$5,0)</f>
        <v/>
      </c>
      <c r="F4" s="20">
        <f>'1 Your numbers'!$B$16</f>
        <v/>
      </c>
    </row>
    <row r="5">
      <c r="A5" s="27" t="n">
        <v>1</v>
      </c>
      <c r="B5" s="27">
        <f>'1 Your numbers'!$B$4+A5</f>
        <v/>
      </c>
      <c r="C5" s="20">
        <f>FV('1 Your numbers'!$B$17/12,A5*12,-'1 Your numbers'!$B$8,-'1 Your numbers'!$B$7)</f>
        <v/>
      </c>
      <c r="D5" s="20">
        <f>C5*'1 Your numbers'!$B$11/12</f>
        <v/>
      </c>
      <c r="E5" s="16">
        <f>IFERROR(D5/'1 Your numbers'!$B$5,0)</f>
        <v/>
      </c>
      <c r="F5" s="20">
        <f>'1 Your numbers'!$B$16</f>
        <v/>
      </c>
    </row>
    <row r="6">
      <c r="A6" s="27" t="n">
        <v>2</v>
      </c>
      <c r="B6" s="27">
        <f>'1 Your numbers'!$B$4+A6</f>
        <v/>
      </c>
      <c r="C6" s="20">
        <f>FV('1 Your numbers'!$B$17/12,A6*12,-'1 Your numbers'!$B$8,-'1 Your numbers'!$B$7)</f>
        <v/>
      </c>
      <c r="D6" s="20">
        <f>C6*'1 Your numbers'!$B$11/12</f>
        <v/>
      </c>
      <c r="E6" s="16">
        <f>IFERROR(D6/'1 Your numbers'!$B$5,0)</f>
        <v/>
      </c>
      <c r="F6" s="20">
        <f>'1 Your numbers'!$B$16</f>
        <v/>
      </c>
    </row>
    <row r="7">
      <c r="A7" s="27" t="n">
        <v>3</v>
      </c>
      <c r="B7" s="27">
        <f>'1 Your numbers'!$B$4+A7</f>
        <v/>
      </c>
      <c r="C7" s="20">
        <f>FV('1 Your numbers'!$B$17/12,A7*12,-'1 Your numbers'!$B$8,-'1 Your numbers'!$B$7)</f>
        <v/>
      </c>
      <c r="D7" s="20">
        <f>C7*'1 Your numbers'!$B$11/12</f>
        <v/>
      </c>
      <c r="E7" s="16">
        <f>IFERROR(D7/'1 Your numbers'!$B$5,0)</f>
        <v/>
      </c>
      <c r="F7" s="20">
        <f>'1 Your numbers'!$B$16</f>
        <v/>
      </c>
    </row>
    <row r="8">
      <c r="A8" s="27" t="n">
        <v>4</v>
      </c>
      <c r="B8" s="27">
        <f>'1 Your numbers'!$B$4+A8</f>
        <v/>
      </c>
      <c r="C8" s="20">
        <f>FV('1 Your numbers'!$B$17/12,A8*12,-'1 Your numbers'!$B$8,-'1 Your numbers'!$B$7)</f>
        <v/>
      </c>
      <c r="D8" s="20">
        <f>C8*'1 Your numbers'!$B$11/12</f>
        <v/>
      </c>
      <c r="E8" s="16">
        <f>IFERROR(D8/'1 Your numbers'!$B$5,0)</f>
        <v/>
      </c>
      <c r="F8" s="20">
        <f>'1 Your numbers'!$B$16</f>
        <v/>
      </c>
    </row>
    <row r="9">
      <c r="A9" s="27" t="n">
        <v>5</v>
      </c>
      <c r="B9" s="27">
        <f>'1 Your numbers'!$B$4+A9</f>
        <v/>
      </c>
      <c r="C9" s="20">
        <f>FV('1 Your numbers'!$B$17/12,A9*12,-'1 Your numbers'!$B$8,-'1 Your numbers'!$B$7)</f>
        <v/>
      </c>
      <c r="D9" s="20">
        <f>C9*'1 Your numbers'!$B$11/12</f>
        <v/>
      </c>
      <c r="E9" s="16">
        <f>IFERROR(D9/'1 Your numbers'!$B$5,0)</f>
        <v/>
      </c>
      <c r="F9" s="20">
        <f>'1 Your numbers'!$B$16</f>
        <v/>
      </c>
    </row>
    <row r="10">
      <c r="A10" s="27" t="n">
        <v>6</v>
      </c>
      <c r="B10" s="27">
        <f>'1 Your numbers'!$B$4+A10</f>
        <v/>
      </c>
      <c r="C10" s="20">
        <f>FV('1 Your numbers'!$B$17/12,A10*12,-'1 Your numbers'!$B$8,-'1 Your numbers'!$B$7)</f>
        <v/>
      </c>
      <c r="D10" s="20">
        <f>C10*'1 Your numbers'!$B$11/12</f>
        <v/>
      </c>
      <c r="E10" s="16">
        <f>IFERROR(D10/'1 Your numbers'!$B$5,0)</f>
        <v/>
      </c>
      <c r="F10" s="20">
        <f>'1 Your numbers'!$B$16</f>
        <v/>
      </c>
    </row>
    <row r="11">
      <c r="A11" s="27" t="n">
        <v>7</v>
      </c>
      <c r="B11" s="27">
        <f>'1 Your numbers'!$B$4+A11</f>
        <v/>
      </c>
      <c r="C11" s="20">
        <f>FV('1 Your numbers'!$B$17/12,A11*12,-'1 Your numbers'!$B$8,-'1 Your numbers'!$B$7)</f>
        <v/>
      </c>
      <c r="D11" s="20">
        <f>C11*'1 Your numbers'!$B$11/12</f>
        <v/>
      </c>
      <c r="E11" s="16">
        <f>IFERROR(D11/'1 Your numbers'!$B$5,0)</f>
        <v/>
      </c>
      <c r="F11" s="20">
        <f>'1 Your numbers'!$B$16</f>
        <v/>
      </c>
    </row>
    <row r="12">
      <c r="A12" s="27" t="n">
        <v>8</v>
      </c>
      <c r="B12" s="27">
        <f>'1 Your numbers'!$B$4+A12</f>
        <v/>
      </c>
      <c r="C12" s="20">
        <f>FV('1 Your numbers'!$B$17/12,A12*12,-'1 Your numbers'!$B$8,-'1 Your numbers'!$B$7)</f>
        <v/>
      </c>
      <c r="D12" s="20">
        <f>C12*'1 Your numbers'!$B$11/12</f>
        <v/>
      </c>
      <c r="E12" s="16">
        <f>IFERROR(D12/'1 Your numbers'!$B$5,0)</f>
        <v/>
      </c>
      <c r="F12" s="20">
        <f>'1 Your numbers'!$B$16</f>
        <v/>
      </c>
    </row>
    <row r="13">
      <c r="A13" s="27" t="n">
        <v>9</v>
      </c>
      <c r="B13" s="27">
        <f>'1 Your numbers'!$B$4+A13</f>
        <v/>
      </c>
      <c r="C13" s="20">
        <f>FV('1 Your numbers'!$B$17/12,A13*12,-'1 Your numbers'!$B$8,-'1 Your numbers'!$B$7)</f>
        <v/>
      </c>
      <c r="D13" s="20">
        <f>C13*'1 Your numbers'!$B$11/12</f>
        <v/>
      </c>
      <c r="E13" s="16">
        <f>IFERROR(D13/'1 Your numbers'!$B$5,0)</f>
        <v/>
      </c>
      <c r="F13" s="20">
        <f>'1 Your numbers'!$B$16</f>
        <v/>
      </c>
    </row>
    <row r="14">
      <c r="A14" s="27" t="n">
        <v>10</v>
      </c>
      <c r="B14" s="27">
        <f>'1 Your numbers'!$B$4+A14</f>
        <v/>
      </c>
      <c r="C14" s="20">
        <f>FV('1 Your numbers'!$B$17/12,A14*12,-'1 Your numbers'!$B$8,-'1 Your numbers'!$B$7)</f>
        <v/>
      </c>
      <c r="D14" s="20">
        <f>C14*'1 Your numbers'!$B$11/12</f>
        <v/>
      </c>
      <c r="E14" s="16">
        <f>IFERROR(D14/'1 Your numbers'!$B$5,0)</f>
        <v/>
      </c>
      <c r="F14" s="20">
        <f>'1 Your numbers'!$B$16</f>
        <v/>
      </c>
    </row>
    <row r="15">
      <c r="A15" s="27" t="n">
        <v>11</v>
      </c>
      <c r="B15" s="27">
        <f>'1 Your numbers'!$B$4+A15</f>
        <v/>
      </c>
      <c r="C15" s="20">
        <f>FV('1 Your numbers'!$B$17/12,A15*12,-'1 Your numbers'!$B$8,-'1 Your numbers'!$B$7)</f>
        <v/>
      </c>
      <c r="D15" s="20">
        <f>C15*'1 Your numbers'!$B$11/12</f>
        <v/>
      </c>
      <c r="E15" s="16">
        <f>IFERROR(D15/'1 Your numbers'!$B$5,0)</f>
        <v/>
      </c>
      <c r="F15" s="20">
        <f>'1 Your numbers'!$B$16</f>
        <v/>
      </c>
    </row>
    <row r="16">
      <c r="A16" s="27" t="n">
        <v>12</v>
      </c>
      <c r="B16" s="27">
        <f>'1 Your numbers'!$B$4+A16</f>
        <v/>
      </c>
      <c r="C16" s="20">
        <f>FV('1 Your numbers'!$B$17/12,A16*12,-'1 Your numbers'!$B$8,-'1 Your numbers'!$B$7)</f>
        <v/>
      </c>
      <c r="D16" s="20">
        <f>C16*'1 Your numbers'!$B$11/12</f>
        <v/>
      </c>
      <c r="E16" s="16">
        <f>IFERROR(D16/'1 Your numbers'!$B$5,0)</f>
        <v/>
      </c>
      <c r="F16" s="20">
        <f>'1 Your numbers'!$B$16</f>
        <v/>
      </c>
    </row>
    <row r="17">
      <c r="A17" s="27" t="n">
        <v>13</v>
      </c>
      <c r="B17" s="27">
        <f>'1 Your numbers'!$B$4+A17</f>
        <v/>
      </c>
      <c r="C17" s="20">
        <f>FV('1 Your numbers'!$B$17/12,A17*12,-'1 Your numbers'!$B$8,-'1 Your numbers'!$B$7)</f>
        <v/>
      </c>
      <c r="D17" s="20">
        <f>C17*'1 Your numbers'!$B$11/12</f>
        <v/>
      </c>
      <c r="E17" s="16">
        <f>IFERROR(D17/'1 Your numbers'!$B$5,0)</f>
        <v/>
      </c>
      <c r="F17" s="20">
        <f>'1 Your numbers'!$B$16</f>
        <v/>
      </c>
    </row>
    <row r="18">
      <c r="A18" s="27" t="n">
        <v>14</v>
      </c>
      <c r="B18" s="27">
        <f>'1 Your numbers'!$B$4+A18</f>
        <v/>
      </c>
      <c r="C18" s="20">
        <f>FV('1 Your numbers'!$B$17/12,A18*12,-'1 Your numbers'!$B$8,-'1 Your numbers'!$B$7)</f>
        <v/>
      </c>
      <c r="D18" s="20">
        <f>C18*'1 Your numbers'!$B$11/12</f>
        <v/>
      </c>
      <c r="E18" s="16">
        <f>IFERROR(D18/'1 Your numbers'!$B$5,0)</f>
        <v/>
      </c>
      <c r="F18" s="20">
        <f>'1 Your numbers'!$B$16</f>
        <v/>
      </c>
    </row>
    <row r="19">
      <c r="A19" s="27" t="n">
        <v>15</v>
      </c>
      <c r="B19" s="27">
        <f>'1 Your numbers'!$B$4+A19</f>
        <v/>
      </c>
      <c r="C19" s="20">
        <f>FV('1 Your numbers'!$B$17/12,A19*12,-'1 Your numbers'!$B$8,-'1 Your numbers'!$B$7)</f>
        <v/>
      </c>
      <c r="D19" s="20">
        <f>C19*'1 Your numbers'!$B$11/12</f>
        <v/>
      </c>
      <c r="E19" s="16">
        <f>IFERROR(D19/'1 Your numbers'!$B$5,0)</f>
        <v/>
      </c>
      <c r="F19" s="20">
        <f>'1 Your numbers'!$B$16</f>
        <v/>
      </c>
    </row>
    <row r="20">
      <c r="A20" s="27" t="n">
        <v>16</v>
      </c>
      <c r="B20" s="27">
        <f>'1 Your numbers'!$B$4+A20</f>
        <v/>
      </c>
      <c r="C20" s="20">
        <f>FV('1 Your numbers'!$B$17/12,A20*12,-'1 Your numbers'!$B$8,-'1 Your numbers'!$B$7)</f>
        <v/>
      </c>
      <c r="D20" s="20">
        <f>C20*'1 Your numbers'!$B$11/12</f>
        <v/>
      </c>
      <c r="E20" s="16">
        <f>IFERROR(D20/'1 Your numbers'!$B$5,0)</f>
        <v/>
      </c>
      <c r="F20" s="20">
        <f>'1 Your numbers'!$B$16</f>
        <v/>
      </c>
    </row>
    <row r="21">
      <c r="A21" s="27" t="n">
        <v>17</v>
      </c>
      <c r="B21" s="27">
        <f>'1 Your numbers'!$B$4+A21</f>
        <v/>
      </c>
      <c r="C21" s="20">
        <f>FV('1 Your numbers'!$B$17/12,A21*12,-'1 Your numbers'!$B$8,-'1 Your numbers'!$B$7)</f>
        <v/>
      </c>
      <c r="D21" s="20">
        <f>C21*'1 Your numbers'!$B$11/12</f>
        <v/>
      </c>
      <c r="E21" s="16">
        <f>IFERROR(D21/'1 Your numbers'!$B$5,0)</f>
        <v/>
      </c>
      <c r="F21" s="20">
        <f>'1 Your numbers'!$B$16</f>
        <v/>
      </c>
    </row>
    <row r="22">
      <c r="A22" s="27" t="n">
        <v>18</v>
      </c>
      <c r="B22" s="27">
        <f>'1 Your numbers'!$B$4+A22</f>
        <v/>
      </c>
      <c r="C22" s="20">
        <f>FV('1 Your numbers'!$B$17/12,A22*12,-'1 Your numbers'!$B$8,-'1 Your numbers'!$B$7)</f>
        <v/>
      </c>
      <c r="D22" s="20">
        <f>C22*'1 Your numbers'!$B$11/12</f>
        <v/>
      </c>
      <c r="E22" s="16">
        <f>IFERROR(D22/'1 Your numbers'!$B$5,0)</f>
        <v/>
      </c>
      <c r="F22" s="20">
        <f>'1 Your numbers'!$B$16</f>
        <v/>
      </c>
    </row>
    <row r="23">
      <c r="A23" s="27" t="n">
        <v>19</v>
      </c>
      <c r="B23" s="27">
        <f>'1 Your numbers'!$B$4+A23</f>
        <v/>
      </c>
      <c r="C23" s="20">
        <f>FV('1 Your numbers'!$B$17/12,A23*12,-'1 Your numbers'!$B$8,-'1 Your numbers'!$B$7)</f>
        <v/>
      </c>
      <c r="D23" s="20">
        <f>C23*'1 Your numbers'!$B$11/12</f>
        <v/>
      </c>
      <c r="E23" s="16">
        <f>IFERROR(D23/'1 Your numbers'!$B$5,0)</f>
        <v/>
      </c>
      <c r="F23" s="20">
        <f>'1 Your numbers'!$B$16</f>
        <v/>
      </c>
    </row>
    <row r="24">
      <c r="A24" s="27" t="n">
        <v>20</v>
      </c>
      <c r="B24" s="27">
        <f>'1 Your numbers'!$B$4+A24</f>
        <v/>
      </c>
      <c r="C24" s="20">
        <f>FV('1 Your numbers'!$B$17/12,A24*12,-'1 Your numbers'!$B$8,-'1 Your numbers'!$B$7)</f>
        <v/>
      </c>
      <c r="D24" s="20">
        <f>C24*'1 Your numbers'!$B$11/12</f>
        <v/>
      </c>
      <c r="E24" s="16">
        <f>IFERROR(D24/'1 Your numbers'!$B$5,0)</f>
        <v/>
      </c>
      <c r="F24" s="20">
        <f>'1 Your numbers'!$B$16</f>
        <v/>
      </c>
    </row>
    <row r="25">
      <c r="A25" s="27" t="n">
        <v>21</v>
      </c>
      <c r="B25" s="27">
        <f>'1 Your numbers'!$B$4+A25</f>
        <v/>
      </c>
      <c r="C25" s="20">
        <f>FV('1 Your numbers'!$B$17/12,A25*12,-'1 Your numbers'!$B$8,-'1 Your numbers'!$B$7)</f>
        <v/>
      </c>
      <c r="D25" s="20">
        <f>C25*'1 Your numbers'!$B$11/12</f>
        <v/>
      </c>
      <c r="E25" s="16">
        <f>IFERROR(D25/'1 Your numbers'!$B$5,0)</f>
        <v/>
      </c>
      <c r="F25" s="20">
        <f>'1 Your numbers'!$B$16</f>
        <v/>
      </c>
    </row>
    <row r="26">
      <c r="A26" s="27" t="n">
        <v>22</v>
      </c>
      <c r="B26" s="27">
        <f>'1 Your numbers'!$B$4+A26</f>
        <v/>
      </c>
      <c r="C26" s="20">
        <f>FV('1 Your numbers'!$B$17/12,A26*12,-'1 Your numbers'!$B$8,-'1 Your numbers'!$B$7)</f>
        <v/>
      </c>
      <c r="D26" s="20">
        <f>C26*'1 Your numbers'!$B$11/12</f>
        <v/>
      </c>
      <c r="E26" s="16">
        <f>IFERROR(D26/'1 Your numbers'!$B$5,0)</f>
        <v/>
      </c>
      <c r="F26" s="20">
        <f>'1 Your numbers'!$B$16</f>
        <v/>
      </c>
    </row>
    <row r="27">
      <c r="A27" s="27" t="n">
        <v>23</v>
      </c>
      <c r="B27" s="27">
        <f>'1 Your numbers'!$B$4+A27</f>
        <v/>
      </c>
      <c r="C27" s="20">
        <f>FV('1 Your numbers'!$B$17/12,A27*12,-'1 Your numbers'!$B$8,-'1 Your numbers'!$B$7)</f>
        <v/>
      </c>
      <c r="D27" s="20">
        <f>C27*'1 Your numbers'!$B$11/12</f>
        <v/>
      </c>
      <c r="E27" s="16">
        <f>IFERROR(D27/'1 Your numbers'!$B$5,0)</f>
        <v/>
      </c>
      <c r="F27" s="20">
        <f>'1 Your numbers'!$B$16</f>
        <v/>
      </c>
    </row>
    <row r="28">
      <c r="A28" s="27" t="n">
        <v>24</v>
      </c>
      <c r="B28" s="27">
        <f>'1 Your numbers'!$B$4+A28</f>
        <v/>
      </c>
      <c r="C28" s="20">
        <f>FV('1 Your numbers'!$B$17/12,A28*12,-'1 Your numbers'!$B$8,-'1 Your numbers'!$B$7)</f>
        <v/>
      </c>
      <c r="D28" s="20">
        <f>C28*'1 Your numbers'!$B$11/12</f>
        <v/>
      </c>
      <c r="E28" s="16">
        <f>IFERROR(D28/'1 Your numbers'!$B$5,0)</f>
        <v/>
      </c>
      <c r="F28" s="20">
        <f>'1 Your numbers'!$B$16</f>
        <v/>
      </c>
    </row>
    <row r="29">
      <c r="A29" s="27" t="n">
        <v>25</v>
      </c>
      <c r="B29" s="27">
        <f>'1 Your numbers'!$B$4+A29</f>
        <v/>
      </c>
      <c r="C29" s="20">
        <f>FV('1 Your numbers'!$B$17/12,A29*12,-'1 Your numbers'!$B$8,-'1 Your numbers'!$B$7)</f>
        <v/>
      </c>
      <c r="D29" s="20">
        <f>C29*'1 Your numbers'!$B$11/12</f>
        <v/>
      </c>
      <c r="E29" s="16">
        <f>IFERROR(D29/'1 Your numbers'!$B$5,0)</f>
        <v/>
      </c>
      <c r="F29" s="20">
        <f>'1 Your numbers'!$B$16</f>
        <v/>
      </c>
    </row>
    <row r="30">
      <c r="A30" s="27" t="n">
        <v>26</v>
      </c>
      <c r="B30" s="27">
        <f>'1 Your numbers'!$B$4+A30</f>
        <v/>
      </c>
      <c r="C30" s="20">
        <f>FV('1 Your numbers'!$B$17/12,A30*12,-'1 Your numbers'!$B$8,-'1 Your numbers'!$B$7)</f>
        <v/>
      </c>
      <c r="D30" s="20">
        <f>C30*'1 Your numbers'!$B$11/12</f>
        <v/>
      </c>
      <c r="E30" s="16">
        <f>IFERROR(D30/'1 Your numbers'!$B$5,0)</f>
        <v/>
      </c>
      <c r="F30" s="20">
        <f>'1 Your numbers'!$B$16</f>
        <v/>
      </c>
    </row>
    <row r="31">
      <c r="A31" s="27" t="n">
        <v>27</v>
      </c>
      <c r="B31" s="27">
        <f>'1 Your numbers'!$B$4+A31</f>
        <v/>
      </c>
      <c r="C31" s="20">
        <f>FV('1 Your numbers'!$B$17/12,A31*12,-'1 Your numbers'!$B$8,-'1 Your numbers'!$B$7)</f>
        <v/>
      </c>
      <c r="D31" s="20">
        <f>C31*'1 Your numbers'!$B$11/12</f>
        <v/>
      </c>
      <c r="E31" s="16">
        <f>IFERROR(D31/'1 Your numbers'!$B$5,0)</f>
        <v/>
      </c>
      <c r="F31" s="20">
        <f>'1 Your numbers'!$B$16</f>
        <v/>
      </c>
    </row>
    <row r="32">
      <c r="A32" s="27" t="n">
        <v>28</v>
      </c>
      <c r="B32" s="27">
        <f>'1 Your numbers'!$B$4+A32</f>
        <v/>
      </c>
      <c r="C32" s="20">
        <f>FV('1 Your numbers'!$B$17/12,A32*12,-'1 Your numbers'!$B$8,-'1 Your numbers'!$B$7)</f>
        <v/>
      </c>
      <c r="D32" s="20">
        <f>C32*'1 Your numbers'!$B$11/12</f>
        <v/>
      </c>
      <c r="E32" s="16">
        <f>IFERROR(D32/'1 Your numbers'!$B$5,0)</f>
        <v/>
      </c>
      <c r="F32" s="20">
        <f>'1 Your numbers'!$B$16</f>
        <v/>
      </c>
    </row>
    <row r="33">
      <c r="A33" s="27" t="n">
        <v>29</v>
      </c>
      <c r="B33" s="27">
        <f>'1 Your numbers'!$B$4+A33</f>
        <v/>
      </c>
      <c r="C33" s="20">
        <f>FV('1 Your numbers'!$B$17/12,A33*12,-'1 Your numbers'!$B$8,-'1 Your numbers'!$B$7)</f>
        <v/>
      </c>
      <c r="D33" s="20">
        <f>C33*'1 Your numbers'!$B$11/12</f>
        <v/>
      </c>
      <c r="E33" s="16">
        <f>IFERROR(D33/'1 Your numbers'!$B$5,0)</f>
        <v/>
      </c>
      <c r="F33" s="20">
        <f>'1 Your numbers'!$B$16</f>
        <v/>
      </c>
    </row>
    <row r="34">
      <c r="A34" s="27" t="n">
        <v>30</v>
      </c>
      <c r="B34" s="27">
        <f>'1 Your numbers'!$B$4+A34</f>
        <v/>
      </c>
      <c r="C34" s="20">
        <f>FV('1 Your numbers'!$B$17/12,A34*12,-'1 Your numbers'!$B$8,-'1 Your numbers'!$B$7)</f>
        <v/>
      </c>
      <c r="D34" s="20">
        <f>C34*'1 Your numbers'!$B$11/12</f>
        <v/>
      </c>
      <c r="E34" s="16">
        <f>IFERROR(D34/'1 Your numbers'!$B$5,0)</f>
        <v/>
      </c>
      <c r="F34" s="20">
        <f>'1 Your numbers'!$B$16</f>
        <v/>
      </c>
    </row>
    <row r="35">
      <c r="A35" s="27" t="n">
        <v>31</v>
      </c>
      <c r="B35" s="27">
        <f>'1 Your numbers'!$B$4+A35</f>
        <v/>
      </c>
      <c r="C35" s="20">
        <f>FV('1 Your numbers'!$B$17/12,A35*12,-'1 Your numbers'!$B$8,-'1 Your numbers'!$B$7)</f>
        <v/>
      </c>
      <c r="D35" s="20">
        <f>C35*'1 Your numbers'!$B$11/12</f>
        <v/>
      </c>
      <c r="E35" s="16">
        <f>IFERROR(D35/'1 Your numbers'!$B$5,0)</f>
        <v/>
      </c>
      <c r="F35" s="20">
        <f>'1 Your numbers'!$B$16</f>
        <v/>
      </c>
    </row>
    <row r="36">
      <c r="A36" s="27" t="n">
        <v>32</v>
      </c>
      <c r="B36" s="27">
        <f>'1 Your numbers'!$B$4+A36</f>
        <v/>
      </c>
      <c r="C36" s="20">
        <f>FV('1 Your numbers'!$B$17/12,A36*12,-'1 Your numbers'!$B$8,-'1 Your numbers'!$B$7)</f>
        <v/>
      </c>
      <c r="D36" s="20">
        <f>C36*'1 Your numbers'!$B$11/12</f>
        <v/>
      </c>
      <c r="E36" s="16">
        <f>IFERROR(D36/'1 Your numbers'!$B$5,0)</f>
        <v/>
      </c>
      <c r="F36" s="20">
        <f>'1 Your numbers'!$B$16</f>
        <v/>
      </c>
    </row>
    <row r="37">
      <c r="A37" s="27" t="n">
        <v>33</v>
      </c>
      <c r="B37" s="27">
        <f>'1 Your numbers'!$B$4+A37</f>
        <v/>
      </c>
      <c r="C37" s="20">
        <f>FV('1 Your numbers'!$B$17/12,A37*12,-'1 Your numbers'!$B$8,-'1 Your numbers'!$B$7)</f>
        <v/>
      </c>
      <c r="D37" s="20">
        <f>C37*'1 Your numbers'!$B$11/12</f>
        <v/>
      </c>
      <c r="E37" s="16">
        <f>IFERROR(D37/'1 Your numbers'!$B$5,0)</f>
        <v/>
      </c>
      <c r="F37" s="20">
        <f>'1 Your numbers'!$B$16</f>
        <v/>
      </c>
    </row>
    <row r="38">
      <c r="A38" s="27" t="n">
        <v>34</v>
      </c>
      <c r="B38" s="27">
        <f>'1 Your numbers'!$B$4+A38</f>
        <v/>
      </c>
      <c r="C38" s="20">
        <f>FV('1 Your numbers'!$B$17/12,A38*12,-'1 Your numbers'!$B$8,-'1 Your numbers'!$B$7)</f>
        <v/>
      </c>
      <c r="D38" s="20">
        <f>C38*'1 Your numbers'!$B$11/12</f>
        <v/>
      </c>
      <c r="E38" s="16">
        <f>IFERROR(D38/'1 Your numbers'!$B$5,0)</f>
        <v/>
      </c>
      <c r="F38" s="20">
        <f>'1 Your numbers'!$B$16</f>
        <v/>
      </c>
    </row>
    <row r="39">
      <c r="A39" s="27" t="n">
        <v>35</v>
      </c>
      <c r="B39" s="27">
        <f>'1 Your numbers'!$B$4+A39</f>
        <v/>
      </c>
      <c r="C39" s="20">
        <f>FV('1 Your numbers'!$B$17/12,A39*12,-'1 Your numbers'!$B$8,-'1 Your numbers'!$B$7)</f>
        <v/>
      </c>
      <c r="D39" s="20">
        <f>C39*'1 Your numbers'!$B$11/12</f>
        <v/>
      </c>
      <c r="E39" s="16">
        <f>IFERROR(D39/'1 Your numbers'!$B$5,0)</f>
        <v/>
      </c>
      <c r="F39" s="20">
        <f>'1 Your numbers'!$B$16</f>
        <v/>
      </c>
    </row>
    <row r="40">
      <c r="A40" s="27" t="n">
        <v>36</v>
      </c>
      <c r="B40" s="27">
        <f>'1 Your numbers'!$B$4+A40</f>
        <v/>
      </c>
      <c r="C40" s="20">
        <f>FV('1 Your numbers'!$B$17/12,A40*12,-'1 Your numbers'!$B$8,-'1 Your numbers'!$B$7)</f>
        <v/>
      </c>
      <c r="D40" s="20">
        <f>C40*'1 Your numbers'!$B$11/12</f>
        <v/>
      </c>
      <c r="E40" s="16">
        <f>IFERROR(D40/'1 Your numbers'!$B$5,0)</f>
        <v/>
      </c>
      <c r="F40" s="20">
        <f>'1 Your numbers'!$B$16</f>
        <v/>
      </c>
    </row>
    <row r="41">
      <c r="A41" s="27" t="n">
        <v>37</v>
      </c>
      <c r="B41" s="27">
        <f>'1 Your numbers'!$B$4+A41</f>
        <v/>
      </c>
      <c r="C41" s="20">
        <f>FV('1 Your numbers'!$B$17/12,A41*12,-'1 Your numbers'!$B$8,-'1 Your numbers'!$B$7)</f>
        <v/>
      </c>
      <c r="D41" s="20">
        <f>C41*'1 Your numbers'!$B$11/12</f>
        <v/>
      </c>
      <c r="E41" s="16">
        <f>IFERROR(D41/'1 Your numbers'!$B$5,0)</f>
        <v/>
      </c>
      <c r="F41" s="20">
        <f>'1 Your numbers'!$B$16</f>
        <v/>
      </c>
    </row>
    <row r="42">
      <c r="A42" s="27" t="n">
        <v>38</v>
      </c>
      <c r="B42" s="27">
        <f>'1 Your numbers'!$B$4+A42</f>
        <v/>
      </c>
      <c r="C42" s="20">
        <f>FV('1 Your numbers'!$B$17/12,A42*12,-'1 Your numbers'!$B$8,-'1 Your numbers'!$B$7)</f>
        <v/>
      </c>
      <c r="D42" s="20">
        <f>C42*'1 Your numbers'!$B$11/12</f>
        <v/>
      </c>
      <c r="E42" s="16">
        <f>IFERROR(D42/'1 Your numbers'!$B$5,0)</f>
        <v/>
      </c>
      <c r="F42" s="20">
        <f>'1 Your numbers'!$B$16</f>
        <v/>
      </c>
    </row>
    <row r="43">
      <c r="A43" s="27" t="n">
        <v>39</v>
      </c>
      <c r="B43" s="27">
        <f>'1 Your numbers'!$B$4+A43</f>
        <v/>
      </c>
      <c r="C43" s="20">
        <f>FV('1 Your numbers'!$B$17/12,A43*12,-'1 Your numbers'!$B$8,-'1 Your numbers'!$B$7)</f>
        <v/>
      </c>
      <c r="D43" s="20">
        <f>C43*'1 Your numbers'!$B$11/12</f>
        <v/>
      </c>
      <c r="E43" s="16">
        <f>IFERROR(D43/'1 Your numbers'!$B$5,0)</f>
        <v/>
      </c>
      <c r="F43" s="20">
        <f>'1 Your numbers'!$B$16</f>
        <v/>
      </c>
    </row>
    <row r="44">
      <c r="A44" s="27" t="n">
        <v>40</v>
      </c>
      <c r="B44" s="27">
        <f>'1 Your numbers'!$B$4+A44</f>
        <v/>
      </c>
      <c r="C44" s="20">
        <f>FV('1 Your numbers'!$B$17/12,A44*12,-'1 Your numbers'!$B$8,-'1 Your numbers'!$B$7)</f>
        <v/>
      </c>
      <c r="D44" s="20">
        <f>C44*'1 Your numbers'!$B$11/12</f>
        <v/>
      </c>
      <c r="E44" s="16">
        <f>IFERROR(D44/'1 Your numbers'!$B$5,0)</f>
        <v/>
      </c>
      <c r="F44" s="20">
        <f>'1 Your numbers'!$B$16</f>
        <v/>
      </c>
    </row>
  </sheetData>
  <conditionalFormatting sqref="A4:F44">
    <cfRule type="expression" priority="1" dxfId="0">
      <formula>$E4&gt;=1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E0E10"/>
    <outlinePr summaryBelow="1" summaryRight="1"/>
    <pageSetUpPr fitToPage="1"/>
  </sheetPr>
  <dimension ref="A1:G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0" customWidth="1" min="4" max="4"/>
    <col width="14" customWidth="1" min="5" max="5"/>
    <col width="14" customWidth="1" min="6" max="6"/>
    <col width="48" customWidth="1" min="7" max="7"/>
  </cols>
  <sheetData>
    <row r="1" ht="34" customHeight="1">
      <c r="A1" s="1" t="inlineStr">
        <is>
          <t>5 Weekly log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Thirteen weeks is about 100 days. Fill in what happened, not what you hoped for.</t>
        </is>
      </c>
      <c r="B2" s="2" t="n"/>
      <c r="C2" s="2" t="n"/>
      <c r="D2" s="2" t="n"/>
      <c r="E2" s="2" t="n"/>
      <c r="F2" s="2" t="n"/>
      <c r="G2" s="2" t="n"/>
    </row>
    <row r="3">
      <c r="A3" s="9" t="inlineStr">
        <is>
          <t>Week</t>
        </is>
      </c>
      <c r="B3" s="9" t="inlineStr">
        <is>
          <t>Outreaches</t>
        </is>
      </c>
      <c r="C3" s="9" t="inlineStr">
        <is>
          <t>Replies</t>
        </is>
      </c>
      <c r="D3" s="9" t="inlineStr">
        <is>
          <t>Sales</t>
        </is>
      </c>
      <c r="E3" s="9" t="inlineStr">
        <is>
          <t>Revenue</t>
        </is>
      </c>
      <c r="F3" s="9" t="inlineStr">
        <is>
          <t>Hours worked</t>
        </is>
      </c>
      <c r="G3" s="9" t="inlineStr">
        <is>
          <t>What I learned</t>
        </is>
      </c>
    </row>
    <row r="4">
      <c r="A4" s="27" t="n">
        <v>1</v>
      </c>
      <c r="B4" s="10" t="n"/>
      <c r="C4" s="10" t="n"/>
      <c r="D4" s="10" t="n"/>
      <c r="E4" s="12" t="n"/>
      <c r="F4" s="10" t="n"/>
      <c r="G4" s="28" t="n"/>
    </row>
    <row r="5">
      <c r="A5" s="27" t="n">
        <v>2</v>
      </c>
      <c r="B5" s="10" t="n"/>
      <c r="C5" s="10" t="n"/>
      <c r="D5" s="10" t="n"/>
      <c r="E5" s="12" t="n"/>
      <c r="F5" s="10" t="n"/>
      <c r="G5" s="28" t="n"/>
    </row>
    <row r="6">
      <c r="A6" s="27" t="n">
        <v>3</v>
      </c>
      <c r="B6" s="10" t="n"/>
      <c r="C6" s="10" t="n"/>
      <c r="D6" s="10" t="n"/>
      <c r="E6" s="12" t="n"/>
      <c r="F6" s="10" t="n"/>
      <c r="G6" s="28" t="n"/>
    </row>
    <row r="7">
      <c r="A7" s="27" t="n">
        <v>4</v>
      </c>
      <c r="B7" s="10" t="n"/>
      <c r="C7" s="10" t="n"/>
      <c r="D7" s="10" t="n"/>
      <c r="E7" s="12" t="n"/>
      <c r="F7" s="10" t="n"/>
      <c r="G7" s="28" t="n"/>
    </row>
    <row r="8">
      <c r="A8" s="27" t="n">
        <v>5</v>
      </c>
      <c r="B8" s="10" t="n"/>
      <c r="C8" s="10" t="n"/>
      <c r="D8" s="10" t="n"/>
      <c r="E8" s="12" t="n"/>
      <c r="F8" s="10" t="n"/>
      <c r="G8" s="28" t="n"/>
    </row>
    <row r="9">
      <c r="A9" s="27" t="n">
        <v>6</v>
      </c>
      <c r="B9" s="10" t="n"/>
      <c r="C9" s="10" t="n"/>
      <c r="D9" s="10" t="n"/>
      <c r="E9" s="12" t="n"/>
      <c r="F9" s="10" t="n"/>
      <c r="G9" s="28" t="n"/>
    </row>
    <row r="10">
      <c r="A10" s="27" t="n">
        <v>7</v>
      </c>
      <c r="B10" s="10" t="n"/>
      <c r="C10" s="10" t="n"/>
      <c r="D10" s="10" t="n"/>
      <c r="E10" s="12" t="n"/>
      <c r="F10" s="10" t="n"/>
      <c r="G10" s="28" t="n"/>
    </row>
    <row r="11">
      <c r="A11" s="27" t="n">
        <v>8</v>
      </c>
      <c r="B11" s="10" t="n"/>
      <c r="C11" s="10" t="n"/>
      <c r="D11" s="10" t="n"/>
      <c r="E11" s="12" t="n"/>
      <c r="F11" s="10" t="n"/>
      <c r="G11" s="28" t="n"/>
    </row>
    <row r="12">
      <c r="A12" s="27" t="n">
        <v>9</v>
      </c>
      <c r="B12" s="10" t="n"/>
      <c r="C12" s="10" t="n"/>
      <c r="D12" s="10" t="n"/>
      <c r="E12" s="12" t="n"/>
      <c r="F12" s="10" t="n"/>
      <c r="G12" s="28" t="n"/>
    </row>
    <row r="13">
      <c r="A13" s="27" t="n">
        <v>10</v>
      </c>
      <c r="B13" s="10" t="n"/>
      <c r="C13" s="10" t="n"/>
      <c r="D13" s="10" t="n"/>
      <c r="E13" s="12" t="n"/>
      <c r="F13" s="10" t="n"/>
      <c r="G13" s="28" t="n"/>
    </row>
    <row r="14">
      <c r="A14" s="27" t="n">
        <v>11</v>
      </c>
      <c r="B14" s="10" t="n"/>
      <c r="C14" s="10" t="n"/>
      <c r="D14" s="10" t="n"/>
      <c r="E14" s="12" t="n"/>
      <c r="F14" s="10" t="n"/>
      <c r="G14" s="28" t="n"/>
    </row>
    <row r="15">
      <c r="A15" s="27" t="n">
        <v>12</v>
      </c>
      <c r="B15" s="10" t="n"/>
      <c r="C15" s="10" t="n"/>
      <c r="D15" s="10" t="n"/>
      <c r="E15" s="12" t="n"/>
      <c r="F15" s="10" t="n"/>
      <c r="G15" s="28" t="n"/>
    </row>
    <row r="16">
      <c r="A16" s="27" t="n">
        <v>13</v>
      </c>
      <c r="B16" s="10" t="n"/>
      <c r="C16" s="10" t="n"/>
      <c r="D16" s="10" t="n"/>
      <c r="E16" s="12" t="n"/>
      <c r="F16" s="10" t="n"/>
      <c r="G16" s="28" t="n"/>
    </row>
    <row r="18">
      <c r="A18" s="5" t="inlineStr">
        <is>
          <t>Totals</t>
        </is>
      </c>
      <c r="B18" s="26">
        <f>SUM(B4:B16)</f>
        <v/>
      </c>
      <c r="C18" s="26">
        <f>SUM(C4:C16)</f>
        <v/>
      </c>
      <c r="D18" s="26">
        <f>SUM(D4:D16)</f>
        <v/>
      </c>
      <c r="E18" s="14">
        <f>SUM(E4:E16)</f>
        <v/>
      </c>
      <c r="F18" s="26">
        <f>SUM(F4:F16)</f>
        <v/>
      </c>
    </row>
    <row r="20">
      <c r="A20" s="4" t="inlineStr">
        <is>
          <t>Reply rate</t>
        </is>
      </c>
      <c r="B20" s="29">
        <f>IFERROR(C18/B18,0)</f>
        <v/>
      </c>
    </row>
    <row r="21">
      <c r="A21" s="4" t="inlineStr">
        <is>
          <t>Close rate (sales per reply)</t>
        </is>
      </c>
      <c r="B21" s="29">
        <f>IFERROR(D18/C18,0)</f>
        <v/>
      </c>
    </row>
    <row r="22">
      <c r="A22" s="4" t="inlineStr">
        <is>
          <t>Yes-rate (sales per outreach)</t>
        </is>
      </c>
      <c r="B22" s="15">
        <f>IFERROR(D18/B18,0)</f>
        <v/>
      </c>
    </row>
    <row r="23">
      <c r="A23" s="4" t="inlineStr">
        <is>
          <t>Revenue per hour</t>
        </is>
      </c>
      <c r="B23" s="22">
        <f>IFERROR(E18/F18,0)</f>
        <v/>
      </c>
    </row>
    <row r="24">
      <c r="A24" s="4" t="inlineStr">
        <is>
          <t>Copy your real yes-rate into '3 Rule of 100' and watch the forecast become honest.</t>
        </is>
      </c>
    </row>
  </sheetData>
  <mergeCells count="1">
    <mergeCell ref="A24:G2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Quiet Money</dc:creator>
  <dc:title>Rat Race Escape Planner</dc:title>
  <dcterms:created xsi:type="dcterms:W3CDTF">2026-10-07T12:48:56Z</dcterms:created>
  <dcterms:modified xsi:type="dcterms:W3CDTF">2026-10-07T12:48:56Z</dcterms:modified>
</cp:coreProperties>
</file>