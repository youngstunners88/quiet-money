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1 Your debts" sheetId="2" state="visible" r:id="rId4"/>
    <sheet name="2 Payoff plan" sheetId="3" state="visible" r:id="rId5"/>
    <sheet name="3 Compound growth" sheetId="4" state="visible" r:id="rId6"/>
    <sheet name="4 Pay debt or invest" sheetId="5" state="visible" r:id="rId7"/>
    <sheet name="Engine (math)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<sst xmlns="http://schemas.openxmlformats.org/spreadsheetml/2006/main" count="173" uniqueCount="98">
  <si>
    <t xml:space="preserve">Debt Payoff &amp; Compound Interest Planner</t>
  </si>
  <si>
    <t xml:space="preserve">Find the fastest way out of debt, then let compounding work for you.</t>
  </si>
  <si>
    <t xml:space="preserve">1. Open '1 Your debts' and replace the blue example debts with yours (up to 8). Choose Avalanche or Snowball and type your extra monthly payment.</t>
  </si>
  <si>
    <t xml:space="preserve">2. Open '2 Payoff plan': your debt-free month, total interest, and how much interest and time the plan saves against paying only minimums.</t>
  </si>
  <si>
    <t xml:space="preserve">3. '3 Compound growth' shows what a lump sum and a monthly amount become once the debt is gone.</t>
  </si>
  <si>
    <t xml:space="preserve">4. '4 Pay debt or invest' compares what paying a debt saves (its interest rate) with an assumed investment return.</t>
  </si>
  <si>
    <t xml:space="preserve">5. 'Engine (math)' is every month of the calculation in plain formulas, so you can check any number.</t>
  </si>
  <si>
    <t xml:space="preserve">Colors</t>
  </si>
  <si>
    <t xml:space="preserve">Blue = you type here</t>
  </si>
  <si>
    <t xml:space="preserve">Gray = formula</t>
  </si>
  <si>
    <t xml:space="preserve">How the plans differ</t>
  </si>
  <si>
    <t xml:space="preserve">Avalanche: extra money goes to the highest interest rate first. It costs the least interest.</t>
  </si>
  <si>
    <t xml:space="preserve">Snowball: extra money goes to the smallest balance first. Quick wins keep some people going. It usually costs a little more interest.</t>
  </si>
  <si>
    <t xml:space="preserve">Both plans keep paying the same total each month: when a debt is paid off, its payment rolls onto the next one.</t>
  </si>
  <si>
    <t xml:space="preserve">Minimums only: every debt paid on its own minimum, nothing rolled over. That is the comparison line.</t>
  </si>
  <si>
    <t xml:space="preserve">Educational tool, not financial advice. Results depend entirely on the assumptions you enter; returns are never guaranteed. Designed by Quiet Money with AI assistance; every formula was recalculated and checked against independent math. Interest is calculated monthly (rate / 12) with no rounding; your lender's exact figures will differ slightly.</t>
  </si>
  <si>
    <t xml:space="preserve">License: personal use for you and your household. Please do not resell or redistribute the file.</t>
  </si>
  <si>
    <t xml:space="preserve">1 Your debts</t>
  </si>
  <si>
    <t xml:space="preserve">List up to eight. Leave unused rows blank. Example debts shown.</t>
  </si>
  <si>
    <t xml:space="preserve">Debt</t>
  </si>
  <si>
    <t xml:space="preserve">Balance</t>
  </si>
  <si>
    <t xml:space="preserve">Yearly interest rate</t>
  </si>
  <si>
    <t xml:space="preserve">Monthly minimum</t>
  </si>
  <si>
    <t xml:space="preserve">Plan order</t>
  </si>
  <si>
    <t xml:space="preserve">Check</t>
  </si>
  <si>
    <t xml:space="preserve">priority score (helper)</t>
  </si>
  <si>
    <t xml:space="preserve">Credit card A (example)</t>
  </si>
  <si>
    <t xml:space="preserve">Credit card B (example)</t>
  </si>
  <si>
    <t xml:space="preserve">Car loan (example)</t>
  </si>
  <si>
    <t xml:space="preserve">Student loan (example)</t>
  </si>
  <si>
    <t xml:space="preserve">Plan settings</t>
  </si>
  <si>
    <t xml:space="preserve">Extra you can pay each month (on top of minimums)</t>
  </si>
  <si>
    <t xml:space="preserve">Method</t>
  </si>
  <si>
    <t xml:space="preserve">Avalanche</t>
  </si>
  <si>
    <t xml:space="preserve">Total you pay toward debt each month</t>
  </si>
  <si>
    <t xml:space="preserve">Total debt today</t>
  </si>
  <si>
    <t xml:space="preserve">2 Payoff plan</t>
  </si>
  <si>
    <t xml:space="preserve">What the plan saves against paying only the minimums.</t>
  </si>
  <si>
    <t xml:space="preserve">Result</t>
  </si>
  <si>
    <t xml:space="preserve">Value</t>
  </si>
  <si>
    <t xml:space="preserve">Months to debt-free (your plan)</t>
  </si>
  <si>
    <t xml:space="preserve">Interest you will pay (your plan)</t>
  </si>
  <si>
    <t xml:space="preserve">Months to debt-free (minimums only)</t>
  </si>
  <si>
    <t xml:space="preserve">Interest you will pay (minimums only)</t>
  </si>
  <si>
    <t xml:space="preserve">Interest saved</t>
  </si>
  <si>
    <t xml:space="preserve">Months saved</t>
  </si>
  <si>
    <t xml:space="preserve">Years to debt-free (your plan)</t>
  </si>
  <si>
    <t xml:space="preserve">Minimums-only figures cover the first 20 years (240 months); a debt that would take longer shows '&gt;240'.</t>
  </si>
  <si>
    <t xml:space="preserve">Paid off in this order</t>
  </si>
  <si>
    <t xml:space="preserve">Rate</t>
  </si>
  <si>
    <t xml:space="preserve">Paid off in month</t>
  </si>
  <si>
    <t xml:space="preserve">3 Compound growth</t>
  </si>
  <si>
    <t xml:space="preserve">What a starting amount plus a monthly amount become. Returns are assumptions, never promises.</t>
  </si>
  <si>
    <t xml:space="preserve">Starting amount</t>
  </si>
  <si>
    <t xml:space="preserve">Monthly amount you add</t>
  </si>
  <si>
    <t xml:space="preserve">Expected yearly return (assumption)</t>
  </si>
  <si>
    <t xml:space="preserve">Years</t>
  </si>
  <si>
    <t xml:space="preserve">Value at the end of your years</t>
  </si>
  <si>
    <t xml:space="preserve">Of which you put in</t>
  </si>
  <si>
    <t xml:space="preserve">Growth you did not have to earn</t>
  </si>
  <si>
    <t xml:space="preserve">Years to double (rule of 72)</t>
  </si>
  <si>
    <t xml:space="preserve">Year</t>
  </si>
  <si>
    <t xml:space="preserve">You put in</t>
  </si>
  <si>
    <t xml:space="preserve">Growth</t>
  </si>
  <si>
    <t xml:space="preserve">4 Pay debt or invest?</t>
  </si>
  <si>
    <t xml:space="preserve">Paying a debt saves its interest rate. Investing earns an assumed return, with risk.</t>
  </si>
  <si>
    <t xml:space="preserve">Interest rate of the debt (yearly)</t>
  </si>
  <si>
    <t xml:space="preserve">Extra you could use each month</t>
  </si>
  <si>
    <t xml:space="preserve">Expected investment return (assumption)</t>
  </si>
  <si>
    <t xml:space="preserve">Value if the extra pays the debt (as long as it exists)</t>
  </si>
  <si>
    <t xml:space="preserve">Value if the extra is invested</t>
  </si>
  <si>
    <t xml:space="preserve">Verdict</t>
  </si>
  <si>
    <t xml:space="preserve">Rule of thumb: paying off a 24% debt beats almost any assumed return; a 4% loan may not. Paying a debt saves its known rate; investing earns an assumed return, with risk. Taxes, employer matches and your own situation change the answer; this is education, not advice.</t>
  </si>
  <si>
    <t xml:space="preserve">Engine (math): every month, every debt, plain formulas. Nothing here needs editing.</t>
  </si>
  <si>
    <t xml:space="preserve">Debt in plan order 1: balance, rate, minimum (rows 4-6)</t>
  </si>
  <si>
    <t xml:space="preserve">Debt in plan order 2: balance, rate, minimum (rows 4-6)</t>
  </si>
  <si>
    <t xml:space="preserve">Debt in plan order 3: balance, rate, minimum (rows 4-6)</t>
  </si>
  <si>
    <t xml:space="preserve">Debt in plan order 4: balance, rate, minimum (rows 4-6)</t>
  </si>
  <si>
    <t xml:space="preserve">Debt in plan order 5: balance, rate, minimum (rows 4-6)</t>
  </si>
  <si>
    <t xml:space="preserve">Debt in plan order 6: balance, rate, minimum (rows 4-6)</t>
  </si>
  <si>
    <t xml:space="preserve">Debt in plan order 7: balance, rate, minimum (rows 4-6)</t>
  </si>
  <si>
    <t xml:space="preserve">Debt in plan order 8: balance, rate, minimum (rows 4-6)</t>
  </si>
  <si>
    <t xml:space="preserve">Month</t>
  </si>
  <si>
    <t xml:space="preserve">Left after minimums</t>
  </si>
  <si>
    <t xml:space="preserve">Plan: total owed</t>
  </si>
  <si>
    <t xml:space="preserve">Plan: interest</t>
  </si>
  <si>
    <t xml:space="preserve">Min-only: total owed</t>
  </si>
  <si>
    <t xml:space="preserve">Min-only: interest</t>
  </si>
  <si>
    <t xml:space="preserve">start</t>
  </si>
  <si>
    <t xml:space="preserve">interest</t>
  </si>
  <si>
    <t xml:space="preserve">minimum</t>
  </si>
  <si>
    <t xml:space="preserve">extra</t>
  </si>
  <si>
    <t xml:space="preserve">left</t>
  </si>
  <si>
    <t xml:space="preserve">end</t>
  </si>
  <si>
    <t xml:space="preserve">min-only start</t>
  </si>
  <si>
    <t xml:space="preserve">min-only interest</t>
  </si>
  <si>
    <t xml:space="preserve">min-only paid</t>
  </si>
  <si>
    <t xml:space="preserve">min-only end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</si>
</sst>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"/>
    <numFmt numFmtId="166" formatCode="0.00%"/>
    <numFmt numFmtId="167" formatCode="0"/>
    <numFmt numFmtId="168" formatCode="\$#,##0"/>
    <numFmt numFmtId="169" formatCode="@"/>
    <numFmt numFmtId="170" formatCode="0.0"/>
    <numFmt numFmtId="171" formatCode="0.0%"/>
    <numFmt numFmtId="172" formatCode="General"/>
    <numFmt numFmtId="173" formatCode="[$$-409]#,##0.00;[RED]\-[$$-409]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D23F"/>
      <name val="Calibri"/>
      <family val="0"/>
      <charset val="1"/>
    </font>
    <font>
      <i val="true"/>
      <sz val="11"/>
      <color rgb="FFF5F1E6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1F4E9E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10"/>
      <color rgb="FF8A8678"/>
      <name val="Calibri"/>
      <family val="0"/>
      <charset val="1"/>
    </font>
    <font>
      <b val="true"/>
      <sz val="11"/>
      <color rgb="FFFFD23F"/>
      <name val="Calibri"/>
      <family val="0"/>
      <charset val="1"/>
    </font>
    <font>
      <sz val="8"/>
      <color rgb="FFBBBBBB"/>
      <name val="Cambria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name val="Cambria"/>
      <family val="0"/>
      <charset val="1"/>
    </font>
    <font>
      <sz val="8"/>
      <color rgb="FF999999"/>
      <name val="Cambria"/>
      <family val="0"/>
      <charset val="1"/>
    </font>
    <font>
      <b val="true"/>
      <sz val="9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0E10"/>
        <bgColor rgb="FF000000"/>
      </patternFill>
    </fill>
    <fill>
      <patternFill patternType="solid">
        <fgColor rgb="FFDCEBFF"/>
        <bgColor rgb="FFEFEFEF"/>
      </patternFill>
    </fill>
    <fill>
      <patternFill patternType="solid">
        <fgColor rgb="FFEFEFEF"/>
        <bgColor rgb="FFF5F1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DEFD3"/>
        </patternFill>
      </fill>
    </dxf>
  </dxfs>
  <colors>
    <indexedColors>
      <rgbColor rgb="FF000000"/>
      <rgbColor rgb="FFF5F1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8678"/>
      <rgbColor rgb="FF800080"/>
      <rgbColor rgb="FF008080"/>
      <rgbColor rgb="FFBBBBBB"/>
      <rgbColor rgb="FF878787"/>
      <rgbColor rgb="FF9999FF"/>
      <rgbColor rgb="FFBE4B48"/>
      <rgbColor rgb="FFEFEFEF"/>
      <rgbColor rgb="FFDCEB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DEFD3"/>
      <rgbColor rgb="FFFFFF99"/>
      <rgbColor rgb="FFC9C9C9"/>
      <rgbColor rgb="FFFF99CC"/>
      <rgbColor rgb="FFCC99FF"/>
      <rgbColor rgb="FFFFCC99"/>
      <rgbColor rgb="FF3366FF"/>
      <rgbColor rgb="FF33CCCC"/>
      <rgbColor rgb="FF99CC00"/>
      <rgbColor rgb="FFFFD23F"/>
      <rgbColor rgb="FFFF9900"/>
      <rgbColor rgb="FFFF6600"/>
      <rgbColor rgb="FF4A7EBB"/>
      <rgbColor rgb="FF999999"/>
      <rgbColor rgb="FF003366"/>
      <rgbColor rgb="FF339966"/>
      <rgbColor rgb="FF0E0E10"/>
      <rgbColor rgb="FF333300"/>
      <rgbColor rgb="FF993300"/>
      <rgbColor rgb="FF993366"/>
      <rgbColor rgb="FF1F4E9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owed by month: your plan vs minimums only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'Engine (math)'!C8</c:f>
              <c:strCache>
                <c:ptCount val="1"/>
                <c:pt idx="0">
                  <c:v>Plan: total owed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'Engine (math)'!$A$9:$A$128</c:f>
              <c:strCach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strCache>
            </c:strRef>
          </c:cat>
          <c:val>
            <c:numRef>
              <c:f>'Engine (math)'!$C$9:$C$128</c:f>
              <c:numCache>
                <c:formatCode>[$$-409]#,##0.00;[RED]\-[$$-409]#,##0.00</c:formatCode>
                <c:ptCount val="120"/>
                <c:pt idx="0">
                  <c:v>25031.825</c:v>
                </c:pt>
                <c:pt idx="1">
                  <c:v>24557.4685108333</c:v>
                </c:pt>
                <c:pt idx="2">
                  <c:v>24076.8234880687</c:v>
                </c:pt>
                <c:pt idx="3">
                  <c:v>23589.7808001687</c:v>
                </c:pt>
                <c:pt idx="4">
                  <c:v>23096.2291860846</c:v>
                </c:pt>
                <c:pt idx="5">
                  <c:v>22596.0552119785</c:v>
                </c:pt>
                <c:pt idx="6">
                  <c:v>22089.1432270535</c:v>
                </c:pt>
                <c:pt idx="7">
                  <c:v>21575.3753184738</c:v>
                </c:pt>
                <c:pt idx="8">
                  <c:v>21054.6312653565</c:v>
                </c:pt>
                <c:pt idx="9">
                  <c:v>20526.788491815</c:v>
                </c:pt>
                <c:pt idx="10">
                  <c:v>19991.7220190347</c:v>
                </c:pt>
                <c:pt idx="11">
                  <c:v>19449.3044163613</c:v>
                </c:pt>
                <c:pt idx="12">
                  <c:v>18899.4057513808</c:v>
                </c:pt>
                <c:pt idx="13">
                  <c:v>18341.8935389706</c:v>
                </c:pt>
                <c:pt idx="14">
                  <c:v>17776.6326893002</c:v>
                </c:pt>
                <c:pt idx="15">
                  <c:v>17203.4854547598</c:v>
                </c:pt>
                <c:pt idx="16">
                  <c:v>16622.3113757948</c:v>
                </c:pt>
                <c:pt idx="17">
                  <c:v>16033.7309307994</c:v>
                </c:pt>
                <c:pt idx="18">
                  <c:v>15438.133823715</c:v>
                </c:pt>
                <c:pt idx="19">
                  <c:v>14835.4195660127</c:v>
                </c:pt>
                <c:pt idx="20">
                  <c:v>14225.4860941688</c:v>
                </c:pt>
                <c:pt idx="21">
                  <c:v>13608.4358646415</c:v>
                </c:pt>
                <c:pt idx="22">
                  <c:v>12987.4885065991</c:v>
                </c:pt>
                <c:pt idx="23">
                  <c:v>12362.6191207403</c:v>
                </c:pt>
                <c:pt idx="24">
                  <c:v>11733.802647312</c:v>
                </c:pt>
                <c:pt idx="25">
                  <c:v>11101.0138650687</c:v>
                </c:pt>
                <c:pt idx="26">
                  <c:v>10464.2273902257</c:v>
                </c:pt>
                <c:pt idx="27">
                  <c:v>9823.41767540501</c:v>
                </c:pt>
                <c:pt idx="28">
                  <c:v>9178.55900857431</c:v>
                </c:pt>
                <c:pt idx="29">
                  <c:v>8530.62740403028</c:v>
                </c:pt>
                <c:pt idx="30">
                  <c:v>7879.72611296542</c:v>
                </c:pt>
                <c:pt idx="31">
                  <c:v>7225.84152431651</c:v>
                </c:pt>
                <c:pt idx="32">
                  <c:v>6568.95996463629</c:v>
                </c:pt>
                <c:pt idx="33">
                  <c:v>5909.06769780754</c:v>
                </c:pt>
                <c:pt idx="34">
                  <c:v>5246.15092475583</c:v>
                </c:pt>
                <c:pt idx="35">
                  <c:v>4580.19578316096</c:v>
                </c:pt>
                <c:pt idx="36">
                  <c:v>3911.18834716711</c:v>
                </c:pt>
                <c:pt idx="37">
                  <c:v>3239.11462709163</c:v>
                </c:pt>
                <c:pt idx="38">
                  <c:v>2563.96056913247</c:v>
                </c:pt>
                <c:pt idx="39">
                  <c:v>1885.71205507432</c:v>
                </c:pt>
                <c:pt idx="40">
                  <c:v>1204.35490199341</c:v>
                </c:pt>
                <c:pt idx="41">
                  <c:v>519.874861960883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'Engine (math)'!F8</c:f>
              <c:strCache>
                <c:ptCount val="1"/>
                <c:pt idx="0">
                  <c:v>Min-only: total owed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'Engine (math)'!$A$9:$A$128</c:f>
              <c:strCach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strCache>
            </c:strRef>
          </c:cat>
          <c:val>
            <c:numRef>
              <c:f>'Engine (math)'!$F$9:$F$128</c:f>
              <c:numCache>
                <c:formatCode>[$$-409]#,##0.00;[RED]\-[$$-409]#,##0.00</c:formatCode>
                <c:ptCount val="120"/>
                <c:pt idx="0">
                  <c:v>25231.825</c:v>
                </c:pt>
                <c:pt idx="1">
                  <c:v>24961.6335108333</c:v>
                </c:pt>
                <c:pt idx="2">
                  <c:v>24689.4052241937</c:v>
                </c:pt>
                <c:pt idx="3">
                  <c:v>24415.1195509485</c:v>
                </c:pt>
                <c:pt idx="4">
                  <c:v>24138.7556163494</c:v>
                </c:pt>
                <c:pt idx="5">
                  <c:v>23860.2922551536</c:v>
                </c:pt>
                <c:pt idx="6">
                  <c:v>23579.7080066527</c:v>
                </c:pt>
                <c:pt idx="7">
                  <c:v>23296.9811096081</c:v>
                </c:pt>
                <c:pt idx="8">
                  <c:v>23012.0894970912</c:v>
                </c:pt>
                <c:pt idx="9">
                  <c:v>22725.0107912256</c:v>
                </c:pt>
                <c:pt idx="10">
                  <c:v>22435.7222978305</c:v>
                </c:pt>
                <c:pt idx="11">
                  <c:v>22144.201000963</c:v>
                </c:pt>
                <c:pt idx="12">
                  <c:v>21850.4235573569</c:v>
                </c:pt>
                <c:pt idx="13">
                  <c:v>21554.3662907562</c:v>
                </c:pt>
                <c:pt idx="14">
                  <c:v>21256.0051861417</c:v>
                </c:pt>
                <c:pt idx="15">
                  <c:v>20955.315883848</c:v>
                </c:pt>
                <c:pt idx="16">
                  <c:v>20652.2736735688</c:v>
                </c:pt>
                <c:pt idx="17">
                  <c:v>20346.8534882485</c:v>
                </c:pt>
                <c:pt idx="18">
                  <c:v>20039.0298978583</c:v>
                </c:pt>
                <c:pt idx="19">
                  <c:v>19728.7771030531</c:v>
                </c:pt>
                <c:pt idx="20">
                  <c:v>19416.0689287087</c:v>
                </c:pt>
                <c:pt idx="21">
                  <c:v>19100.8788173356</c:v>
                </c:pt>
                <c:pt idx="22">
                  <c:v>18783.1798223676</c:v>
                </c:pt>
                <c:pt idx="23">
                  <c:v>18462.9446013219</c:v>
                </c:pt>
                <c:pt idx="24">
                  <c:v>18140.1454088301</c:v>
                </c:pt>
                <c:pt idx="25">
                  <c:v>17814.7540895349</c:v>
                </c:pt>
                <c:pt idx="26">
                  <c:v>17486.7420708519</c:v>
                </c:pt>
                <c:pt idx="27">
                  <c:v>17156.0803555935</c:v>
                </c:pt>
                <c:pt idx="28">
                  <c:v>16822.7395144507</c:v>
                </c:pt>
                <c:pt idx="29">
                  <c:v>16486.6896783323</c:v>
                </c:pt>
                <c:pt idx="30">
                  <c:v>16147.900530557</c:v>
                </c:pt>
                <c:pt idx="31">
                  <c:v>15806.3412988957</c:v>
                </c:pt>
                <c:pt idx="32">
                  <c:v>15461.980747462</c:v>
                </c:pt>
                <c:pt idx="33">
                  <c:v>15114.7871684468</c:v>
                </c:pt>
                <c:pt idx="34">
                  <c:v>14764.7283736945</c:v>
                </c:pt>
                <c:pt idx="35">
                  <c:v>14411.7716861176</c:v>
                </c:pt>
                <c:pt idx="36">
                  <c:v>14055.883930946</c:v>
                </c:pt>
                <c:pt idx="37">
                  <c:v>13697.031426809</c:v>
                </c:pt>
                <c:pt idx="38">
                  <c:v>13335.1799766451</c:v>
                </c:pt>
                <c:pt idx="39">
                  <c:v>12970.2948584371</c:v>
                </c:pt>
                <c:pt idx="40">
                  <c:v>12634.1595906238</c:v>
                </c:pt>
                <c:pt idx="41">
                  <c:v>12473.3102966581</c:v>
                </c:pt>
                <c:pt idx="42">
                  <c:v>12310.7038025545</c:v>
                </c:pt>
                <c:pt idx="43">
                  <c:v>12146.312300743</c:v>
                </c:pt>
                <c:pt idx="44">
                  <c:v>11980.1074696058</c:v>
                </c:pt>
                <c:pt idx="45">
                  <c:v>11812.0604634822</c:v>
                </c:pt>
                <c:pt idx="46">
                  <c:v>11642.1419024772</c:v>
                </c:pt>
                <c:pt idx="47">
                  <c:v>11470.3218620669</c:v>
                </c:pt>
                <c:pt idx="48">
                  <c:v>11296.5698624983</c:v>
                </c:pt>
                <c:pt idx="49">
                  <c:v>11120.8548579791</c:v>
                </c:pt>
                <c:pt idx="50">
                  <c:v>10943.1452256532</c:v>
                </c:pt>
                <c:pt idx="51">
                  <c:v>10763.408754357</c:v>
                </c:pt>
                <c:pt idx="52">
                  <c:v>10581.6126331536</c:v>
                </c:pt>
                <c:pt idx="53">
                  <c:v>10397.7234396389</c:v>
                </c:pt>
                <c:pt idx="54">
                  <c:v>10211.7071280156</c:v>
                </c:pt>
                <c:pt idx="55">
                  <c:v>10023.5290169313</c:v>
                </c:pt>
                <c:pt idx="56">
                  <c:v>9833.15377707393</c:v>
                </c:pt>
                <c:pt idx="57">
                  <c:v>9640.5454185224</c:v>
                </c:pt>
                <c:pt idx="58">
                  <c:v>9445.66727784477</c:v>
                </c:pt>
                <c:pt idx="59">
                  <c:v>9248.48200494098</c:v>
                </c:pt>
                <c:pt idx="60">
                  <c:v>9048.9515496239</c:v>
                </c:pt>
                <c:pt idx="61">
                  <c:v>8847.03714793385</c:v>
                </c:pt>
                <c:pt idx="62">
                  <c:v>8642.6993081812</c:v>
                </c:pt>
                <c:pt idx="63">
                  <c:v>8435.89779671154</c:v>
                </c:pt>
                <c:pt idx="64">
                  <c:v>8226.59162338785</c:v>
                </c:pt>
                <c:pt idx="65">
                  <c:v>8014.73902678407</c:v>
                </c:pt>
                <c:pt idx="66">
                  <c:v>7825.54063826852</c:v>
                </c:pt>
                <c:pt idx="67">
                  <c:v>7653.88725915886</c:v>
                </c:pt>
                <c:pt idx="68">
                  <c:v>7480.31402222428</c:v>
                </c:pt>
                <c:pt idx="69">
                  <c:v>7304.78853103462</c:v>
                </c:pt>
                <c:pt idx="70">
                  <c:v>7127.27774926689</c:v>
                </c:pt>
                <c:pt idx="71">
                  <c:v>6947.74798753877</c:v>
                </c:pt>
                <c:pt idx="72">
                  <c:v>6766.16488996873</c:v>
                </c:pt>
                <c:pt idx="73">
                  <c:v>6582.493420457</c:v>
                </c:pt>
                <c:pt idx="74">
                  <c:v>6396.69784868152</c:v>
                </c:pt>
                <c:pt idx="75">
                  <c:v>6208.74173580305</c:v>
                </c:pt>
                <c:pt idx="76">
                  <c:v>6018.58791987333</c:v>
                </c:pt>
                <c:pt idx="77">
                  <c:v>5826.19850094006</c:v>
                </c:pt>
                <c:pt idx="78">
                  <c:v>5631.5348258425</c:v>
                </c:pt>
                <c:pt idx="79">
                  <c:v>5434.55747269117</c:v>
                </c:pt>
                <c:pt idx="80">
                  <c:v>5235.22623502509</c:v>
                </c:pt>
                <c:pt idx="81">
                  <c:v>5033.50010563986</c:v>
                </c:pt>
                <c:pt idx="82">
                  <c:v>4829.33726007977</c:v>
                </c:pt>
                <c:pt idx="83">
                  <c:v>4622.69503978677</c:v>
                </c:pt>
                <c:pt idx="84">
                  <c:v>4413.52993489948</c:v>
                </c:pt>
                <c:pt idx="85">
                  <c:v>4201.79756669458</c:v>
                </c:pt>
                <c:pt idx="86">
                  <c:v>4004.65664194642</c:v>
                </c:pt>
                <c:pt idx="87">
                  <c:v>3893.011318222</c:v>
                </c:pt>
                <c:pt idx="88">
                  <c:v>3780.85428676385</c:v>
                </c:pt>
                <c:pt idx="89">
                  <c:v>3668.18320224486</c:v>
                </c:pt>
                <c:pt idx="90">
                  <c:v>3554.99570858848</c:v>
                </c:pt>
                <c:pt idx="91">
                  <c:v>3441.28943891951</c:v>
                </c:pt>
                <c:pt idx="92">
                  <c:v>3327.06201551456</c:v>
                </c:pt>
                <c:pt idx="93">
                  <c:v>3212.31104975233</c:v>
                </c:pt>
                <c:pt idx="94">
                  <c:v>3097.0341420637</c:v>
                </c:pt>
                <c:pt idx="95">
                  <c:v>2981.22888188149</c:v>
                </c:pt>
                <c:pt idx="96">
                  <c:v>2864.89284759011</c:v>
                </c:pt>
                <c:pt idx="97">
                  <c:v>2748.0236064749</c:v>
                </c:pt>
                <c:pt idx="98">
                  <c:v>2630.61871467124</c:v>
                </c:pt>
                <c:pt idx="99">
                  <c:v>2512.67571711348</c:v>
                </c:pt>
                <c:pt idx="100">
                  <c:v>2394.19214748359</c:v>
                </c:pt>
                <c:pt idx="101">
                  <c:v>2275.16552815955</c:v>
                </c:pt>
                <c:pt idx="102">
                  <c:v>2155.59337016362</c:v>
                </c:pt>
                <c:pt idx="103">
                  <c:v>2035.4731731102</c:v>
                </c:pt>
                <c:pt idx="104">
                  <c:v>1914.80242515362</c:v>
                </c:pt>
                <c:pt idx="105">
                  <c:v>1793.57860293558</c:v>
                </c:pt>
                <c:pt idx="106">
                  <c:v>1671.79917153237</c:v>
                </c:pt>
                <c:pt idx="107">
                  <c:v>1549.46158440189</c:v>
                </c:pt>
                <c:pt idx="108">
                  <c:v>1426.5632833304</c:v>
                </c:pt>
                <c:pt idx="109">
                  <c:v>1303.101698379</c:v>
                </c:pt>
                <c:pt idx="110">
                  <c:v>1179.0742478299</c:v>
                </c:pt>
                <c:pt idx="111">
                  <c:v>1054.47833813245</c:v>
                </c:pt>
                <c:pt idx="112">
                  <c:v>929.311363848894</c:v>
                </c:pt>
                <c:pt idx="113">
                  <c:v>803.570707599868</c:v>
                </c:pt>
                <c:pt idx="114">
                  <c:v>677.253740009701</c:v>
                </c:pt>
                <c:pt idx="115">
                  <c:v>550.357819651412</c:v>
                </c:pt>
                <c:pt idx="116">
                  <c:v>422.880292991481</c:v>
                </c:pt>
                <c:pt idx="117">
                  <c:v>294.818494334359</c:v>
                </c:pt>
                <c:pt idx="118">
                  <c:v>166.169745766725</c:v>
                </c:pt>
                <c:pt idx="119">
                  <c:v>36.9313571014887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941337"/>
        <c:axId val="35283735"/>
      </c:lineChart>
      <c:catAx>
        <c:axId val="509413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83735"/>
        <c:crosses val="autoZero"/>
        <c:auto val="1"/>
        <c:lblAlgn val="ctr"/>
        <c:lblOffset val="100"/>
        <c:noMultiLvlLbl val="0"/>
      </c:catAx>
      <c:valAx>
        <c:axId val="352837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[$$-409]#,##0.00;[RED]\-[$$-409]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9413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Value vs what you put 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'3 Compound growth'!B14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Compound growth'!$A$15:$A$55</c:f>
              <c:strCach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strCache>
            </c:strRef>
          </c:cat>
          <c:val>
            <c:numRef>
              <c:f>'3 Compound growth'!$B$15:$B$55</c:f>
              <c:numCache>
                <c:formatCode>\$#,##0</c:formatCode>
                <c:ptCount val="41"/>
                <c:pt idx="0">
                  <c:v>5000</c:v>
                </c:pt>
                <c:pt idx="1">
                  <c:v>9079.22599117331</c:v>
                </c:pt>
                <c:pt idx="2">
                  <c:v>13453.3395590794</c:v>
                </c:pt>
                <c:pt idx="3">
                  <c:v>18143.6581504838</c:v>
                </c:pt>
                <c:pt idx="4">
                  <c:v>23173.0402521023</c:v>
                </c:pt>
                <c:pt idx="5">
                  <c:v>28565.9967925037</c:v>
                </c:pt>
                <c:pt idx="6">
                  <c:v>34348.8105972649</c:v>
                </c:pt>
                <c:pt idx="7">
                  <c:v>40549.6644795489</c:v>
                </c:pt>
                <c:pt idx="8">
                  <c:v>47198.7785903609</c:v>
                </c:pt>
                <c:pt idx="9">
                  <c:v>54328.5576978658</c:v>
                </c:pt>
                <c:pt idx="10">
                  <c:v>61973.7491135393</c:v>
                </c:pt>
                <c:pt idx="11">
                  <c:v>70171.6120348133</c:v>
                </c:pt>
                <c:pt idx="12">
                  <c:v>78962.0991295145</c:v>
                </c:pt>
                <c:pt idx="13">
                  <c:v>88388.0512470573</c:v>
                </c:pt>
                <c:pt idx="14">
                  <c:v>98495.4062053244</c:v>
                </c:pt>
                <c:pt idx="15">
                  <c:v>109333.422670767</c:v>
                </c:pt>
                <c:pt idx="16">
                  <c:v>120954.920222818</c:v>
                </c:pt>
                <c:pt idx="17">
                  <c:v>133416.536772577</c:v>
                </c:pt>
                <c:pt idx="18">
                  <c:v>146779.004590318</c:v>
                </c:pt>
                <c:pt idx="19">
                  <c:v>161107.446287042</c:v>
                </c:pt>
                <c:pt idx="20">
                  <c:v>176471.692192566</c:v>
                </c:pt>
                <c:pt idx="21">
                  <c:v>192946.620676896</c:v>
                </c:pt>
                <c:pt idx="22">
                  <c:v>210612.523073458</c:v>
                </c:pt>
                <c:pt idx="23">
                  <c:v>229555.494982667</c:v>
                </c:pt>
                <c:pt idx="24">
                  <c:v>249867.855862849</c:v>
                </c:pt>
                <c:pt idx="25">
                  <c:v>271648.598953441</c:v>
                </c:pt>
                <c:pt idx="26">
                  <c:v>295003.87372316</c:v>
                </c:pt>
                <c:pt idx="27">
                  <c:v>320047.503194402</c:v>
                </c:pt>
                <c:pt idx="28">
                  <c:v>346901.538665054</c:v>
                </c:pt>
                <c:pt idx="29">
                  <c:v>375696.854531196</c:v>
                </c:pt>
                <c:pt idx="30">
                  <c:v>406573.786109582</c:v>
                </c:pt>
                <c:pt idx="31">
                  <c:v>439682.813568362</c:v>
                </c:pt>
                <c:pt idx="32">
                  <c:v>475185.295299208</c:v>
                </c:pt>
                <c:pt idx="33">
                  <c:v>513254.254304974</c:v>
                </c:pt>
                <c:pt idx="34">
                  <c:v>554075.22143538</c:v>
                </c:pt>
                <c:pt idx="35">
                  <c:v>597847.139580273</c:v>
                </c:pt>
                <c:pt idx="36">
                  <c:v>644783.333227092</c:v>
                </c:pt>
                <c:pt idx="37">
                  <c:v>695112.548107724</c:v>
                </c:pt>
                <c:pt idx="38">
                  <c:v>749080.066001508</c:v>
                </c:pt>
                <c:pt idx="39">
                  <c:v>806948.900127443</c:v>
                </c:pt>
                <c:pt idx="40">
                  <c:v>869001.076951399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'3 Compound growth'!C14</c:f>
              <c:strCache>
                <c:ptCount val="1"/>
                <c:pt idx="0">
                  <c:v>You put in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Compound growth'!$A$15:$A$55</c:f>
              <c:strCach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strCache>
            </c:strRef>
          </c:cat>
          <c:val>
            <c:numRef>
              <c:f>'3 Compound growth'!$C$15:$C$55</c:f>
              <c:numCache>
                <c:formatCode>\$#,##0</c:formatCode>
                <c:ptCount val="41"/>
                <c:pt idx="0">
                  <c:v>5000</c:v>
                </c:pt>
                <c:pt idx="1">
                  <c:v>8600</c:v>
                </c:pt>
                <c:pt idx="2">
                  <c:v>12200</c:v>
                </c:pt>
                <c:pt idx="3">
                  <c:v>15800</c:v>
                </c:pt>
                <c:pt idx="4">
                  <c:v>19400</c:v>
                </c:pt>
                <c:pt idx="5">
                  <c:v>23000</c:v>
                </c:pt>
                <c:pt idx="6">
                  <c:v>26600</c:v>
                </c:pt>
                <c:pt idx="7">
                  <c:v>30200</c:v>
                </c:pt>
                <c:pt idx="8">
                  <c:v>33800</c:v>
                </c:pt>
                <c:pt idx="9">
                  <c:v>37400</c:v>
                </c:pt>
                <c:pt idx="10">
                  <c:v>41000</c:v>
                </c:pt>
                <c:pt idx="11">
                  <c:v>44600</c:v>
                </c:pt>
                <c:pt idx="12">
                  <c:v>48200</c:v>
                </c:pt>
                <c:pt idx="13">
                  <c:v>51800</c:v>
                </c:pt>
                <c:pt idx="14">
                  <c:v>55400</c:v>
                </c:pt>
                <c:pt idx="15">
                  <c:v>59000</c:v>
                </c:pt>
                <c:pt idx="16">
                  <c:v>62600</c:v>
                </c:pt>
                <c:pt idx="17">
                  <c:v>66200</c:v>
                </c:pt>
                <c:pt idx="18">
                  <c:v>69800</c:v>
                </c:pt>
                <c:pt idx="19">
                  <c:v>73400</c:v>
                </c:pt>
                <c:pt idx="20">
                  <c:v>77000</c:v>
                </c:pt>
                <c:pt idx="21">
                  <c:v>80600</c:v>
                </c:pt>
                <c:pt idx="22">
                  <c:v>84200</c:v>
                </c:pt>
                <c:pt idx="23">
                  <c:v>87800</c:v>
                </c:pt>
                <c:pt idx="24">
                  <c:v>91400</c:v>
                </c:pt>
                <c:pt idx="25">
                  <c:v>95000</c:v>
                </c:pt>
                <c:pt idx="26">
                  <c:v>98600</c:v>
                </c:pt>
                <c:pt idx="27">
                  <c:v>102200</c:v>
                </c:pt>
                <c:pt idx="28">
                  <c:v>105800</c:v>
                </c:pt>
                <c:pt idx="29">
                  <c:v>109400</c:v>
                </c:pt>
                <c:pt idx="30">
                  <c:v>113000</c:v>
                </c:pt>
                <c:pt idx="31">
                  <c:v>116600</c:v>
                </c:pt>
                <c:pt idx="32">
                  <c:v>120200</c:v>
                </c:pt>
                <c:pt idx="33">
                  <c:v>123800</c:v>
                </c:pt>
                <c:pt idx="34">
                  <c:v>127400</c:v>
                </c:pt>
                <c:pt idx="35">
                  <c:v>131000</c:v>
                </c:pt>
                <c:pt idx="36">
                  <c:v>134600</c:v>
                </c:pt>
                <c:pt idx="37">
                  <c:v>138200</c:v>
                </c:pt>
                <c:pt idx="38">
                  <c:v>141800</c:v>
                </c:pt>
                <c:pt idx="39">
                  <c:v>145400</c:v>
                </c:pt>
                <c:pt idx="40">
                  <c:v>149000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1182189"/>
        <c:axId val="41716465"/>
      </c:lineChart>
      <c:catAx>
        <c:axId val="8118218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716465"/>
        <c:crosses val="autoZero"/>
        <c:auto val="1"/>
        <c:lblAlgn val="ctr"/>
        <c:lblOffset val="100"/>
        <c:noMultiLvlLbl val="0"/>
      </c:catAx>
      <c:valAx>
        <c:axId val="417164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1821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0</xdr:rowOff>
    </xdr:from>
    <xdr:to>
      <xdr:col>3</xdr:col>
      <xdr:colOff>630000</xdr:colOff>
      <xdr:row>42</xdr:row>
      <xdr:rowOff>1440</xdr:rowOff>
    </xdr:to>
    <xdr:graphicFrame>
      <xdr:nvGraphicFramePr>
        <xdr:cNvPr id="0" name="Chart 1"/>
        <xdr:cNvGraphicFramePr/>
      </xdr:nvGraphicFramePr>
      <xdr:xfrm>
        <a:off x="0" y="500076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15</xdr:col>
      <xdr:colOff>370440</xdr:colOff>
      <xdr:row>19</xdr:row>
      <xdr:rowOff>1080</xdr:rowOff>
    </xdr:to>
    <xdr:graphicFrame>
      <xdr:nvGraphicFramePr>
        <xdr:cNvPr id="1" name="Chart 1"/>
        <xdr:cNvGraphicFramePr/>
      </xdr:nvGraphicFramePr>
      <xdr:xfrm>
        <a:off x="8759880" y="61920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0E10"/>
    <pageSetUpPr fitToPage="true"/>
  </sheetPr>
  <dimension ref="A1:F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8"/>
  </cols>
  <sheetData>
    <row r="1" customFormat="false" ht="33.75" hidden="false" customHeight="tru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</row>
    <row r="4" customFormat="false" ht="33.7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33.7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33.75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33.75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33.75" hidden="false" customHeight="true" outlineLevel="0" collapsed="false">
      <c r="A8" s="4" t="s">
        <v>6</v>
      </c>
      <c r="B8" s="4"/>
      <c r="C8" s="4"/>
      <c r="D8" s="4"/>
      <c r="E8" s="4"/>
      <c r="F8" s="4"/>
    </row>
    <row r="10" customFormat="false" ht="15" hidden="false" customHeight="false" outlineLevel="0" collapsed="false">
      <c r="A10" s="5" t="s">
        <v>7</v>
      </c>
    </row>
    <row r="11" customFormat="false" ht="15" hidden="false" customHeight="false" outlineLevel="0" collapsed="false">
      <c r="A11" s="6" t="s">
        <v>8</v>
      </c>
    </row>
    <row r="12" customFormat="false" ht="15" hidden="false" customHeight="false" outlineLevel="0" collapsed="false">
      <c r="A12" s="7" t="s">
        <v>9</v>
      </c>
    </row>
    <row r="14" customFormat="false" ht="15" hidden="false" customHeight="false" outlineLevel="0" collapsed="false">
      <c r="A14" s="5" t="s">
        <v>10</v>
      </c>
    </row>
    <row r="15" customFormat="false" ht="30" hidden="false" customHeight="true" outlineLevel="0" collapsed="false">
      <c r="A15" s="4" t="s">
        <v>11</v>
      </c>
      <c r="B15" s="4"/>
      <c r="C15" s="4"/>
      <c r="D15" s="4"/>
      <c r="E15" s="4"/>
      <c r="F15" s="4"/>
    </row>
    <row r="16" customFormat="false" ht="30" hidden="false" customHeight="true" outlineLevel="0" collapsed="false">
      <c r="A16" s="4" t="s">
        <v>12</v>
      </c>
      <c r="B16" s="4"/>
      <c r="C16" s="4"/>
      <c r="D16" s="4"/>
      <c r="E16" s="4"/>
      <c r="F16" s="4"/>
    </row>
    <row r="17" customFormat="false" ht="30" hidden="false" customHeight="true" outlineLevel="0" collapsed="false">
      <c r="A17" s="4" t="s">
        <v>13</v>
      </c>
      <c r="B17" s="4"/>
      <c r="C17" s="4"/>
      <c r="D17" s="4"/>
      <c r="E17" s="4"/>
      <c r="F17" s="4"/>
    </row>
    <row r="18" customFormat="false" ht="30" hidden="false" customHeight="true" outlineLevel="0" collapsed="false">
      <c r="A18" s="4" t="s">
        <v>14</v>
      </c>
      <c r="B18" s="4"/>
      <c r="C18" s="4"/>
      <c r="D18" s="4"/>
      <c r="E18" s="4"/>
      <c r="F18" s="4"/>
    </row>
    <row r="20" customFormat="false" ht="55.5" hidden="false" customHeight="true" outlineLevel="0" collapsed="false">
      <c r="A20" s="8" t="s">
        <v>15</v>
      </c>
      <c r="B20" s="8"/>
      <c r="C20" s="8"/>
      <c r="D20" s="8"/>
      <c r="E20" s="8"/>
      <c r="F20" s="8"/>
    </row>
    <row r="22" customFormat="false" ht="15" hidden="false" customHeight="true" outlineLevel="0" collapsed="false">
      <c r="A22" s="4" t="s">
        <v>16</v>
      </c>
      <c r="B22" s="4"/>
      <c r="C22" s="4"/>
      <c r="D22" s="4"/>
      <c r="E22" s="4"/>
      <c r="F22" s="4"/>
    </row>
  </sheetData>
  <mergeCells count="11">
    <mergeCell ref="A4:F4"/>
    <mergeCell ref="A5:F5"/>
    <mergeCell ref="A6:F6"/>
    <mergeCell ref="A7:F7"/>
    <mergeCell ref="A8:F8"/>
    <mergeCell ref="A15:F15"/>
    <mergeCell ref="A16:F16"/>
    <mergeCell ref="A17:F17"/>
    <mergeCell ref="A18:F18"/>
    <mergeCell ref="A20:F20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23F"/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36"/>
    <col collapsed="false" customWidth="true" hidden="false" outlineLevel="0" max="7" min="7" style="0" width="4"/>
    <col collapsed="false" customWidth="true" hidden="true" outlineLevel="0" max="8" min="8" style="0" width="14"/>
  </cols>
  <sheetData>
    <row r="1" customFormat="false" ht="33.75" hidden="false" customHeight="true" outlineLevel="0" collapsed="false">
      <c r="A1" s="1" t="s">
        <v>17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18</v>
      </c>
      <c r="B2" s="2"/>
      <c r="C2" s="2"/>
      <c r="D2" s="2"/>
      <c r="E2" s="2"/>
      <c r="F2" s="2"/>
      <c r="G2" s="2"/>
    </row>
    <row r="3" customFormat="false" ht="28.35" hidden="false" customHeight="false" outlineLevel="0" collapsed="false">
      <c r="A3" s="9" t="s">
        <v>19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24</v>
      </c>
      <c r="G3" s="9"/>
      <c r="H3" s="10" t="s">
        <v>25</v>
      </c>
    </row>
    <row r="4" customFormat="false" ht="15" hidden="false" customHeight="false" outlineLevel="0" collapsed="false">
      <c r="A4" s="11" t="s">
        <v>26</v>
      </c>
      <c r="B4" s="12" t="n">
        <v>4200</v>
      </c>
      <c r="C4" s="13" t="n">
        <v>0.2499</v>
      </c>
      <c r="D4" s="12" t="n">
        <v>105</v>
      </c>
      <c r="E4" s="14" t="n">
        <f aca="false">IF(H4="","",COUNTIF($H$4:$H$11,"&gt;"&amp;H4)+1)</f>
        <v>1</v>
      </c>
      <c r="F4" s="15" t="str">
        <f aca="false">IF(AND(N(B4)&gt;0,N(D4)&lt;N(B4)*N(C4)/12),"Minimum is below the monthly interest",IF(AND(N(B4)&gt;0,N(D4)=0),"Enter a minimum",""))</f>
        <v/>
      </c>
      <c r="H4" s="10" t="n">
        <f aca="false">IF(N(B4)&gt;0,IF($B$15="Snowball",-B4*1000+(100-ROW())*0.001,N(C4)*100000000+(100-ROW())),"")</f>
        <v>24990096</v>
      </c>
    </row>
    <row r="5" customFormat="false" ht="15" hidden="false" customHeight="false" outlineLevel="0" collapsed="false">
      <c r="A5" s="11" t="s">
        <v>27</v>
      </c>
      <c r="B5" s="12" t="n">
        <v>1800</v>
      </c>
      <c r="C5" s="13" t="n">
        <v>0.1999</v>
      </c>
      <c r="D5" s="12" t="n">
        <v>45</v>
      </c>
      <c r="E5" s="14" t="n">
        <f aca="false">IF(H5="","",COUNTIF($H$4:$H$11,"&gt;"&amp;H5)+1)</f>
        <v>2</v>
      </c>
      <c r="F5" s="15" t="str">
        <f aca="false">IF(AND(N(B5)&gt;0,N(D5)&lt;N(B5)*N(C5)/12),"Minimum is below the monthly interest",IF(AND(N(B5)&gt;0,N(D5)=0),"Enter a minimum",""))</f>
        <v/>
      </c>
      <c r="H5" s="10" t="n">
        <f aca="false">IF(N(B5)&gt;0,IF($B$15="Snowball",-B5*1000+(100-ROW())*0.001,N(C5)*100000000+(100-ROW())),"")</f>
        <v>19990095</v>
      </c>
    </row>
    <row r="6" customFormat="false" ht="15" hidden="false" customHeight="false" outlineLevel="0" collapsed="false">
      <c r="A6" s="11" t="s">
        <v>28</v>
      </c>
      <c r="B6" s="12" t="n">
        <v>7500</v>
      </c>
      <c r="C6" s="13" t="n">
        <v>0.079</v>
      </c>
      <c r="D6" s="12" t="n">
        <v>210</v>
      </c>
      <c r="E6" s="14" t="n">
        <f aca="false">IF(H6="","",COUNTIF($H$4:$H$11,"&gt;"&amp;H6)+1)</f>
        <v>3</v>
      </c>
      <c r="F6" s="15" t="str">
        <f aca="false">IF(AND(N(B6)&gt;0,N(D6)&lt;N(B6)*N(C6)/12),"Minimum is below the monthly interest",IF(AND(N(B6)&gt;0,N(D6)=0),"Enter a minimum",""))</f>
        <v/>
      </c>
      <c r="H6" s="10" t="n">
        <f aca="false">IF(N(B6)&gt;0,IF($B$15="Snowball",-B6*1000+(100-ROW())*0.001,N(C6)*100000000+(100-ROW())),"")</f>
        <v>7900094</v>
      </c>
    </row>
    <row r="7" customFormat="false" ht="15" hidden="false" customHeight="false" outlineLevel="0" collapsed="false">
      <c r="A7" s="11" t="s">
        <v>29</v>
      </c>
      <c r="B7" s="12" t="n">
        <v>12000</v>
      </c>
      <c r="C7" s="13" t="n">
        <v>0.055</v>
      </c>
      <c r="D7" s="12" t="n">
        <v>130</v>
      </c>
      <c r="E7" s="14" t="n">
        <f aca="false">IF(H7="","",COUNTIF($H$4:$H$11,"&gt;"&amp;H7)+1)</f>
        <v>4</v>
      </c>
      <c r="F7" s="15" t="str">
        <f aca="false">IF(AND(N(B7)&gt;0,N(D7)&lt;N(B7)*N(C7)/12),"Minimum is below the monthly interest",IF(AND(N(B7)&gt;0,N(D7)=0),"Enter a minimum",""))</f>
        <v/>
      </c>
      <c r="H7" s="10" t="n">
        <f aca="false">IF(N(B7)&gt;0,IF($B$15="Snowball",-B7*1000+(100-ROW())*0.001,N(C7)*100000000+(100-ROW())),"")</f>
        <v>5500093</v>
      </c>
    </row>
    <row r="8" customFormat="false" ht="15" hidden="false" customHeight="false" outlineLevel="0" collapsed="false">
      <c r="A8" s="11"/>
      <c r="B8" s="12"/>
      <c r="C8" s="13"/>
      <c r="D8" s="12"/>
      <c r="E8" s="14" t="str">
        <f aca="false">IF(H8="","",COUNTIF($H$4:$H$11,"&gt;"&amp;H8)+1)</f>
        <v/>
      </c>
      <c r="F8" s="15" t="str">
        <f aca="false">IF(AND(N(B8)&gt;0,N(D8)&lt;N(B8)*N(C8)/12),"Minimum is below the monthly interest",IF(AND(N(B8)&gt;0,N(D8)=0),"Enter a minimum",""))</f>
        <v/>
      </c>
      <c r="H8" s="10" t="str">
        <f aca="false">IF(N(B8)&gt;0,IF($B$15="Snowball",-B8*1000+(100-ROW())*0.001,N(C8)*100000000+(100-ROW())),"")</f>
        <v/>
      </c>
    </row>
    <row r="9" customFormat="false" ht="15" hidden="false" customHeight="false" outlineLevel="0" collapsed="false">
      <c r="A9" s="11"/>
      <c r="B9" s="12"/>
      <c r="C9" s="13"/>
      <c r="D9" s="12"/>
      <c r="E9" s="14" t="str">
        <f aca="false">IF(H9="","",COUNTIF($H$4:$H$11,"&gt;"&amp;H9)+1)</f>
        <v/>
      </c>
      <c r="F9" s="15" t="str">
        <f aca="false">IF(AND(N(B9)&gt;0,N(D9)&lt;N(B9)*N(C9)/12),"Minimum is below the monthly interest",IF(AND(N(B9)&gt;0,N(D9)=0),"Enter a minimum",""))</f>
        <v/>
      </c>
      <c r="H9" s="10" t="str">
        <f aca="false">IF(N(B9)&gt;0,IF($B$15="Snowball",-B9*1000+(100-ROW())*0.001,N(C9)*100000000+(100-ROW())),"")</f>
        <v/>
      </c>
    </row>
    <row r="10" customFormat="false" ht="15" hidden="false" customHeight="false" outlineLevel="0" collapsed="false">
      <c r="A10" s="11"/>
      <c r="B10" s="12"/>
      <c r="C10" s="13"/>
      <c r="D10" s="12"/>
      <c r="E10" s="14" t="str">
        <f aca="false">IF(H10="","",COUNTIF($H$4:$H$11,"&gt;"&amp;H10)+1)</f>
        <v/>
      </c>
      <c r="F10" s="15" t="str">
        <f aca="false">IF(AND(N(B10)&gt;0,N(D10)&lt;N(B10)*N(C10)/12),"Minimum is below the monthly interest",IF(AND(N(B10)&gt;0,N(D10)=0),"Enter a minimum",""))</f>
        <v/>
      </c>
      <c r="H10" s="10" t="str">
        <f aca="false">IF(N(B10)&gt;0,IF($B$15="Snowball",-B10*1000+(100-ROW())*0.001,N(C10)*100000000+(100-ROW())),"")</f>
        <v/>
      </c>
    </row>
    <row r="11" customFormat="false" ht="15" hidden="false" customHeight="false" outlineLevel="0" collapsed="false">
      <c r="A11" s="11"/>
      <c r="B11" s="12"/>
      <c r="C11" s="13"/>
      <c r="D11" s="12"/>
      <c r="E11" s="14" t="str">
        <f aca="false">IF(H11="","",COUNTIF($H$4:$H$11,"&gt;"&amp;H11)+1)</f>
        <v/>
      </c>
      <c r="F11" s="15" t="str">
        <f aca="false">IF(AND(N(B11)&gt;0,N(D11)&lt;N(B11)*N(C11)/12),"Minimum is below the monthly interest",IF(AND(N(B11)&gt;0,N(D11)=0),"Enter a minimum",""))</f>
        <v/>
      </c>
      <c r="H11" s="10" t="str">
        <f aca="false">IF(N(B11)&gt;0,IF($B$15="Snowball",-B11*1000+(100-ROW())*0.001,N(C11)*100000000+(100-ROW())),"")</f>
        <v/>
      </c>
    </row>
    <row r="13" customFormat="false" ht="15" hidden="false" customHeight="false" outlineLevel="0" collapsed="false">
      <c r="A13" s="5" t="s">
        <v>30</v>
      </c>
    </row>
    <row r="14" customFormat="false" ht="15" hidden="false" customHeight="false" outlineLevel="0" collapsed="false">
      <c r="A14" s="16" t="s">
        <v>31</v>
      </c>
      <c r="B14" s="17" t="n">
        <v>200</v>
      </c>
    </row>
    <row r="15" customFormat="false" ht="15" hidden="false" customHeight="false" outlineLevel="0" collapsed="false">
      <c r="A15" s="16" t="s">
        <v>32</v>
      </c>
      <c r="B15" s="6" t="s">
        <v>33</v>
      </c>
    </row>
    <row r="16" customFormat="false" ht="15" hidden="false" customHeight="false" outlineLevel="0" collapsed="false">
      <c r="A16" s="16" t="s">
        <v>34</v>
      </c>
      <c r="B16" s="18" t="n">
        <f aca="false">SUMIF(B4:B11,"&gt;0",D4:D11)+N(B14)</f>
        <v>690</v>
      </c>
    </row>
    <row r="17" customFormat="false" ht="15" hidden="false" customHeight="false" outlineLevel="0" collapsed="false">
      <c r="A17" s="16" t="s">
        <v>35</v>
      </c>
      <c r="B17" s="18" t="n">
        <f aca="false">SUM(B4:B11)</f>
        <v>25500</v>
      </c>
    </row>
  </sheetData>
  <dataValidations count="2">
    <dataValidation allowBlank="true" error="Type the yearly rate as a percentage, for example 24.99%." errorStyle="stop" errorTitle="Enter a percentage" operator="between" showDropDown="false" showErrorMessage="true" showInputMessage="false" sqref="C4:C11" type="decimal">
      <formula1>0</formula1>
      <formula2>1</formula2>
    </dataValidation>
    <dataValidation allowBlank="false" error="Choose Avalanche or Snowball." errorStyle="stop" errorTitle="Pick a method" operator="between" showDropDown="false" showErrorMessage="true" showInputMessage="false" sqref="B15" type="list">
      <formula1>"Avalanche,Snowball"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23F"/>
    <pageSetUpPr fitToPage="tru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4"/>
  </cols>
  <sheetData>
    <row r="1" customFormat="false" ht="33.75" hidden="false" customHeight="true" outlineLevel="0" collapsed="false">
      <c r="A1" s="1" t="s">
        <v>36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37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9" t="s">
        <v>38</v>
      </c>
      <c r="B3" s="9" t="s">
        <v>39</v>
      </c>
      <c r="C3" s="9"/>
      <c r="D3" s="9"/>
      <c r="E3" s="9"/>
      <c r="F3" s="9"/>
    </row>
    <row r="4" customFormat="false" ht="15" hidden="false" customHeight="false" outlineLevel="0" collapsed="false">
      <c r="A4" s="16" t="s">
        <v>32</v>
      </c>
      <c r="B4" s="19" t="str">
        <f aca="false">'1 Your debts'!B15</f>
        <v>Avalanche</v>
      </c>
    </row>
    <row r="5" customFormat="false" ht="15" hidden="false" customHeight="false" outlineLevel="0" collapsed="false">
      <c r="A5" s="5" t="s">
        <v>40</v>
      </c>
      <c r="B5" s="20" t="n">
        <f aca="false">IF('1 Your debts'!B17&lt;=0,0,IF(COUNTIF('Engine (math)'!$C$9:$C$248,"&gt;0.005")&gt;=240,"&gt;240",COUNTIF('Engine (math)'!$C$9:$C$248,"&gt;0.005")+1))</f>
        <v>43</v>
      </c>
    </row>
    <row r="6" customFormat="false" ht="15" hidden="false" customHeight="false" outlineLevel="0" collapsed="false">
      <c r="A6" s="5" t="s">
        <v>41</v>
      </c>
      <c r="B6" s="21" t="n">
        <f aca="false">SUM('Engine (math)'!$D$9:$D$248)</f>
        <v>4002.25762174487</v>
      </c>
    </row>
    <row r="7" customFormat="false" ht="15" hidden="false" customHeight="false" outlineLevel="0" collapsed="false">
      <c r="A7" s="5" t="s">
        <v>42</v>
      </c>
      <c r="B7" s="20" t="n">
        <f aca="false">IF('1 Your debts'!B17&lt;=0,0,IF(COUNTIF('Engine (math)'!$F$9:$F$248,"&gt;0.005")&gt;=240,"&gt;240",COUNTIF('Engine (math)'!$F$9:$F$248,"&gt;0.005")+1))</f>
        <v>121</v>
      </c>
    </row>
    <row r="8" customFormat="false" ht="15" hidden="false" customHeight="false" outlineLevel="0" collapsed="false">
      <c r="A8" s="5" t="s">
        <v>43</v>
      </c>
      <c r="B8" s="21" t="n">
        <f aca="false">SUM('Engine (math)'!$G$9:$G$248)</f>
        <v>10822.8346994998</v>
      </c>
    </row>
    <row r="9" customFormat="false" ht="15" hidden="false" customHeight="false" outlineLevel="0" collapsed="false">
      <c r="A9" s="5" t="s">
        <v>44</v>
      </c>
      <c r="B9" s="21" t="n">
        <f aca="false">B8-B6</f>
        <v>6820.57707775495</v>
      </c>
    </row>
    <row r="10" customFormat="false" ht="15" hidden="false" customHeight="false" outlineLevel="0" collapsed="false">
      <c r="A10" s="5" t="s">
        <v>45</v>
      </c>
      <c r="B10" s="20" t="n">
        <f aca="false">IF(AND(ISNUMBER(B7),ISNUMBER(B5)),B7-B5,"-")</f>
        <v>78</v>
      </c>
    </row>
    <row r="11" customFormat="false" ht="15" hidden="false" customHeight="false" outlineLevel="0" collapsed="false">
      <c r="A11" s="5" t="s">
        <v>46</v>
      </c>
      <c r="B11" s="22" t="n">
        <f aca="false">IF(ISNUMBER(B5),B5/12,"-")</f>
        <v>3.58333333333333</v>
      </c>
    </row>
    <row r="13" customFormat="false" ht="15" hidden="false" customHeight="true" outlineLevel="0" collapsed="false">
      <c r="A13" s="4" t="s">
        <v>47</v>
      </c>
      <c r="B13" s="4"/>
      <c r="C13" s="4"/>
      <c r="D13" s="4"/>
      <c r="E13" s="4"/>
      <c r="F13" s="4"/>
    </row>
    <row r="15" customFormat="false" ht="15" hidden="false" customHeight="false" outlineLevel="0" collapsed="false">
      <c r="A15" s="9" t="s">
        <v>48</v>
      </c>
      <c r="B15" s="9" t="s">
        <v>19</v>
      </c>
      <c r="C15" s="9" t="s">
        <v>20</v>
      </c>
      <c r="D15" s="9" t="s">
        <v>49</v>
      </c>
      <c r="E15" s="9" t="s">
        <v>50</v>
      </c>
      <c r="F15" s="9"/>
    </row>
    <row r="16" customFormat="false" ht="15" hidden="false" customHeight="false" outlineLevel="0" collapsed="false">
      <c r="A16" s="14" t="n">
        <v>1</v>
      </c>
      <c r="B16" s="15" t="str">
        <f aca="false">'Engine (math)'!J3</f>
        <v>Credit card A (example)</v>
      </c>
      <c r="C16" s="23" t="n">
        <f aca="false">'Engine (math)'!J4</f>
        <v>4200</v>
      </c>
      <c r="D16" s="24" t="n">
        <f aca="false">'Engine (math)'!J5</f>
        <v>0.2499</v>
      </c>
      <c r="E16" s="14" t="n">
        <f aca="false">IF(C16&gt;0,IF(COUNTIF('Engine (math)'!$O$9:$O$248,"&gt;0.005")&gt;=240,"&gt;240",COUNTIF('Engine (math)'!$O$9:$O$248,"&gt;0.005")+1),"")</f>
        <v>17</v>
      </c>
    </row>
    <row r="17" customFormat="false" ht="15" hidden="false" customHeight="false" outlineLevel="0" collapsed="false">
      <c r="A17" s="14" t="n">
        <v>2</v>
      </c>
      <c r="B17" s="15" t="str">
        <f aca="false">'Engine (math)'!T3</f>
        <v>Credit card B (example)</v>
      </c>
      <c r="C17" s="23" t="n">
        <f aca="false">'Engine (math)'!T4</f>
        <v>1800</v>
      </c>
      <c r="D17" s="24" t="n">
        <f aca="false">'Engine (math)'!T5</f>
        <v>0.1999</v>
      </c>
      <c r="E17" s="14" t="n">
        <f aca="false">IF(C17&gt;0,IF(COUNTIF('Engine (math)'!$Y$9:$Y$248,"&gt;0.005")&gt;=240,"&gt;240",COUNTIF('Engine (math)'!$Y$9:$Y$248,"&gt;0.005")+1),"")</f>
        <v>21</v>
      </c>
    </row>
    <row r="18" customFormat="false" ht="15" hidden="false" customHeight="false" outlineLevel="0" collapsed="false">
      <c r="A18" s="14" t="n">
        <v>3</v>
      </c>
      <c r="B18" s="15" t="str">
        <f aca="false">'Engine (math)'!AD3</f>
        <v>Car loan (example)</v>
      </c>
      <c r="C18" s="23" t="n">
        <f aca="false">'Engine (math)'!AD4</f>
        <v>7500</v>
      </c>
      <c r="D18" s="24" t="n">
        <f aca="false">'Engine (math)'!AD5</f>
        <v>0.079</v>
      </c>
      <c r="E18" s="14" t="n">
        <f aca="false">IF(C18&gt;0,IF(COUNTIF('Engine (math)'!$AI$9:$AI$248,"&gt;0.005")&gt;=240,"&gt;240",COUNTIF('Engine (math)'!$AI$9:$AI$248,"&gt;0.005")+1),"")</f>
        <v>29</v>
      </c>
    </row>
    <row r="19" customFormat="false" ht="15" hidden="false" customHeight="false" outlineLevel="0" collapsed="false">
      <c r="A19" s="14" t="n">
        <v>4</v>
      </c>
      <c r="B19" s="15" t="str">
        <f aca="false">'Engine (math)'!AN3</f>
        <v>Student loan (example)</v>
      </c>
      <c r="C19" s="23" t="n">
        <f aca="false">'Engine (math)'!AN4</f>
        <v>12000</v>
      </c>
      <c r="D19" s="24" t="n">
        <f aca="false">'Engine (math)'!AN5</f>
        <v>0.055</v>
      </c>
      <c r="E19" s="14" t="n">
        <f aca="false">IF(C19&gt;0,IF(COUNTIF('Engine (math)'!$AS$9:$AS$248,"&gt;0.005")&gt;=240,"&gt;240",COUNTIF('Engine (math)'!$AS$9:$AS$248,"&gt;0.005")+1),"")</f>
        <v>43</v>
      </c>
    </row>
    <row r="20" customFormat="false" ht="15" hidden="false" customHeight="false" outlineLevel="0" collapsed="false">
      <c r="A20" s="14" t="n">
        <v>5</v>
      </c>
      <c r="B20" s="15" t="str">
        <f aca="false">'Engine (math)'!AX3</f>
        <v/>
      </c>
      <c r="C20" s="23" t="n">
        <f aca="false">'Engine (math)'!AX4</f>
        <v>0</v>
      </c>
      <c r="D20" s="24" t="n">
        <f aca="false">'Engine (math)'!AX5</f>
        <v>0</v>
      </c>
      <c r="E20" s="14" t="str">
        <f aca="false">IF(C20&gt;0,IF(COUNTIF('Engine (math)'!$BC$9:$BC$248,"&gt;0.005")&gt;=240,"&gt;240",COUNTIF('Engine (math)'!$BC$9:$BC$248,"&gt;0.005")+1),"")</f>
        <v/>
      </c>
    </row>
    <row r="21" customFormat="false" ht="15" hidden="false" customHeight="false" outlineLevel="0" collapsed="false">
      <c r="A21" s="14" t="n">
        <v>6</v>
      </c>
      <c r="B21" s="15" t="str">
        <f aca="false">'Engine (math)'!BH3</f>
        <v/>
      </c>
      <c r="C21" s="23" t="n">
        <f aca="false">'Engine (math)'!BH4</f>
        <v>0</v>
      </c>
      <c r="D21" s="24" t="n">
        <f aca="false">'Engine (math)'!BH5</f>
        <v>0</v>
      </c>
      <c r="E21" s="14" t="str">
        <f aca="false">IF(C21&gt;0,IF(COUNTIF('Engine (math)'!$BM$9:$BM$248,"&gt;0.005")&gt;=240,"&gt;240",COUNTIF('Engine (math)'!$BM$9:$BM$248,"&gt;0.005")+1),"")</f>
        <v/>
      </c>
    </row>
    <row r="22" customFormat="false" ht="15" hidden="false" customHeight="false" outlineLevel="0" collapsed="false">
      <c r="A22" s="14" t="n">
        <v>7</v>
      </c>
      <c r="B22" s="15" t="str">
        <f aca="false">'Engine (math)'!BR3</f>
        <v/>
      </c>
      <c r="C22" s="23" t="n">
        <f aca="false">'Engine (math)'!BR4</f>
        <v>0</v>
      </c>
      <c r="D22" s="24" t="n">
        <f aca="false">'Engine (math)'!BR5</f>
        <v>0</v>
      </c>
      <c r="E22" s="14" t="str">
        <f aca="false">IF(C22&gt;0,IF(COUNTIF('Engine (math)'!$BW$9:$BW$248,"&gt;0.005")&gt;=240,"&gt;240",COUNTIF('Engine (math)'!$BW$9:$BW$248,"&gt;0.005")+1),"")</f>
        <v/>
      </c>
    </row>
    <row r="23" customFormat="false" ht="15" hidden="false" customHeight="false" outlineLevel="0" collapsed="false">
      <c r="A23" s="14" t="n">
        <v>8</v>
      </c>
      <c r="B23" s="15" t="str">
        <f aca="false">'Engine (math)'!CB3</f>
        <v/>
      </c>
      <c r="C23" s="23" t="n">
        <f aca="false">'Engine (math)'!CB4</f>
        <v>0</v>
      </c>
      <c r="D23" s="24" t="n">
        <f aca="false">'Engine (math)'!CB5</f>
        <v>0</v>
      </c>
      <c r="E23" s="14" t="str">
        <f aca="false">IF(C23&gt;0,IF(COUNTIF('Engine (math)'!$CG$9:$CG$248,"&gt;0.005")&gt;=240,"&gt;240",COUNTIF('Engine (math)'!$CG$9:$CG$248,"&gt;0.005")+1),"")</f>
        <v/>
      </c>
    </row>
  </sheetData>
  <mergeCells count="1">
    <mergeCell ref="A13:F13"/>
  </mergeCells>
  <conditionalFormatting sqref="A16:E23">
    <cfRule type="expression" priority="2" aboveAverage="0" equalAverage="0" bottom="0" percent="0" rank="0" text="" dxfId="0">
      <formula>$C16&gt;0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0E10"/>
    <pageSetUpPr fitToPage="true"/>
  </sheetPr>
  <dimension ref="A1:E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4"/>
  </cols>
  <sheetData>
    <row r="1" customFormat="false" ht="33.75" hidden="false" customHeight="true" outlineLevel="0" collapsed="false">
      <c r="A1" s="1" t="s">
        <v>51</v>
      </c>
      <c r="B1" s="2"/>
      <c r="C1" s="2"/>
      <c r="D1" s="2"/>
      <c r="E1" s="2"/>
    </row>
    <row r="2" customFormat="false" ht="15" hidden="false" customHeight="false" outlineLevel="0" collapsed="false">
      <c r="A2" s="3" t="s">
        <v>52</v>
      </c>
      <c r="B2" s="2"/>
      <c r="C2" s="2"/>
      <c r="D2" s="2"/>
      <c r="E2" s="2"/>
    </row>
    <row r="4" customFormat="false" ht="15" hidden="false" customHeight="false" outlineLevel="0" collapsed="false">
      <c r="A4" s="16" t="s">
        <v>53</v>
      </c>
      <c r="B4" s="17" t="n">
        <v>5000</v>
      </c>
    </row>
    <row r="5" customFormat="false" ht="15" hidden="false" customHeight="false" outlineLevel="0" collapsed="false">
      <c r="A5" s="16" t="s">
        <v>54</v>
      </c>
      <c r="B5" s="17" t="n">
        <v>300</v>
      </c>
    </row>
    <row r="6" customFormat="false" ht="15" hidden="false" customHeight="false" outlineLevel="0" collapsed="false">
      <c r="A6" s="16" t="s">
        <v>55</v>
      </c>
      <c r="B6" s="25" t="n">
        <v>0.07</v>
      </c>
    </row>
    <row r="7" customFormat="false" ht="15" hidden="false" customHeight="false" outlineLevel="0" collapsed="false">
      <c r="A7" s="16" t="s">
        <v>56</v>
      </c>
      <c r="B7" s="26" t="n">
        <v>30</v>
      </c>
    </row>
    <row r="9" customFormat="false" ht="15" hidden="false" customHeight="false" outlineLevel="0" collapsed="false">
      <c r="A9" s="5" t="s">
        <v>57</v>
      </c>
      <c r="B9" s="21" t="n">
        <f aca="false">FV(B6/12,B7*12,-B5,-B4)</f>
        <v>406573.786109582</v>
      </c>
    </row>
    <row r="10" customFormat="false" ht="15" hidden="false" customHeight="false" outlineLevel="0" collapsed="false">
      <c r="A10" s="5" t="s">
        <v>58</v>
      </c>
      <c r="B10" s="21" t="n">
        <f aca="false">B4+B5*B7*12</f>
        <v>113000</v>
      </c>
    </row>
    <row r="11" customFormat="false" ht="15" hidden="false" customHeight="false" outlineLevel="0" collapsed="false">
      <c r="A11" s="5" t="s">
        <v>59</v>
      </c>
      <c r="B11" s="21" t="n">
        <f aca="false">B9-B10</f>
        <v>293573.786109582</v>
      </c>
    </row>
    <row r="12" customFormat="false" ht="15" hidden="false" customHeight="false" outlineLevel="0" collapsed="false">
      <c r="A12" s="5" t="s">
        <v>60</v>
      </c>
      <c r="B12" s="22" t="n">
        <f aca="false">IF(B6&gt;0,72/(B6*100),"-")</f>
        <v>10.2857142857143</v>
      </c>
    </row>
    <row r="14" customFormat="false" ht="15" hidden="false" customHeight="false" outlineLevel="0" collapsed="false">
      <c r="A14" s="9" t="s">
        <v>61</v>
      </c>
      <c r="B14" s="9" t="s">
        <v>39</v>
      </c>
      <c r="C14" s="9" t="s">
        <v>62</v>
      </c>
      <c r="D14" s="9" t="s">
        <v>63</v>
      </c>
      <c r="E14" s="9"/>
    </row>
    <row r="15" customFormat="false" ht="15" hidden="false" customHeight="false" outlineLevel="0" collapsed="false">
      <c r="A15" s="14" t="n">
        <v>0</v>
      </c>
      <c r="B15" s="23" t="n">
        <f aca="false">FV($B$6/12,A15*12,-$B$5,-$B$4)</f>
        <v>5000</v>
      </c>
      <c r="C15" s="23" t="n">
        <f aca="false">$B$4+$B$5*A15*12</f>
        <v>5000</v>
      </c>
      <c r="D15" s="23" t="n">
        <f aca="false">B15-C15</f>
        <v>0</v>
      </c>
    </row>
    <row r="16" customFormat="false" ht="15" hidden="false" customHeight="false" outlineLevel="0" collapsed="false">
      <c r="A16" s="14" t="n">
        <v>1</v>
      </c>
      <c r="B16" s="23" t="n">
        <f aca="false">FV($B$6/12,A16*12,-$B$5,-$B$4)</f>
        <v>9079.22599117331</v>
      </c>
      <c r="C16" s="23" t="n">
        <f aca="false">$B$4+$B$5*A16*12</f>
        <v>8600</v>
      </c>
      <c r="D16" s="23" t="n">
        <f aca="false">B16-C16</f>
        <v>479.225991173311</v>
      </c>
    </row>
    <row r="17" customFormat="false" ht="15" hidden="false" customHeight="false" outlineLevel="0" collapsed="false">
      <c r="A17" s="14" t="n">
        <v>2</v>
      </c>
      <c r="B17" s="23" t="n">
        <f aca="false">FV($B$6/12,A17*12,-$B$5,-$B$4)</f>
        <v>13453.3395590794</v>
      </c>
      <c r="C17" s="23" t="n">
        <f aca="false">$B$4+$B$5*A17*12</f>
        <v>12200</v>
      </c>
      <c r="D17" s="23" t="n">
        <f aca="false">B17-C17</f>
        <v>1253.3395590794</v>
      </c>
    </row>
    <row r="18" customFormat="false" ht="15" hidden="false" customHeight="false" outlineLevel="0" collapsed="false">
      <c r="A18" s="14" t="n">
        <v>3</v>
      </c>
      <c r="B18" s="23" t="n">
        <f aca="false">FV($B$6/12,A18*12,-$B$5,-$B$4)</f>
        <v>18143.6581504838</v>
      </c>
      <c r="C18" s="23" t="n">
        <f aca="false">$B$4+$B$5*A18*12</f>
        <v>15800</v>
      </c>
      <c r="D18" s="23" t="n">
        <f aca="false">B18-C18</f>
        <v>2343.6581504838</v>
      </c>
    </row>
    <row r="19" customFormat="false" ht="15" hidden="false" customHeight="false" outlineLevel="0" collapsed="false">
      <c r="A19" s="14" t="n">
        <v>4</v>
      </c>
      <c r="B19" s="23" t="n">
        <f aca="false">FV($B$6/12,A19*12,-$B$5,-$B$4)</f>
        <v>23173.0402521023</v>
      </c>
      <c r="C19" s="23" t="n">
        <f aca="false">$B$4+$B$5*A19*12</f>
        <v>19400</v>
      </c>
      <c r="D19" s="23" t="n">
        <f aca="false">B19-C19</f>
        <v>3773.04025210231</v>
      </c>
    </row>
    <row r="20" customFormat="false" ht="15" hidden="false" customHeight="false" outlineLevel="0" collapsed="false">
      <c r="A20" s="14" t="n">
        <v>5</v>
      </c>
      <c r="B20" s="23" t="n">
        <f aca="false">FV($B$6/12,A20*12,-$B$5,-$B$4)</f>
        <v>28565.9967925037</v>
      </c>
      <c r="C20" s="23" t="n">
        <f aca="false">$B$4+$B$5*A20*12</f>
        <v>23000</v>
      </c>
      <c r="D20" s="23" t="n">
        <f aca="false">B20-C20</f>
        <v>5565.99679250373</v>
      </c>
    </row>
    <row r="21" customFormat="false" ht="15" hidden="false" customHeight="false" outlineLevel="0" collapsed="false">
      <c r="A21" s="14" t="n">
        <v>6</v>
      </c>
      <c r="B21" s="23" t="n">
        <f aca="false">FV($B$6/12,A21*12,-$B$5,-$B$4)</f>
        <v>34348.8105972649</v>
      </c>
      <c r="C21" s="23" t="n">
        <f aca="false">$B$4+$B$5*A21*12</f>
        <v>26600</v>
      </c>
      <c r="D21" s="23" t="n">
        <f aca="false">B21-C21</f>
        <v>7748.81059726494</v>
      </c>
    </row>
    <row r="22" customFormat="false" ht="15" hidden="false" customHeight="false" outlineLevel="0" collapsed="false">
      <c r="A22" s="14" t="n">
        <v>7</v>
      </c>
      <c r="B22" s="23" t="n">
        <f aca="false">FV($B$6/12,A22*12,-$B$5,-$B$4)</f>
        <v>40549.6644795489</v>
      </c>
      <c r="C22" s="23" t="n">
        <f aca="false">$B$4+$B$5*A22*12</f>
        <v>30200</v>
      </c>
      <c r="D22" s="23" t="n">
        <f aca="false">B22-C22</f>
        <v>10349.6644795489</v>
      </c>
    </row>
    <row r="23" customFormat="false" ht="15" hidden="false" customHeight="false" outlineLevel="0" collapsed="false">
      <c r="A23" s="14" t="n">
        <v>8</v>
      </c>
      <c r="B23" s="23" t="n">
        <f aca="false">FV($B$6/12,A23*12,-$B$5,-$B$4)</f>
        <v>47198.7785903609</v>
      </c>
      <c r="C23" s="23" t="n">
        <f aca="false">$B$4+$B$5*A23*12</f>
        <v>33800</v>
      </c>
      <c r="D23" s="23" t="n">
        <f aca="false">B23-C23</f>
        <v>13398.7785903609</v>
      </c>
    </row>
    <row r="24" customFormat="false" ht="15" hidden="false" customHeight="false" outlineLevel="0" collapsed="false">
      <c r="A24" s="14" t="n">
        <v>9</v>
      </c>
      <c r="B24" s="23" t="n">
        <f aca="false">FV($B$6/12,A24*12,-$B$5,-$B$4)</f>
        <v>54328.5576978658</v>
      </c>
      <c r="C24" s="23" t="n">
        <f aca="false">$B$4+$B$5*A24*12</f>
        <v>37400</v>
      </c>
      <c r="D24" s="23" t="n">
        <f aca="false">B24-C24</f>
        <v>16928.5576978658</v>
      </c>
    </row>
    <row r="25" customFormat="false" ht="15" hidden="false" customHeight="false" outlineLevel="0" collapsed="false">
      <c r="A25" s="14" t="n">
        <v>10</v>
      </c>
      <c r="B25" s="23" t="n">
        <f aca="false">FV($B$6/12,A25*12,-$B$5,-$B$4)</f>
        <v>61973.7491135393</v>
      </c>
      <c r="C25" s="23" t="n">
        <f aca="false">$B$4+$B$5*A25*12</f>
        <v>41000</v>
      </c>
      <c r="D25" s="23" t="n">
        <f aca="false">B25-C25</f>
        <v>20973.7491135393</v>
      </c>
    </row>
    <row r="26" customFormat="false" ht="15" hidden="false" customHeight="false" outlineLevel="0" collapsed="false">
      <c r="A26" s="14" t="n">
        <v>11</v>
      </c>
      <c r="B26" s="23" t="n">
        <f aca="false">FV($B$6/12,A26*12,-$B$5,-$B$4)</f>
        <v>70171.6120348133</v>
      </c>
      <c r="C26" s="23" t="n">
        <f aca="false">$B$4+$B$5*A26*12</f>
        <v>44600</v>
      </c>
      <c r="D26" s="23" t="n">
        <f aca="false">B26-C26</f>
        <v>25571.6120348133</v>
      </c>
    </row>
    <row r="27" customFormat="false" ht="15" hidden="false" customHeight="false" outlineLevel="0" collapsed="false">
      <c r="A27" s="14" t="n">
        <v>12</v>
      </c>
      <c r="B27" s="23" t="n">
        <f aca="false">FV($B$6/12,A27*12,-$B$5,-$B$4)</f>
        <v>78962.0991295145</v>
      </c>
      <c r="C27" s="23" t="n">
        <f aca="false">$B$4+$B$5*A27*12</f>
        <v>48200</v>
      </c>
      <c r="D27" s="23" t="n">
        <f aca="false">B27-C27</f>
        <v>30762.0991295145</v>
      </c>
    </row>
    <row r="28" customFormat="false" ht="15" hidden="false" customHeight="false" outlineLevel="0" collapsed="false">
      <c r="A28" s="14" t="n">
        <v>13</v>
      </c>
      <c r="B28" s="23" t="n">
        <f aca="false">FV($B$6/12,A28*12,-$B$5,-$B$4)</f>
        <v>88388.0512470573</v>
      </c>
      <c r="C28" s="23" t="n">
        <f aca="false">$B$4+$B$5*A28*12</f>
        <v>51800</v>
      </c>
      <c r="D28" s="23" t="n">
        <f aca="false">B28-C28</f>
        <v>36588.0512470573</v>
      </c>
    </row>
    <row r="29" customFormat="false" ht="15" hidden="false" customHeight="false" outlineLevel="0" collapsed="false">
      <c r="A29" s="14" t="n">
        <v>14</v>
      </c>
      <c r="B29" s="23" t="n">
        <f aca="false">FV($B$6/12,A29*12,-$B$5,-$B$4)</f>
        <v>98495.4062053244</v>
      </c>
      <c r="C29" s="23" t="n">
        <f aca="false">$B$4+$B$5*A29*12</f>
        <v>55400</v>
      </c>
      <c r="D29" s="23" t="n">
        <f aca="false">B29-C29</f>
        <v>43095.4062053244</v>
      </c>
    </row>
    <row r="30" customFormat="false" ht="15" hidden="false" customHeight="false" outlineLevel="0" collapsed="false">
      <c r="A30" s="14" t="n">
        <v>15</v>
      </c>
      <c r="B30" s="23" t="n">
        <f aca="false">FV($B$6/12,A30*12,-$B$5,-$B$4)</f>
        <v>109333.422670767</v>
      </c>
      <c r="C30" s="23" t="n">
        <f aca="false">$B$4+$B$5*A30*12</f>
        <v>59000</v>
      </c>
      <c r="D30" s="23" t="n">
        <f aca="false">B30-C30</f>
        <v>50333.4226707672</v>
      </c>
    </row>
    <row r="31" customFormat="false" ht="15" hidden="false" customHeight="false" outlineLevel="0" collapsed="false">
      <c r="A31" s="14" t="n">
        <v>16</v>
      </c>
      <c r="B31" s="23" t="n">
        <f aca="false">FV($B$6/12,A31*12,-$B$5,-$B$4)</f>
        <v>120954.920222818</v>
      </c>
      <c r="C31" s="23" t="n">
        <f aca="false">$B$4+$B$5*A31*12</f>
        <v>62600</v>
      </c>
      <c r="D31" s="23" t="n">
        <f aca="false">B31-C31</f>
        <v>58354.9202228181</v>
      </c>
    </row>
    <row r="32" customFormat="false" ht="15" hidden="false" customHeight="false" outlineLevel="0" collapsed="false">
      <c r="A32" s="14" t="n">
        <v>17</v>
      </c>
      <c r="B32" s="23" t="n">
        <f aca="false">FV($B$6/12,A32*12,-$B$5,-$B$4)</f>
        <v>133416.536772577</v>
      </c>
      <c r="C32" s="23" t="n">
        <f aca="false">$B$4+$B$5*A32*12</f>
        <v>66200</v>
      </c>
      <c r="D32" s="23" t="n">
        <f aca="false">B32-C32</f>
        <v>67216.5367725774</v>
      </c>
    </row>
    <row r="33" customFormat="false" ht="15" hidden="false" customHeight="false" outlineLevel="0" collapsed="false">
      <c r="A33" s="14" t="n">
        <v>18</v>
      </c>
      <c r="B33" s="23" t="n">
        <f aca="false">FV($B$6/12,A33*12,-$B$5,-$B$4)</f>
        <v>146779.004590318</v>
      </c>
      <c r="C33" s="23" t="n">
        <f aca="false">$B$4+$B$5*A33*12</f>
        <v>69800</v>
      </c>
      <c r="D33" s="23" t="n">
        <f aca="false">B33-C33</f>
        <v>76979.0045903181</v>
      </c>
    </row>
    <row r="34" customFormat="false" ht="15" hidden="false" customHeight="false" outlineLevel="0" collapsed="false">
      <c r="A34" s="14" t="n">
        <v>19</v>
      </c>
      <c r="B34" s="23" t="n">
        <f aca="false">FV($B$6/12,A34*12,-$B$5,-$B$4)</f>
        <v>161107.446287042</v>
      </c>
      <c r="C34" s="23" t="n">
        <f aca="false">$B$4+$B$5*A34*12</f>
        <v>73400</v>
      </c>
      <c r="D34" s="23" t="n">
        <f aca="false">B34-C34</f>
        <v>87707.4462870421</v>
      </c>
    </row>
    <row r="35" customFormat="false" ht="15" hidden="false" customHeight="false" outlineLevel="0" collapsed="false">
      <c r="A35" s="14" t="n">
        <v>20</v>
      </c>
      <c r="B35" s="23" t="n">
        <f aca="false">FV($B$6/12,A35*12,-$B$5,-$B$4)</f>
        <v>176471.692192566</v>
      </c>
      <c r="C35" s="23" t="n">
        <f aca="false">$B$4+$B$5*A35*12</f>
        <v>77000</v>
      </c>
      <c r="D35" s="23" t="n">
        <f aca="false">B35-C35</f>
        <v>99471.6921925662</v>
      </c>
    </row>
    <row r="36" customFormat="false" ht="15" hidden="false" customHeight="false" outlineLevel="0" collapsed="false">
      <c r="A36" s="14" t="n">
        <v>21</v>
      </c>
      <c r="B36" s="23" t="n">
        <f aca="false">FV($B$6/12,A36*12,-$B$5,-$B$4)</f>
        <v>192946.620676896</v>
      </c>
      <c r="C36" s="23" t="n">
        <f aca="false">$B$4+$B$5*A36*12</f>
        <v>80600</v>
      </c>
      <c r="D36" s="23" t="n">
        <f aca="false">B36-C36</f>
        <v>112346.620676896</v>
      </c>
    </row>
    <row r="37" customFormat="false" ht="15" hidden="false" customHeight="false" outlineLevel="0" collapsed="false">
      <c r="A37" s="14" t="n">
        <v>22</v>
      </c>
      <c r="B37" s="23" t="n">
        <f aca="false">FV($B$6/12,A37*12,-$B$5,-$B$4)</f>
        <v>210612.523073458</v>
      </c>
      <c r="C37" s="23" t="n">
        <f aca="false">$B$4+$B$5*A37*12</f>
        <v>84200</v>
      </c>
      <c r="D37" s="23" t="n">
        <f aca="false">B37-C37</f>
        <v>126412.523073458</v>
      </c>
    </row>
    <row r="38" customFormat="false" ht="15" hidden="false" customHeight="false" outlineLevel="0" collapsed="false">
      <c r="A38" s="14" t="n">
        <v>23</v>
      </c>
      <c r="B38" s="23" t="n">
        <f aca="false">FV($B$6/12,A38*12,-$B$5,-$B$4)</f>
        <v>229555.494982667</v>
      </c>
      <c r="C38" s="23" t="n">
        <f aca="false">$B$4+$B$5*A38*12</f>
        <v>87800</v>
      </c>
      <c r="D38" s="23" t="n">
        <f aca="false">B38-C38</f>
        <v>141755.494982667</v>
      </c>
    </row>
    <row r="39" customFormat="false" ht="15" hidden="false" customHeight="false" outlineLevel="0" collapsed="false">
      <c r="A39" s="14" t="n">
        <v>24</v>
      </c>
      <c r="B39" s="23" t="n">
        <f aca="false">FV($B$6/12,A39*12,-$B$5,-$B$4)</f>
        <v>249867.855862849</v>
      </c>
      <c r="C39" s="23" t="n">
        <f aca="false">$B$4+$B$5*A39*12</f>
        <v>91400</v>
      </c>
      <c r="D39" s="23" t="n">
        <f aca="false">B39-C39</f>
        <v>158467.855862849</v>
      </c>
    </row>
    <row r="40" customFormat="false" ht="15" hidden="false" customHeight="false" outlineLevel="0" collapsed="false">
      <c r="A40" s="14" t="n">
        <v>25</v>
      </c>
      <c r="B40" s="23" t="n">
        <f aca="false">FV($B$6/12,A40*12,-$B$5,-$B$4)</f>
        <v>271648.598953441</v>
      </c>
      <c r="C40" s="23" t="n">
        <f aca="false">$B$4+$B$5*A40*12</f>
        <v>95000</v>
      </c>
      <c r="D40" s="23" t="n">
        <f aca="false">B40-C40</f>
        <v>176648.598953441</v>
      </c>
    </row>
    <row r="41" customFormat="false" ht="15" hidden="false" customHeight="false" outlineLevel="0" collapsed="false">
      <c r="A41" s="14" t="n">
        <v>26</v>
      </c>
      <c r="B41" s="23" t="n">
        <f aca="false">FV($B$6/12,A41*12,-$B$5,-$B$4)</f>
        <v>295003.87372316</v>
      </c>
      <c r="C41" s="23" t="n">
        <f aca="false">$B$4+$B$5*A41*12</f>
        <v>98600</v>
      </c>
      <c r="D41" s="23" t="n">
        <f aca="false">B41-C41</f>
        <v>196403.87372316</v>
      </c>
    </row>
    <row r="42" customFormat="false" ht="15" hidden="false" customHeight="false" outlineLevel="0" collapsed="false">
      <c r="A42" s="14" t="n">
        <v>27</v>
      </c>
      <c r="B42" s="23" t="n">
        <f aca="false">FV($B$6/12,A42*12,-$B$5,-$B$4)</f>
        <v>320047.503194402</v>
      </c>
      <c r="C42" s="23" t="n">
        <f aca="false">$B$4+$B$5*A42*12</f>
        <v>102200</v>
      </c>
      <c r="D42" s="23" t="n">
        <f aca="false">B42-C42</f>
        <v>217847.503194402</v>
      </c>
    </row>
    <row r="43" customFormat="false" ht="15" hidden="false" customHeight="false" outlineLevel="0" collapsed="false">
      <c r="A43" s="14" t="n">
        <v>28</v>
      </c>
      <c r="B43" s="23" t="n">
        <f aca="false">FV($B$6/12,A43*12,-$B$5,-$B$4)</f>
        <v>346901.538665054</v>
      </c>
      <c r="C43" s="23" t="n">
        <f aca="false">$B$4+$B$5*A43*12</f>
        <v>105800</v>
      </c>
      <c r="D43" s="23" t="n">
        <f aca="false">B43-C43</f>
        <v>241101.538665054</v>
      </c>
    </row>
    <row r="44" customFormat="false" ht="15" hidden="false" customHeight="false" outlineLevel="0" collapsed="false">
      <c r="A44" s="14" t="n">
        <v>29</v>
      </c>
      <c r="B44" s="23" t="n">
        <f aca="false">FV($B$6/12,A44*12,-$B$5,-$B$4)</f>
        <v>375696.854531196</v>
      </c>
      <c r="C44" s="23" t="n">
        <f aca="false">$B$4+$B$5*A44*12</f>
        <v>109400</v>
      </c>
      <c r="D44" s="23" t="n">
        <f aca="false">B44-C44</f>
        <v>266296.854531196</v>
      </c>
    </row>
    <row r="45" customFormat="false" ht="15" hidden="false" customHeight="false" outlineLevel="0" collapsed="false">
      <c r="A45" s="14" t="n">
        <v>30</v>
      </c>
      <c r="B45" s="23" t="n">
        <f aca="false">FV($B$6/12,A45*12,-$B$5,-$B$4)</f>
        <v>406573.786109582</v>
      </c>
      <c r="C45" s="23" t="n">
        <f aca="false">$B$4+$B$5*A45*12</f>
        <v>113000</v>
      </c>
      <c r="D45" s="23" t="n">
        <f aca="false">B45-C45</f>
        <v>293573.786109582</v>
      </c>
    </row>
    <row r="46" customFormat="false" ht="15" hidden="false" customHeight="false" outlineLevel="0" collapsed="false">
      <c r="A46" s="14" t="n">
        <v>31</v>
      </c>
      <c r="B46" s="23" t="n">
        <f aca="false">FV($B$6/12,A46*12,-$B$5,-$B$4)</f>
        <v>439682.813568362</v>
      </c>
      <c r="C46" s="23" t="n">
        <f aca="false">$B$4+$B$5*A46*12</f>
        <v>116600</v>
      </c>
      <c r="D46" s="23" t="n">
        <f aca="false">B46-C46</f>
        <v>323082.813568362</v>
      </c>
    </row>
    <row r="47" customFormat="false" ht="15" hidden="false" customHeight="false" outlineLevel="0" collapsed="false">
      <c r="A47" s="14" t="n">
        <v>32</v>
      </c>
      <c r="B47" s="23" t="n">
        <f aca="false">FV($B$6/12,A47*12,-$B$5,-$B$4)</f>
        <v>475185.295299208</v>
      </c>
      <c r="C47" s="23" t="n">
        <f aca="false">$B$4+$B$5*A47*12</f>
        <v>120200</v>
      </c>
      <c r="D47" s="23" t="n">
        <f aca="false">B47-C47</f>
        <v>354985.295299208</v>
      </c>
    </row>
    <row r="48" customFormat="false" ht="15" hidden="false" customHeight="false" outlineLevel="0" collapsed="false">
      <c r="A48" s="14" t="n">
        <v>33</v>
      </c>
      <c r="B48" s="23" t="n">
        <f aca="false">FV($B$6/12,A48*12,-$B$5,-$B$4)</f>
        <v>513254.254304974</v>
      </c>
      <c r="C48" s="23" t="n">
        <f aca="false">$B$4+$B$5*A48*12</f>
        <v>123800</v>
      </c>
      <c r="D48" s="23" t="n">
        <f aca="false">B48-C48</f>
        <v>389454.254304974</v>
      </c>
    </row>
    <row r="49" customFormat="false" ht="15" hidden="false" customHeight="false" outlineLevel="0" collapsed="false">
      <c r="A49" s="14" t="n">
        <v>34</v>
      </c>
      <c r="B49" s="23" t="n">
        <f aca="false">FV($B$6/12,A49*12,-$B$5,-$B$4)</f>
        <v>554075.22143538</v>
      </c>
      <c r="C49" s="23" t="n">
        <f aca="false">$B$4+$B$5*A49*12</f>
        <v>127400</v>
      </c>
      <c r="D49" s="23" t="n">
        <f aca="false">B49-C49</f>
        <v>426675.22143538</v>
      </c>
    </row>
    <row r="50" customFormat="false" ht="15" hidden="false" customHeight="false" outlineLevel="0" collapsed="false">
      <c r="A50" s="14" t="n">
        <v>35</v>
      </c>
      <c r="B50" s="23" t="n">
        <f aca="false">FV($B$6/12,A50*12,-$B$5,-$B$4)</f>
        <v>597847.139580273</v>
      </c>
      <c r="C50" s="23" t="n">
        <f aca="false">$B$4+$B$5*A50*12</f>
        <v>131000</v>
      </c>
      <c r="D50" s="23" t="n">
        <f aca="false">B50-C50</f>
        <v>466847.139580273</v>
      </c>
    </row>
    <row r="51" customFormat="false" ht="15" hidden="false" customHeight="false" outlineLevel="0" collapsed="false">
      <c r="A51" s="14" t="n">
        <v>36</v>
      </c>
      <c r="B51" s="23" t="n">
        <f aca="false">FV($B$6/12,A51*12,-$B$5,-$B$4)</f>
        <v>644783.333227092</v>
      </c>
      <c r="C51" s="23" t="n">
        <f aca="false">$B$4+$B$5*A51*12</f>
        <v>134600</v>
      </c>
      <c r="D51" s="23" t="n">
        <f aca="false">B51-C51</f>
        <v>510183.333227092</v>
      </c>
    </row>
    <row r="52" customFormat="false" ht="15" hidden="false" customHeight="false" outlineLevel="0" collapsed="false">
      <c r="A52" s="14" t="n">
        <v>37</v>
      </c>
      <c r="B52" s="23" t="n">
        <f aca="false">FV($B$6/12,A52*12,-$B$5,-$B$4)</f>
        <v>695112.548107724</v>
      </c>
      <c r="C52" s="23" t="n">
        <f aca="false">$B$4+$B$5*A52*12</f>
        <v>138200</v>
      </c>
      <c r="D52" s="23" t="n">
        <f aca="false">B52-C52</f>
        <v>556912.548107724</v>
      </c>
    </row>
    <row r="53" customFormat="false" ht="15" hidden="false" customHeight="false" outlineLevel="0" collapsed="false">
      <c r="A53" s="14" t="n">
        <v>38</v>
      </c>
      <c r="B53" s="23" t="n">
        <f aca="false">FV($B$6/12,A53*12,-$B$5,-$B$4)</f>
        <v>749080.066001508</v>
      </c>
      <c r="C53" s="23" t="n">
        <f aca="false">$B$4+$B$5*A53*12</f>
        <v>141800</v>
      </c>
      <c r="D53" s="23" t="n">
        <f aca="false">B53-C53</f>
        <v>607280.066001508</v>
      </c>
    </row>
    <row r="54" customFormat="false" ht="15" hidden="false" customHeight="false" outlineLevel="0" collapsed="false">
      <c r="A54" s="14" t="n">
        <v>39</v>
      </c>
      <c r="B54" s="23" t="n">
        <f aca="false">FV($B$6/12,A54*12,-$B$5,-$B$4)</f>
        <v>806948.900127443</v>
      </c>
      <c r="C54" s="23" t="n">
        <f aca="false">$B$4+$B$5*A54*12</f>
        <v>145400</v>
      </c>
      <c r="D54" s="23" t="n">
        <f aca="false">B54-C54</f>
        <v>661548.900127443</v>
      </c>
    </row>
    <row r="55" customFormat="false" ht="15" hidden="false" customHeight="false" outlineLevel="0" collapsed="false">
      <c r="A55" s="14" t="n">
        <v>40</v>
      </c>
      <c r="B55" s="23" t="n">
        <f aca="false">FV($B$6/12,A55*12,-$B$5,-$B$4)</f>
        <v>869001.076951399</v>
      </c>
      <c r="C55" s="23" t="n">
        <f aca="false">$B$4+$B$5*A55*12</f>
        <v>149000</v>
      </c>
      <c r="D55" s="23" t="n">
        <f aca="false">B55-C55</f>
        <v>720001.076951399</v>
      </c>
    </row>
  </sheetData>
  <conditionalFormatting sqref="A15:D55">
    <cfRule type="expression" priority="2" aboveAverage="0" equalAverage="0" bottom="0" percent="0" rank="0" text="" dxfId="0">
      <formula>$A15=$B$7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0E10"/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40"/>
    <col collapsed="false" customWidth="true" hidden="false" outlineLevel="0" max="4" min="3" style="0" width="4"/>
  </cols>
  <sheetData>
    <row r="1" customFormat="false" ht="33.75" hidden="false" customHeight="true" outlineLevel="0" collapsed="false">
      <c r="A1" s="1" t="s">
        <v>64</v>
      </c>
      <c r="B1" s="2"/>
      <c r="C1" s="2"/>
      <c r="D1" s="2"/>
    </row>
    <row r="2" customFormat="false" ht="15" hidden="false" customHeight="false" outlineLevel="0" collapsed="false">
      <c r="A2" s="3" t="s">
        <v>65</v>
      </c>
      <c r="B2" s="2"/>
      <c r="C2" s="2"/>
      <c r="D2" s="2"/>
    </row>
    <row r="4" customFormat="false" ht="15" hidden="false" customHeight="false" outlineLevel="0" collapsed="false">
      <c r="A4" s="16" t="s">
        <v>66</v>
      </c>
      <c r="B4" s="13" t="n">
        <v>0.2499</v>
      </c>
    </row>
    <row r="5" customFormat="false" ht="15" hidden="false" customHeight="false" outlineLevel="0" collapsed="false">
      <c r="A5" s="16" t="s">
        <v>67</v>
      </c>
      <c r="B5" s="17" t="n">
        <v>200</v>
      </c>
    </row>
    <row r="6" customFormat="false" ht="15" hidden="false" customHeight="false" outlineLevel="0" collapsed="false">
      <c r="A6" s="16" t="s">
        <v>68</v>
      </c>
      <c r="B6" s="25" t="n">
        <v>0.07</v>
      </c>
    </row>
    <row r="7" customFormat="false" ht="15" hidden="false" customHeight="false" outlineLevel="0" collapsed="false">
      <c r="A7" s="16" t="s">
        <v>56</v>
      </c>
      <c r="B7" s="26" t="n">
        <v>5</v>
      </c>
    </row>
    <row r="9" customFormat="false" ht="15" hidden="false" customHeight="false" outlineLevel="0" collapsed="false">
      <c r="A9" s="5" t="s">
        <v>69</v>
      </c>
      <c r="B9" s="21" t="n">
        <f aca="false">FV(B4/12,B7*12,-B5)</f>
        <v>23472.9082678187</v>
      </c>
    </row>
    <row r="10" customFormat="false" ht="15" hidden="false" customHeight="false" outlineLevel="0" collapsed="false">
      <c r="A10" s="5" t="s">
        <v>70</v>
      </c>
      <c r="B10" s="21" t="n">
        <f aca="false">FV(B6/12,B7*12,-B5)</f>
        <v>14318.5803296225</v>
      </c>
    </row>
    <row r="11" customFormat="false" ht="48" hidden="false" customHeight="true" outlineLevel="0" collapsed="false">
      <c r="A11" s="5" t="s">
        <v>71</v>
      </c>
      <c r="B11" s="27" t="str">
        <f aca="false">IF(B4&gt;B6,"Pay the debt first: its rate beats your assumed return","Investing may win on paper, but returns are not guaranteed: keep a $1,000 buffer, then compare risk")</f>
        <v>Pay the debt first: its rate beats your assumed return</v>
      </c>
    </row>
    <row r="13" customFormat="false" ht="60" hidden="false" customHeight="true" outlineLevel="0" collapsed="false">
      <c r="A13" s="4" t="s">
        <v>72</v>
      </c>
      <c r="B13" s="4"/>
      <c r="C13" s="4"/>
      <c r="D13" s="4"/>
    </row>
  </sheetData>
  <mergeCells count="1"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0E10"/>
    <pageSetUpPr fitToPage="true"/>
  </sheetPr>
  <dimension ref="A1:CK2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89" min="1" style="0" width="11"/>
  </cols>
  <sheetData>
    <row r="1" customFormat="false" ht="15" hidden="false" customHeight="false" outlineLevel="0" collapsed="false">
      <c r="A1" s="28" t="s">
        <v>73</v>
      </c>
    </row>
    <row r="3" customFormat="false" ht="15" hidden="false" customHeight="false" outlineLevel="0" collapsed="false">
      <c r="J3" s="0" t="str">
        <f aca="false">IFERROR(INDEX('1 Your debts'!$A$4:$A$11,MATCH(1,'1 Your debts'!$E$4:$E$11,0)),"")</f>
        <v>Credit card A (example)</v>
      </c>
      <c r="T3" s="0" t="str">
        <f aca="false">IFERROR(INDEX('1 Your debts'!$A$4:$A$11,MATCH(2,'1 Your debts'!$E$4:$E$11,0)),"")</f>
        <v>Credit card B (example)</v>
      </c>
      <c r="AD3" s="0" t="str">
        <f aca="false">IFERROR(INDEX('1 Your debts'!$A$4:$A$11,MATCH(3,'1 Your debts'!$E$4:$E$11,0)),"")</f>
        <v>Car loan (example)</v>
      </c>
      <c r="AN3" s="0" t="str">
        <f aca="false">IFERROR(INDEX('1 Your debts'!$A$4:$A$11,MATCH(4,'1 Your debts'!$E$4:$E$11,0)),"")</f>
        <v>Student loan (example)</v>
      </c>
      <c r="AX3" s="0" t="str">
        <f aca="false">IFERROR(INDEX('1 Your debts'!$A$4:$A$11,MATCH(5,'1 Your debts'!$E$4:$E$11,0)),"")</f>
        <v/>
      </c>
      <c r="BH3" s="0" t="str">
        <f aca="false">IFERROR(INDEX('1 Your debts'!$A$4:$A$11,MATCH(6,'1 Your debts'!$E$4:$E$11,0)),"")</f>
        <v/>
      </c>
      <c r="BR3" s="0" t="str">
        <f aca="false">IFERROR(INDEX('1 Your debts'!$A$4:$A$11,MATCH(7,'1 Your debts'!$E$4:$E$11,0)),"")</f>
        <v/>
      </c>
      <c r="CB3" s="0" t="str">
        <f aca="false">IFERROR(INDEX('1 Your debts'!$A$4:$A$11,MATCH(8,'1 Your debts'!$E$4:$E$11,0)),"")</f>
        <v/>
      </c>
    </row>
    <row r="4" customFormat="false" ht="15" hidden="false" customHeight="false" outlineLevel="0" collapsed="false">
      <c r="J4" s="29" t="n">
        <f aca="false">IFERROR(INDEX('1 Your debts'!$B$4:$B$11,MATCH(1,'1 Your debts'!$E$4:$E$11,0)),0)</f>
        <v>4200</v>
      </c>
      <c r="T4" s="29" t="n">
        <f aca="false">IFERROR(INDEX('1 Your debts'!$B$4:$B$11,MATCH(2,'1 Your debts'!$E$4:$E$11,0)),0)</f>
        <v>1800</v>
      </c>
      <c r="AD4" s="29" t="n">
        <f aca="false">IFERROR(INDEX('1 Your debts'!$B$4:$B$11,MATCH(3,'1 Your debts'!$E$4:$E$11,0)),0)</f>
        <v>7500</v>
      </c>
      <c r="AN4" s="29" t="n">
        <f aca="false">IFERROR(INDEX('1 Your debts'!$B$4:$B$11,MATCH(4,'1 Your debts'!$E$4:$E$11,0)),0)</f>
        <v>12000</v>
      </c>
      <c r="AX4" s="30" t="n">
        <f aca="false">IFERROR(INDEX('1 Your debts'!$B$4:$B$11,MATCH(5,'1 Your debts'!$E$4:$E$11,0)),0)</f>
        <v>0</v>
      </c>
      <c r="BH4" s="30" t="n">
        <f aca="false">IFERROR(INDEX('1 Your debts'!$B$4:$B$11,MATCH(6,'1 Your debts'!$E$4:$E$11,0)),0)</f>
        <v>0</v>
      </c>
      <c r="BR4" s="30" t="n">
        <f aca="false">IFERROR(INDEX('1 Your debts'!$B$4:$B$11,MATCH(7,'1 Your debts'!$E$4:$E$11,0)),0)</f>
        <v>0</v>
      </c>
      <c r="CB4" s="30" t="n">
        <f aca="false">IFERROR(INDEX('1 Your debts'!$B$4:$B$11,MATCH(8,'1 Your debts'!$E$4:$E$11,0)),0)</f>
        <v>0</v>
      </c>
    </row>
    <row r="5" customFormat="false" ht="15" hidden="false" customHeight="false" outlineLevel="0" collapsed="false">
      <c r="J5" s="31" t="n">
        <f aca="false">IFERROR(INDEX('1 Your debts'!$C$4:$C$11,MATCH(1,'1 Your debts'!$E$4:$E$11,0)),0)</f>
        <v>0.2499</v>
      </c>
      <c r="T5" s="31" t="n">
        <f aca="false">IFERROR(INDEX('1 Your debts'!$C$4:$C$11,MATCH(2,'1 Your debts'!$E$4:$E$11,0)),0)</f>
        <v>0.1999</v>
      </c>
      <c r="AD5" s="31" t="n">
        <f aca="false">IFERROR(INDEX('1 Your debts'!$C$4:$C$11,MATCH(3,'1 Your debts'!$E$4:$E$11,0)),0)</f>
        <v>0.079</v>
      </c>
      <c r="AN5" s="31" t="n">
        <f aca="false">IFERROR(INDEX('1 Your debts'!$C$4:$C$11,MATCH(4,'1 Your debts'!$E$4:$E$11,0)),0)</f>
        <v>0.055</v>
      </c>
      <c r="AX5" s="30" t="n">
        <f aca="false">IFERROR(INDEX('1 Your debts'!$C$4:$C$11,MATCH(5,'1 Your debts'!$E$4:$E$11,0)),0)</f>
        <v>0</v>
      </c>
      <c r="BH5" s="30" t="n">
        <f aca="false">IFERROR(INDEX('1 Your debts'!$C$4:$C$11,MATCH(6,'1 Your debts'!$E$4:$E$11,0)),0)</f>
        <v>0</v>
      </c>
      <c r="BR5" s="30" t="n">
        <f aca="false">IFERROR(INDEX('1 Your debts'!$C$4:$C$11,MATCH(7,'1 Your debts'!$E$4:$E$11,0)),0)</f>
        <v>0</v>
      </c>
      <c r="CB5" s="30" t="n">
        <f aca="false">IFERROR(INDEX('1 Your debts'!$C$4:$C$11,MATCH(8,'1 Your debts'!$E$4:$E$11,0)),0)</f>
        <v>0</v>
      </c>
    </row>
    <row r="6" customFormat="false" ht="15" hidden="false" customHeight="false" outlineLevel="0" collapsed="false">
      <c r="J6" s="29" t="n">
        <f aca="false">IFERROR(INDEX('1 Your debts'!$D$4:$D$11,MATCH(1,'1 Your debts'!$E$4:$E$11,0)),0)</f>
        <v>105</v>
      </c>
      <c r="T6" s="29" t="n">
        <f aca="false">IFERROR(INDEX('1 Your debts'!$D$4:$D$11,MATCH(2,'1 Your debts'!$E$4:$E$11,0)),0)</f>
        <v>45</v>
      </c>
      <c r="AD6" s="29" t="n">
        <f aca="false">IFERROR(INDEX('1 Your debts'!$D$4:$D$11,MATCH(3,'1 Your debts'!$E$4:$E$11,0)),0)</f>
        <v>210</v>
      </c>
      <c r="AN6" s="29" t="n">
        <f aca="false">IFERROR(INDEX('1 Your debts'!$D$4:$D$11,MATCH(4,'1 Your debts'!$E$4:$E$11,0)),0)</f>
        <v>130</v>
      </c>
      <c r="AX6" s="30" t="n">
        <f aca="false">IFERROR(INDEX('1 Your debts'!$D$4:$D$11,MATCH(5,'1 Your debts'!$E$4:$E$11,0)),0)</f>
        <v>0</v>
      </c>
      <c r="BH6" s="30" t="n">
        <f aca="false">IFERROR(INDEX('1 Your debts'!$D$4:$D$11,MATCH(6,'1 Your debts'!$E$4:$E$11,0)),0)</f>
        <v>0</v>
      </c>
      <c r="BR6" s="30" t="n">
        <f aca="false">IFERROR(INDEX('1 Your debts'!$D$4:$D$11,MATCH(7,'1 Your debts'!$E$4:$E$11,0)),0)</f>
        <v>0</v>
      </c>
      <c r="CB6" s="30" t="n">
        <f aca="false">IFERROR(INDEX('1 Your debts'!$D$4:$D$11,MATCH(8,'1 Your debts'!$E$4:$E$11,0)),0)</f>
        <v>0</v>
      </c>
    </row>
    <row r="7" customFormat="false" ht="15" hidden="false" customHeight="false" outlineLevel="0" collapsed="false">
      <c r="J7" s="32" t="s">
        <v>74</v>
      </c>
      <c r="T7" s="32" t="s">
        <v>75</v>
      </c>
      <c r="AD7" s="32" t="s">
        <v>76</v>
      </c>
      <c r="AN7" s="32" t="s">
        <v>77</v>
      </c>
      <c r="AX7" s="32" t="s">
        <v>78</v>
      </c>
      <c r="BH7" s="32" t="s">
        <v>79</v>
      </c>
      <c r="BR7" s="32" t="s">
        <v>80</v>
      </c>
      <c r="CB7" s="32" t="s">
        <v>81</v>
      </c>
    </row>
    <row r="8" customFormat="false" ht="15" hidden="false" customHeight="false" outlineLevel="0" collapsed="false">
      <c r="A8" s="33" t="s">
        <v>82</v>
      </c>
      <c r="B8" s="33" t="s">
        <v>83</v>
      </c>
      <c r="C8" s="33" t="s">
        <v>84</v>
      </c>
      <c r="D8" s="33" t="s">
        <v>85</v>
      </c>
      <c r="E8" s="33"/>
      <c r="F8" s="33" t="s">
        <v>86</v>
      </c>
      <c r="G8" s="33" t="s">
        <v>87</v>
      </c>
      <c r="H8" s="33"/>
      <c r="I8" s="33"/>
      <c r="J8" s="33" t="s">
        <v>88</v>
      </c>
      <c r="K8" s="33" t="s">
        <v>89</v>
      </c>
      <c r="L8" s="33" t="s">
        <v>90</v>
      </c>
      <c r="M8" s="33" t="s">
        <v>91</v>
      </c>
      <c r="N8" s="33" t="s">
        <v>92</v>
      </c>
      <c r="O8" s="33" t="s">
        <v>93</v>
      </c>
      <c r="P8" s="33" t="s">
        <v>94</v>
      </c>
      <c r="Q8" s="33" t="s">
        <v>95</v>
      </c>
      <c r="R8" s="33" t="s">
        <v>96</v>
      </c>
      <c r="S8" s="33" t="s">
        <v>97</v>
      </c>
      <c r="T8" s="33" t="s">
        <v>88</v>
      </c>
      <c r="U8" s="33" t="s">
        <v>89</v>
      </c>
      <c r="V8" s="33" t="s">
        <v>90</v>
      </c>
      <c r="W8" s="33" t="s">
        <v>91</v>
      </c>
      <c r="X8" s="33" t="s">
        <v>92</v>
      </c>
      <c r="Y8" s="33" t="s">
        <v>93</v>
      </c>
      <c r="Z8" s="33" t="s">
        <v>94</v>
      </c>
      <c r="AA8" s="33" t="s">
        <v>95</v>
      </c>
      <c r="AB8" s="33" t="s">
        <v>96</v>
      </c>
      <c r="AC8" s="33" t="s">
        <v>97</v>
      </c>
      <c r="AD8" s="33" t="s">
        <v>88</v>
      </c>
      <c r="AE8" s="33" t="s">
        <v>89</v>
      </c>
      <c r="AF8" s="33" t="s">
        <v>90</v>
      </c>
      <c r="AG8" s="33" t="s">
        <v>91</v>
      </c>
      <c r="AH8" s="33" t="s">
        <v>92</v>
      </c>
      <c r="AI8" s="33" t="s">
        <v>93</v>
      </c>
      <c r="AJ8" s="33" t="s">
        <v>94</v>
      </c>
      <c r="AK8" s="33" t="s">
        <v>95</v>
      </c>
      <c r="AL8" s="33" t="s">
        <v>96</v>
      </c>
      <c r="AM8" s="33" t="s">
        <v>97</v>
      </c>
      <c r="AN8" s="33" t="s">
        <v>88</v>
      </c>
      <c r="AO8" s="33" t="s">
        <v>89</v>
      </c>
      <c r="AP8" s="33" t="s">
        <v>90</v>
      </c>
      <c r="AQ8" s="33" t="s">
        <v>91</v>
      </c>
      <c r="AR8" s="33" t="s">
        <v>92</v>
      </c>
      <c r="AS8" s="33" t="s">
        <v>93</v>
      </c>
      <c r="AT8" s="33" t="s">
        <v>94</v>
      </c>
      <c r="AU8" s="33" t="s">
        <v>95</v>
      </c>
      <c r="AV8" s="33" t="s">
        <v>96</v>
      </c>
      <c r="AW8" s="33" t="s">
        <v>97</v>
      </c>
      <c r="AX8" s="33" t="s">
        <v>88</v>
      </c>
      <c r="AY8" s="33" t="s">
        <v>89</v>
      </c>
      <c r="AZ8" s="33" t="s">
        <v>90</v>
      </c>
      <c r="BA8" s="33" t="s">
        <v>91</v>
      </c>
      <c r="BB8" s="33" t="s">
        <v>92</v>
      </c>
      <c r="BC8" s="33" t="s">
        <v>93</v>
      </c>
      <c r="BD8" s="33" t="s">
        <v>94</v>
      </c>
      <c r="BE8" s="33" t="s">
        <v>95</v>
      </c>
      <c r="BF8" s="33" t="s">
        <v>96</v>
      </c>
      <c r="BG8" s="33" t="s">
        <v>97</v>
      </c>
      <c r="BH8" s="33" t="s">
        <v>88</v>
      </c>
      <c r="BI8" s="33" t="s">
        <v>89</v>
      </c>
      <c r="BJ8" s="33" t="s">
        <v>90</v>
      </c>
      <c r="BK8" s="33" t="s">
        <v>91</v>
      </c>
      <c r="BL8" s="33" t="s">
        <v>92</v>
      </c>
      <c r="BM8" s="33" t="s">
        <v>93</v>
      </c>
      <c r="BN8" s="33" t="s">
        <v>94</v>
      </c>
      <c r="BO8" s="33" t="s">
        <v>95</v>
      </c>
      <c r="BP8" s="33" t="s">
        <v>96</v>
      </c>
      <c r="BQ8" s="33" t="s">
        <v>97</v>
      </c>
      <c r="BR8" s="33" t="s">
        <v>88</v>
      </c>
      <c r="BS8" s="33" t="s">
        <v>89</v>
      </c>
      <c r="BT8" s="33" t="s">
        <v>90</v>
      </c>
      <c r="BU8" s="33" t="s">
        <v>91</v>
      </c>
      <c r="BV8" s="33" t="s">
        <v>92</v>
      </c>
      <c r="BW8" s="33" t="s">
        <v>93</v>
      </c>
      <c r="BX8" s="33" t="s">
        <v>94</v>
      </c>
      <c r="BY8" s="33" t="s">
        <v>95</v>
      </c>
      <c r="BZ8" s="33" t="s">
        <v>96</v>
      </c>
      <c r="CA8" s="33" t="s">
        <v>97</v>
      </c>
      <c r="CB8" s="33" t="s">
        <v>88</v>
      </c>
      <c r="CC8" s="33" t="s">
        <v>89</v>
      </c>
      <c r="CD8" s="33" t="s">
        <v>90</v>
      </c>
      <c r="CE8" s="33" t="s">
        <v>91</v>
      </c>
      <c r="CF8" s="33" t="s">
        <v>92</v>
      </c>
      <c r="CG8" s="33" t="s">
        <v>93</v>
      </c>
      <c r="CH8" s="33" t="s">
        <v>94</v>
      </c>
      <c r="CI8" s="33" t="s">
        <v>95</v>
      </c>
      <c r="CJ8" s="33" t="s">
        <v>96</v>
      </c>
      <c r="CK8" s="33" t="s">
        <v>97</v>
      </c>
    </row>
    <row r="9" customFormat="false" ht="15" hidden="false" customHeight="false" outlineLevel="0" collapsed="false">
      <c r="A9" s="0" t="n">
        <v>1</v>
      </c>
      <c r="B9" s="29" t="n">
        <f aca="false">'1 Your debts'!$B$16-(L9+V9+AF9+AP9+AZ9+BJ9+BT9+CD9)</f>
        <v>200</v>
      </c>
      <c r="C9" s="34" t="n">
        <f aca="false">O9+Y9+AI9+AS9+BC9+BM9+BW9+CG9</f>
        <v>25031.825</v>
      </c>
      <c r="D9" s="34" t="n">
        <f aca="false">K9+U9+AE9+AO9+AY9+BI9+BS9+CC9</f>
        <v>221.825</v>
      </c>
      <c r="F9" s="34" t="n">
        <f aca="false">S9+AC9+AM9+AW9+BG9+BQ9+CA9+CK9</f>
        <v>25231.825</v>
      </c>
      <c r="G9" s="34" t="n">
        <f aca="false">Q9+AA9+AK9+AU9+BE9+BO9+BY9+CI9</f>
        <v>221.825</v>
      </c>
      <c r="J9" s="29" t="n">
        <f aca="false">$J$4</f>
        <v>4200</v>
      </c>
      <c r="K9" s="34" t="n">
        <f aca="false">J9*$J$5/12</f>
        <v>87.465</v>
      </c>
      <c r="L9" s="29" t="n">
        <f aca="false">MIN($J$6,J9+K9)</f>
        <v>105</v>
      </c>
      <c r="M9" s="30" t="n">
        <f aca="false">MAX(0,MIN($B9,J9+K9-L9))</f>
        <v>200</v>
      </c>
      <c r="N9" s="29" t="n">
        <f aca="false">$B9-M9</f>
        <v>0</v>
      </c>
      <c r="O9" s="34" t="n">
        <f aca="false">J9+K9-L9-M9</f>
        <v>3982.465</v>
      </c>
      <c r="P9" s="29" t="n">
        <f aca="false">$J$4</f>
        <v>4200</v>
      </c>
      <c r="Q9" s="34" t="n">
        <f aca="false">P9*$J$5/12</f>
        <v>87.465</v>
      </c>
      <c r="R9" s="29" t="n">
        <f aca="false">MIN($J$6,P9+Q9)</f>
        <v>105</v>
      </c>
      <c r="S9" s="34" t="n">
        <f aca="false">P9+Q9-R9</f>
        <v>4182.465</v>
      </c>
      <c r="T9" s="29" t="n">
        <f aca="false">$T$4</f>
        <v>1800</v>
      </c>
      <c r="U9" s="34" t="n">
        <f aca="false">T9*$T$5/12</f>
        <v>29.985</v>
      </c>
      <c r="V9" s="29" t="n">
        <f aca="false">MIN($T$6,T9+U9)</f>
        <v>45</v>
      </c>
      <c r="W9" s="30" t="n">
        <f aca="false">MAX(0,MIN(N9,T9+U9-V9))</f>
        <v>0</v>
      </c>
      <c r="X9" s="29" t="n">
        <f aca="false">N9-W9</f>
        <v>0</v>
      </c>
      <c r="Y9" s="34" t="n">
        <f aca="false">T9+U9-V9-W9</f>
        <v>1784.985</v>
      </c>
      <c r="Z9" s="29" t="n">
        <f aca="false">$T$4</f>
        <v>1800</v>
      </c>
      <c r="AA9" s="34" t="n">
        <f aca="false">Z9*$T$5/12</f>
        <v>29.985</v>
      </c>
      <c r="AB9" s="29" t="n">
        <f aca="false">MIN($T$6,Z9+AA9)</f>
        <v>45</v>
      </c>
      <c r="AC9" s="34" t="n">
        <f aca="false">Z9+AA9-AB9</f>
        <v>1784.985</v>
      </c>
      <c r="AD9" s="29" t="n">
        <f aca="false">$AD$4</f>
        <v>7500</v>
      </c>
      <c r="AE9" s="34" t="n">
        <f aca="false">AD9*$AD$5/12</f>
        <v>49.375</v>
      </c>
      <c r="AF9" s="29" t="n">
        <f aca="false">MIN($AD$6,AD9+AE9)</f>
        <v>210</v>
      </c>
      <c r="AG9" s="30" t="n">
        <f aca="false">MAX(0,MIN(X9,AD9+AE9-AF9))</f>
        <v>0</v>
      </c>
      <c r="AH9" s="29" t="n">
        <f aca="false">X9-AG9</f>
        <v>0</v>
      </c>
      <c r="AI9" s="34" t="n">
        <f aca="false">AD9+AE9-AF9-AG9</f>
        <v>7339.375</v>
      </c>
      <c r="AJ9" s="29" t="n">
        <f aca="false">$AD$4</f>
        <v>7500</v>
      </c>
      <c r="AK9" s="34" t="n">
        <f aca="false">AJ9*$AD$5/12</f>
        <v>49.375</v>
      </c>
      <c r="AL9" s="29" t="n">
        <f aca="false">MIN($AD$6,AJ9+AK9)</f>
        <v>210</v>
      </c>
      <c r="AM9" s="34" t="n">
        <f aca="false">AJ9+AK9-AL9</f>
        <v>7339.375</v>
      </c>
      <c r="AN9" s="29" t="n">
        <f aca="false">$AN$4</f>
        <v>12000</v>
      </c>
      <c r="AO9" s="34" t="n">
        <f aca="false">AN9*$AN$5/12</f>
        <v>55</v>
      </c>
      <c r="AP9" s="29" t="n">
        <f aca="false">MIN($AN$6,AN9+AO9)</f>
        <v>130</v>
      </c>
      <c r="AQ9" s="30" t="n">
        <f aca="false">MAX(0,MIN(AH9,AN9+AO9-AP9))</f>
        <v>0</v>
      </c>
      <c r="AR9" s="29" t="n">
        <f aca="false">AH9-AQ9</f>
        <v>0</v>
      </c>
      <c r="AS9" s="34" t="n">
        <f aca="false">AN9+AO9-AP9-AQ9</f>
        <v>11925</v>
      </c>
      <c r="AT9" s="29" t="n">
        <f aca="false">$AN$4</f>
        <v>12000</v>
      </c>
      <c r="AU9" s="34" t="n">
        <f aca="false">AT9*$AN$5/12</f>
        <v>55</v>
      </c>
      <c r="AV9" s="29" t="n">
        <f aca="false">MIN($AN$6,AT9+AU9)</f>
        <v>130</v>
      </c>
      <c r="AW9" s="34" t="n">
        <f aca="false">AT9+AU9-AV9</f>
        <v>11925</v>
      </c>
      <c r="AX9" s="30" t="n">
        <f aca="false">$AX$4</f>
        <v>0</v>
      </c>
      <c r="AY9" s="30" t="n">
        <f aca="false">AX9*$AX$5/12</f>
        <v>0</v>
      </c>
      <c r="AZ9" s="30" t="n">
        <f aca="false">MIN($AX$6,AX9+AY9)</f>
        <v>0</v>
      </c>
      <c r="BA9" s="30" t="n">
        <f aca="false">MAX(0,MIN(AR9,AX9+AY9-AZ9))</f>
        <v>0</v>
      </c>
      <c r="BB9" s="29" t="n">
        <f aca="false">AR9-BA9</f>
        <v>0</v>
      </c>
      <c r="BC9" s="30" t="n">
        <f aca="false">AX9+AY9-AZ9-BA9</f>
        <v>0</v>
      </c>
      <c r="BD9" s="30" t="n">
        <f aca="false">$AX$4</f>
        <v>0</v>
      </c>
      <c r="BE9" s="30" t="n">
        <f aca="false">BD9*$AX$5/12</f>
        <v>0</v>
      </c>
      <c r="BF9" s="30" t="n">
        <f aca="false">MIN($AX$6,BD9+BE9)</f>
        <v>0</v>
      </c>
      <c r="BG9" s="30" t="n">
        <f aca="false">BD9+BE9-BF9</f>
        <v>0</v>
      </c>
      <c r="BH9" s="30" t="n">
        <f aca="false">$BH$4</f>
        <v>0</v>
      </c>
      <c r="BI9" s="30" t="n">
        <f aca="false">BH9*$BH$5/12</f>
        <v>0</v>
      </c>
      <c r="BJ9" s="30" t="n">
        <f aca="false">MIN($BH$6,BH9+BI9)</f>
        <v>0</v>
      </c>
      <c r="BK9" s="30" t="n">
        <f aca="false">MAX(0,MIN(BB9,BH9+BI9-BJ9))</f>
        <v>0</v>
      </c>
      <c r="BL9" s="29" t="n">
        <f aca="false">BB9-BK9</f>
        <v>0</v>
      </c>
      <c r="BM9" s="30" t="n">
        <f aca="false">BH9+BI9-BJ9-BK9</f>
        <v>0</v>
      </c>
      <c r="BN9" s="30" t="n">
        <f aca="false">$BH$4</f>
        <v>0</v>
      </c>
      <c r="BO9" s="30" t="n">
        <f aca="false">BN9*$BH$5/12</f>
        <v>0</v>
      </c>
      <c r="BP9" s="30" t="n">
        <f aca="false">MIN($BH$6,BN9+BO9)</f>
        <v>0</v>
      </c>
      <c r="BQ9" s="30" t="n">
        <f aca="false">BN9+BO9-BP9</f>
        <v>0</v>
      </c>
      <c r="BR9" s="30" t="n">
        <f aca="false">$BR$4</f>
        <v>0</v>
      </c>
      <c r="BS9" s="30" t="n">
        <f aca="false">BR9*$BR$5/12</f>
        <v>0</v>
      </c>
      <c r="BT9" s="30" t="n">
        <f aca="false">MIN($BR$6,BR9+BS9)</f>
        <v>0</v>
      </c>
      <c r="BU9" s="30" t="n">
        <f aca="false">MAX(0,MIN(BL9,BR9+BS9-BT9))</f>
        <v>0</v>
      </c>
      <c r="BV9" s="29" t="n">
        <f aca="false">BL9-BU9</f>
        <v>0</v>
      </c>
      <c r="BW9" s="30" t="n">
        <f aca="false">BR9+BS9-BT9-BU9</f>
        <v>0</v>
      </c>
      <c r="BX9" s="30" t="n">
        <f aca="false">$BR$4</f>
        <v>0</v>
      </c>
      <c r="BY9" s="30" t="n">
        <f aca="false">BX9*$BR$5/12</f>
        <v>0</v>
      </c>
      <c r="BZ9" s="30" t="n">
        <f aca="false">MIN($BR$6,BX9+BY9)</f>
        <v>0</v>
      </c>
      <c r="CA9" s="30" t="n">
        <f aca="false">BX9+BY9-BZ9</f>
        <v>0</v>
      </c>
      <c r="CB9" s="30" t="n">
        <f aca="false">$CB$4</f>
        <v>0</v>
      </c>
      <c r="CC9" s="30" t="n">
        <f aca="false">CB9*$CB$5/12</f>
        <v>0</v>
      </c>
      <c r="CD9" s="30" t="n">
        <f aca="false">MIN($CB$6,CB9+CC9)</f>
        <v>0</v>
      </c>
      <c r="CE9" s="30" t="n">
        <f aca="false">MAX(0,MIN(BV9,CB9+CC9-CD9))</f>
        <v>0</v>
      </c>
      <c r="CF9" s="29" t="n">
        <f aca="false">BV9-CE9</f>
        <v>0</v>
      </c>
      <c r="CG9" s="30" t="n">
        <f aca="false">CB9+CC9-CD9-CE9</f>
        <v>0</v>
      </c>
      <c r="CH9" s="30" t="n">
        <f aca="false">$CB$4</f>
        <v>0</v>
      </c>
      <c r="CI9" s="30" t="n">
        <f aca="false">CH9*$CB$5/12</f>
        <v>0</v>
      </c>
      <c r="CJ9" s="30" t="n">
        <f aca="false">MIN($CB$6,CH9+CI9)</f>
        <v>0</v>
      </c>
      <c r="CK9" s="30" t="n">
        <f aca="false">CH9+CI9-CJ9</f>
        <v>0</v>
      </c>
    </row>
    <row r="10" customFormat="false" ht="15" hidden="false" customHeight="false" outlineLevel="0" collapsed="false">
      <c r="A10" s="0" t="n">
        <v>2</v>
      </c>
      <c r="B10" s="29" t="n">
        <f aca="false">'1 Your debts'!$B$16-(L10+V10+AF10+AP10+AZ10+BJ10+BT10+CD10)</f>
        <v>200</v>
      </c>
      <c r="C10" s="34" t="n">
        <f aca="false">O10+Y10+AI10+AS10+BC10+BM10+BW10+CG10</f>
        <v>24557.4685108333</v>
      </c>
      <c r="D10" s="34" t="n">
        <f aca="false">K10+U10+AE10+AO10+AY10+BI10+BS10+CC10</f>
        <v>215.643510833333</v>
      </c>
      <c r="F10" s="34" t="n">
        <f aca="false">S10+AC10+AM10+AW10+BG10+BQ10+CA10+CK10</f>
        <v>24961.6335108333</v>
      </c>
      <c r="G10" s="34" t="n">
        <f aca="false">Q10+AA10+AK10+AU10+BE10+BO10+BY10+CI10</f>
        <v>219.808510833333</v>
      </c>
      <c r="J10" s="34" t="n">
        <f aca="false">O9</f>
        <v>3982.465</v>
      </c>
      <c r="K10" s="34" t="n">
        <f aca="false">J10*$J$5/12</f>
        <v>82.934833625</v>
      </c>
      <c r="L10" s="29" t="n">
        <f aca="false">MIN($J$6,J10+K10)</f>
        <v>105</v>
      </c>
      <c r="M10" s="30" t="n">
        <f aca="false">MAX(0,MIN($B10,J10+K10-L10))</f>
        <v>200</v>
      </c>
      <c r="N10" s="29" t="n">
        <f aca="false">$B10-M10</f>
        <v>0</v>
      </c>
      <c r="O10" s="34" t="n">
        <f aca="false">J10+K10-L10-M10</f>
        <v>3760.399833625</v>
      </c>
      <c r="P10" s="34" t="n">
        <f aca="false">S9</f>
        <v>4182.465</v>
      </c>
      <c r="Q10" s="34" t="n">
        <f aca="false">P10*$J$5/12</f>
        <v>87.099833625</v>
      </c>
      <c r="R10" s="29" t="n">
        <f aca="false">MIN($J$6,P10+Q10)</f>
        <v>105</v>
      </c>
      <c r="S10" s="34" t="n">
        <f aca="false">P10+Q10-R10</f>
        <v>4164.564833625</v>
      </c>
      <c r="T10" s="34" t="n">
        <f aca="false">Y9</f>
        <v>1784.985</v>
      </c>
      <c r="U10" s="34" t="n">
        <f aca="false">T10*$T$5/12</f>
        <v>29.734875125</v>
      </c>
      <c r="V10" s="29" t="n">
        <f aca="false">MIN($T$6,T10+U10)</f>
        <v>45</v>
      </c>
      <c r="W10" s="30" t="n">
        <f aca="false">MAX(0,MIN(N10,T10+U10-V10))</f>
        <v>0</v>
      </c>
      <c r="X10" s="29" t="n">
        <f aca="false">N10-W10</f>
        <v>0</v>
      </c>
      <c r="Y10" s="34" t="n">
        <f aca="false">T10+U10-V10-W10</f>
        <v>1769.719875125</v>
      </c>
      <c r="Z10" s="34" t="n">
        <f aca="false">AC9</f>
        <v>1784.985</v>
      </c>
      <c r="AA10" s="34" t="n">
        <f aca="false">Z10*$T$5/12</f>
        <v>29.734875125</v>
      </c>
      <c r="AB10" s="29" t="n">
        <f aca="false">MIN($T$6,Z10+AA10)</f>
        <v>45</v>
      </c>
      <c r="AC10" s="34" t="n">
        <f aca="false">Z10+AA10-AB10</f>
        <v>1769.719875125</v>
      </c>
      <c r="AD10" s="34" t="n">
        <f aca="false">AI9</f>
        <v>7339.375</v>
      </c>
      <c r="AE10" s="34" t="n">
        <f aca="false">AD10*$AD$5/12</f>
        <v>48.3175520833333</v>
      </c>
      <c r="AF10" s="29" t="n">
        <f aca="false">MIN($AD$6,AD10+AE10)</f>
        <v>210</v>
      </c>
      <c r="AG10" s="30" t="n">
        <f aca="false">MAX(0,MIN(X10,AD10+AE10-AF10))</f>
        <v>0</v>
      </c>
      <c r="AH10" s="29" t="n">
        <f aca="false">X10-AG10</f>
        <v>0</v>
      </c>
      <c r="AI10" s="34" t="n">
        <f aca="false">AD10+AE10-AF10-AG10</f>
        <v>7177.69255208333</v>
      </c>
      <c r="AJ10" s="34" t="n">
        <f aca="false">AM9</f>
        <v>7339.375</v>
      </c>
      <c r="AK10" s="34" t="n">
        <f aca="false">AJ10*$AD$5/12</f>
        <v>48.3175520833333</v>
      </c>
      <c r="AL10" s="29" t="n">
        <f aca="false">MIN($AD$6,AJ10+AK10)</f>
        <v>210</v>
      </c>
      <c r="AM10" s="34" t="n">
        <f aca="false">AJ10+AK10-AL10</f>
        <v>7177.69255208333</v>
      </c>
      <c r="AN10" s="34" t="n">
        <f aca="false">AS9</f>
        <v>11925</v>
      </c>
      <c r="AO10" s="34" t="n">
        <f aca="false">AN10*$AN$5/12</f>
        <v>54.65625</v>
      </c>
      <c r="AP10" s="29" t="n">
        <f aca="false">MIN($AN$6,AN10+AO10)</f>
        <v>130</v>
      </c>
      <c r="AQ10" s="30" t="n">
        <f aca="false">MAX(0,MIN(AH10,AN10+AO10-AP10))</f>
        <v>0</v>
      </c>
      <c r="AR10" s="29" t="n">
        <f aca="false">AH10-AQ10</f>
        <v>0</v>
      </c>
      <c r="AS10" s="34" t="n">
        <f aca="false">AN10+AO10-AP10-AQ10</f>
        <v>11849.65625</v>
      </c>
      <c r="AT10" s="34" t="n">
        <f aca="false">AW9</f>
        <v>11925</v>
      </c>
      <c r="AU10" s="34" t="n">
        <f aca="false">AT10*$AN$5/12</f>
        <v>54.65625</v>
      </c>
      <c r="AV10" s="29" t="n">
        <f aca="false">MIN($AN$6,AT10+AU10)</f>
        <v>130</v>
      </c>
      <c r="AW10" s="34" t="n">
        <f aca="false">AT10+AU10-AV10</f>
        <v>11849.65625</v>
      </c>
      <c r="AX10" s="30" t="n">
        <f aca="false">BC9</f>
        <v>0</v>
      </c>
      <c r="AY10" s="30" t="n">
        <f aca="false">AX10*$AX$5/12</f>
        <v>0</v>
      </c>
      <c r="AZ10" s="30" t="n">
        <f aca="false">MIN($AX$6,AX10+AY10)</f>
        <v>0</v>
      </c>
      <c r="BA10" s="30" t="n">
        <f aca="false">MAX(0,MIN(AR10,AX10+AY10-AZ10))</f>
        <v>0</v>
      </c>
      <c r="BB10" s="29" t="n">
        <f aca="false">AR10-BA10</f>
        <v>0</v>
      </c>
      <c r="BC10" s="30" t="n">
        <f aca="false">AX10+AY10-AZ10-BA10</f>
        <v>0</v>
      </c>
      <c r="BD10" s="30" t="n">
        <f aca="false">BG9</f>
        <v>0</v>
      </c>
      <c r="BE10" s="30" t="n">
        <f aca="false">BD10*$AX$5/12</f>
        <v>0</v>
      </c>
      <c r="BF10" s="30" t="n">
        <f aca="false">MIN($AX$6,BD10+BE10)</f>
        <v>0</v>
      </c>
      <c r="BG10" s="30" t="n">
        <f aca="false">BD10+BE10-BF10</f>
        <v>0</v>
      </c>
      <c r="BH10" s="30" t="n">
        <f aca="false">BM9</f>
        <v>0</v>
      </c>
      <c r="BI10" s="30" t="n">
        <f aca="false">BH10*$BH$5/12</f>
        <v>0</v>
      </c>
      <c r="BJ10" s="30" t="n">
        <f aca="false">MIN($BH$6,BH10+BI10)</f>
        <v>0</v>
      </c>
      <c r="BK10" s="30" t="n">
        <f aca="false">MAX(0,MIN(BB10,BH10+BI10-BJ10))</f>
        <v>0</v>
      </c>
      <c r="BL10" s="29" t="n">
        <f aca="false">BB10-BK10</f>
        <v>0</v>
      </c>
      <c r="BM10" s="30" t="n">
        <f aca="false">BH10+BI10-BJ10-BK10</f>
        <v>0</v>
      </c>
      <c r="BN10" s="30" t="n">
        <f aca="false">BQ9</f>
        <v>0</v>
      </c>
      <c r="BO10" s="30" t="n">
        <f aca="false">BN10*$BH$5/12</f>
        <v>0</v>
      </c>
      <c r="BP10" s="30" t="n">
        <f aca="false">MIN($BH$6,BN10+BO10)</f>
        <v>0</v>
      </c>
      <c r="BQ10" s="30" t="n">
        <f aca="false">BN10+BO10-BP10</f>
        <v>0</v>
      </c>
      <c r="BR10" s="30" t="n">
        <f aca="false">BW9</f>
        <v>0</v>
      </c>
      <c r="BS10" s="30" t="n">
        <f aca="false">BR10*$BR$5/12</f>
        <v>0</v>
      </c>
      <c r="BT10" s="30" t="n">
        <f aca="false">MIN($BR$6,BR10+BS10)</f>
        <v>0</v>
      </c>
      <c r="BU10" s="30" t="n">
        <f aca="false">MAX(0,MIN(BL10,BR10+BS10-BT10))</f>
        <v>0</v>
      </c>
      <c r="BV10" s="29" t="n">
        <f aca="false">BL10-BU10</f>
        <v>0</v>
      </c>
      <c r="BW10" s="30" t="n">
        <f aca="false">BR10+BS10-BT10-BU10</f>
        <v>0</v>
      </c>
      <c r="BX10" s="30" t="n">
        <f aca="false">CA9</f>
        <v>0</v>
      </c>
      <c r="BY10" s="30" t="n">
        <f aca="false">BX10*$BR$5/12</f>
        <v>0</v>
      </c>
      <c r="BZ10" s="30" t="n">
        <f aca="false">MIN($BR$6,BX10+BY10)</f>
        <v>0</v>
      </c>
      <c r="CA10" s="30" t="n">
        <f aca="false">BX10+BY10-BZ10</f>
        <v>0</v>
      </c>
      <c r="CB10" s="30" t="n">
        <f aca="false">CG9</f>
        <v>0</v>
      </c>
      <c r="CC10" s="30" t="n">
        <f aca="false">CB10*$CB$5/12</f>
        <v>0</v>
      </c>
      <c r="CD10" s="30" t="n">
        <f aca="false">MIN($CB$6,CB10+CC10)</f>
        <v>0</v>
      </c>
      <c r="CE10" s="30" t="n">
        <f aca="false">MAX(0,MIN(BV10,CB10+CC10-CD10))</f>
        <v>0</v>
      </c>
      <c r="CF10" s="29" t="n">
        <f aca="false">BV10-CE10</f>
        <v>0</v>
      </c>
      <c r="CG10" s="30" t="n">
        <f aca="false">CB10+CC10-CD10-CE10</f>
        <v>0</v>
      </c>
      <c r="CH10" s="30" t="n">
        <f aca="false">CK9</f>
        <v>0</v>
      </c>
      <c r="CI10" s="30" t="n">
        <f aca="false">CH10*$CB$5/12</f>
        <v>0</v>
      </c>
      <c r="CJ10" s="30" t="n">
        <f aca="false">MIN($CB$6,CH10+CI10)</f>
        <v>0</v>
      </c>
      <c r="CK10" s="30" t="n">
        <f aca="false">CH10+CI10-CJ10</f>
        <v>0</v>
      </c>
    </row>
    <row r="11" customFormat="false" ht="15" hidden="false" customHeight="false" outlineLevel="0" collapsed="false">
      <c r="A11" s="0" t="n">
        <v>3</v>
      </c>
      <c r="B11" s="29" t="n">
        <f aca="false">'1 Your debts'!$B$16-(L11+V11+AF11+AP11+AZ11+BJ11+BT11+CD11)</f>
        <v>200</v>
      </c>
      <c r="C11" s="34" t="n">
        <f aca="false">O11+Y11+AI11+AS11+BC11+BM11+BW11+CG11</f>
        <v>24076.8234880687</v>
      </c>
      <c r="D11" s="34" t="n">
        <f aca="false">K11+U11+AE11+AO11+AY11+BI11+BS11+CC11</f>
        <v>209.354977235413</v>
      </c>
      <c r="F11" s="34" t="n">
        <f aca="false">S11+AC11+AM11+AW11+BG11+BQ11+CA11+CK11</f>
        <v>24689.4052241937</v>
      </c>
      <c r="G11" s="34" t="n">
        <f aca="false">Q11+AA11+AK11+AU11+BE11+BO11+BY11+CI11</f>
        <v>217.771713360413</v>
      </c>
      <c r="J11" s="34" t="n">
        <f aca="false">O10</f>
        <v>3760.399833625</v>
      </c>
      <c r="K11" s="34" t="n">
        <f aca="false">J11*$J$5/12</f>
        <v>78.3103265352406</v>
      </c>
      <c r="L11" s="29" t="n">
        <f aca="false">MIN($J$6,J11+K11)</f>
        <v>105</v>
      </c>
      <c r="M11" s="30" t="n">
        <f aca="false">MAX(0,MIN($B11,J11+K11-L11))</f>
        <v>200</v>
      </c>
      <c r="N11" s="29" t="n">
        <f aca="false">$B11-M11</f>
        <v>0</v>
      </c>
      <c r="O11" s="34" t="n">
        <f aca="false">J11+K11-L11-M11</f>
        <v>3533.71016016024</v>
      </c>
      <c r="P11" s="34" t="n">
        <f aca="false">S10</f>
        <v>4164.564833625</v>
      </c>
      <c r="Q11" s="34" t="n">
        <f aca="false">P11*$J$5/12</f>
        <v>86.7270626602406</v>
      </c>
      <c r="R11" s="29" t="n">
        <f aca="false">MIN($J$6,P11+Q11)</f>
        <v>105</v>
      </c>
      <c r="S11" s="34" t="n">
        <f aca="false">P11+Q11-R11</f>
        <v>4146.29189628524</v>
      </c>
      <c r="T11" s="34" t="n">
        <f aca="false">Y10</f>
        <v>1769.719875125</v>
      </c>
      <c r="U11" s="34" t="n">
        <f aca="false">T11*$T$5/12</f>
        <v>29.4805835864573</v>
      </c>
      <c r="V11" s="29" t="n">
        <f aca="false">MIN($T$6,T11+U11)</f>
        <v>45</v>
      </c>
      <c r="W11" s="30" t="n">
        <f aca="false">MAX(0,MIN(N11,T11+U11-V11))</f>
        <v>0</v>
      </c>
      <c r="X11" s="29" t="n">
        <f aca="false">N11-W11</f>
        <v>0</v>
      </c>
      <c r="Y11" s="34" t="n">
        <f aca="false">T11+U11-V11-W11</f>
        <v>1754.20045871146</v>
      </c>
      <c r="Z11" s="34" t="n">
        <f aca="false">AC10</f>
        <v>1769.719875125</v>
      </c>
      <c r="AA11" s="34" t="n">
        <f aca="false">Z11*$T$5/12</f>
        <v>29.4805835864573</v>
      </c>
      <c r="AB11" s="29" t="n">
        <f aca="false">MIN($T$6,Z11+AA11)</f>
        <v>45</v>
      </c>
      <c r="AC11" s="34" t="n">
        <f aca="false">Z11+AA11-AB11</f>
        <v>1754.20045871146</v>
      </c>
      <c r="AD11" s="34" t="n">
        <f aca="false">AI10</f>
        <v>7177.69255208333</v>
      </c>
      <c r="AE11" s="34" t="n">
        <f aca="false">AD11*$AD$5/12</f>
        <v>47.2531426345486</v>
      </c>
      <c r="AF11" s="29" t="n">
        <f aca="false">MIN($AD$6,AD11+AE11)</f>
        <v>210</v>
      </c>
      <c r="AG11" s="30" t="n">
        <f aca="false">MAX(0,MIN(X11,AD11+AE11-AF11))</f>
        <v>0</v>
      </c>
      <c r="AH11" s="29" t="n">
        <f aca="false">X11-AG11</f>
        <v>0</v>
      </c>
      <c r="AI11" s="34" t="n">
        <f aca="false">AD11+AE11-AF11-AG11</f>
        <v>7014.94569471788</v>
      </c>
      <c r="AJ11" s="34" t="n">
        <f aca="false">AM10</f>
        <v>7177.69255208333</v>
      </c>
      <c r="AK11" s="34" t="n">
        <f aca="false">AJ11*$AD$5/12</f>
        <v>47.2531426345486</v>
      </c>
      <c r="AL11" s="29" t="n">
        <f aca="false">MIN($AD$6,AJ11+AK11)</f>
        <v>210</v>
      </c>
      <c r="AM11" s="34" t="n">
        <f aca="false">AJ11+AK11-AL11</f>
        <v>7014.94569471788</v>
      </c>
      <c r="AN11" s="34" t="n">
        <f aca="false">AS10</f>
        <v>11849.65625</v>
      </c>
      <c r="AO11" s="34" t="n">
        <f aca="false">AN11*$AN$5/12</f>
        <v>54.3109244791667</v>
      </c>
      <c r="AP11" s="29" t="n">
        <f aca="false">MIN($AN$6,AN11+AO11)</f>
        <v>130</v>
      </c>
      <c r="AQ11" s="30" t="n">
        <f aca="false">MAX(0,MIN(AH11,AN11+AO11-AP11))</f>
        <v>0</v>
      </c>
      <c r="AR11" s="29" t="n">
        <f aca="false">AH11-AQ11</f>
        <v>0</v>
      </c>
      <c r="AS11" s="34" t="n">
        <f aca="false">AN11+AO11-AP11-AQ11</f>
        <v>11773.9671744792</v>
      </c>
      <c r="AT11" s="34" t="n">
        <f aca="false">AW10</f>
        <v>11849.65625</v>
      </c>
      <c r="AU11" s="34" t="n">
        <f aca="false">AT11*$AN$5/12</f>
        <v>54.3109244791667</v>
      </c>
      <c r="AV11" s="29" t="n">
        <f aca="false">MIN($AN$6,AT11+AU11)</f>
        <v>130</v>
      </c>
      <c r="AW11" s="34" t="n">
        <f aca="false">AT11+AU11-AV11</f>
        <v>11773.9671744792</v>
      </c>
      <c r="AX11" s="30" t="n">
        <f aca="false">BC10</f>
        <v>0</v>
      </c>
      <c r="AY11" s="30" t="n">
        <f aca="false">AX11*$AX$5/12</f>
        <v>0</v>
      </c>
      <c r="AZ11" s="30" t="n">
        <f aca="false">MIN($AX$6,AX11+AY11)</f>
        <v>0</v>
      </c>
      <c r="BA11" s="30" t="n">
        <f aca="false">MAX(0,MIN(AR11,AX11+AY11-AZ11))</f>
        <v>0</v>
      </c>
      <c r="BB11" s="29" t="n">
        <f aca="false">AR11-BA11</f>
        <v>0</v>
      </c>
      <c r="BC11" s="30" t="n">
        <f aca="false">AX11+AY11-AZ11-BA11</f>
        <v>0</v>
      </c>
      <c r="BD11" s="30" t="n">
        <f aca="false">BG10</f>
        <v>0</v>
      </c>
      <c r="BE11" s="30" t="n">
        <f aca="false">BD11*$AX$5/12</f>
        <v>0</v>
      </c>
      <c r="BF11" s="30" t="n">
        <f aca="false">MIN($AX$6,BD11+BE11)</f>
        <v>0</v>
      </c>
      <c r="BG11" s="30" t="n">
        <f aca="false">BD11+BE11-BF11</f>
        <v>0</v>
      </c>
      <c r="BH11" s="30" t="n">
        <f aca="false">BM10</f>
        <v>0</v>
      </c>
      <c r="BI11" s="30" t="n">
        <f aca="false">BH11*$BH$5/12</f>
        <v>0</v>
      </c>
      <c r="BJ11" s="30" t="n">
        <f aca="false">MIN($BH$6,BH11+BI11)</f>
        <v>0</v>
      </c>
      <c r="BK11" s="30" t="n">
        <f aca="false">MAX(0,MIN(BB11,BH11+BI11-BJ11))</f>
        <v>0</v>
      </c>
      <c r="BL11" s="29" t="n">
        <f aca="false">BB11-BK11</f>
        <v>0</v>
      </c>
      <c r="BM11" s="30" t="n">
        <f aca="false">BH11+BI11-BJ11-BK11</f>
        <v>0</v>
      </c>
      <c r="BN11" s="30" t="n">
        <f aca="false">BQ10</f>
        <v>0</v>
      </c>
      <c r="BO11" s="30" t="n">
        <f aca="false">BN11*$BH$5/12</f>
        <v>0</v>
      </c>
      <c r="BP11" s="30" t="n">
        <f aca="false">MIN($BH$6,BN11+BO11)</f>
        <v>0</v>
      </c>
      <c r="BQ11" s="30" t="n">
        <f aca="false">BN11+BO11-BP11</f>
        <v>0</v>
      </c>
      <c r="BR11" s="30" t="n">
        <f aca="false">BW10</f>
        <v>0</v>
      </c>
      <c r="BS11" s="30" t="n">
        <f aca="false">BR11*$BR$5/12</f>
        <v>0</v>
      </c>
      <c r="BT11" s="30" t="n">
        <f aca="false">MIN($BR$6,BR11+BS11)</f>
        <v>0</v>
      </c>
      <c r="BU11" s="30" t="n">
        <f aca="false">MAX(0,MIN(BL11,BR11+BS11-BT11))</f>
        <v>0</v>
      </c>
      <c r="BV11" s="29" t="n">
        <f aca="false">BL11-BU11</f>
        <v>0</v>
      </c>
      <c r="BW11" s="30" t="n">
        <f aca="false">BR11+BS11-BT11-BU11</f>
        <v>0</v>
      </c>
      <c r="BX11" s="30" t="n">
        <f aca="false">CA10</f>
        <v>0</v>
      </c>
      <c r="BY11" s="30" t="n">
        <f aca="false">BX11*$BR$5/12</f>
        <v>0</v>
      </c>
      <c r="BZ11" s="30" t="n">
        <f aca="false">MIN($BR$6,BX11+BY11)</f>
        <v>0</v>
      </c>
      <c r="CA11" s="30" t="n">
        <f aca="false">BX11+BY11-BZ11</f>
        <v>0</v>
      </c>
      <c r="CB11" s="30" t="n">
        <f aca="false">CG10</f>
        <v>0</v>
      </c>
      <c r="CC11" s="30" t="n">
        <f aca="false">CB11*$CB$5/12</f>
        <v>0</v>
      </c>
      <c r="CD11" s="30" t="n">
        <f aca="false">MIN($CB$6,CB11+CC11)</f>
        <v>0</v>
      </c>
      <c r="CE11" s="30" t="n">
        <f aca="false">MAX(0,MIN(BV11,CB11+CC11-CD11))</f>
        <v>0</v>
      </c>
      <c r="CF11" s="29" t="n">
        <f aca="false">BV11-CE11</f>
        <v>0</v>
      </c>
      <c r="CG11" s="30" t="n">
        <f aca="false">CB11+CC11-CD11-CE11</f>
        <v>0</v>
      </c>
      <c r="CH11" s="30" t="n">
        <f aca="false">CK10</f>
        <v>0</v>
      </c>
      <c r="CI11" s="30" t="n">
        <f aca="false">CH11*$CB$5/12</f>
        <v>0</v>
      </c>
      <c r="CJ11" s="30" t="n">
        <f aca="false">MIN($CB$6,CH11+CI11)</f>
        <v>0</v>
      </c>
      <c r="CK11" s="30" t="n">
        <f aca="false">CH11+CI11-CJ11</f>
        <v>0</v>
      </c>
    </row>
    <row r="12" customFormat="false" ht="15" hidden="false" customHeight="false" outlineLevel="0" collapsed="false">
      <c r="A12" s="0" t="n">
        <v>4</v>
      </c>
      <c r="B12" s="29" t="n">
        <f aca="false">'1 Your debts'!$B$16-(L12+V12+AF12+AP12+AZ12+BJ12+BT12+CD12)</f>
        <v>200</v>
      </c>
      <c r="C12" s="34" t="n">
        <f aca="false">O12+Y12+AI12+AS12+BC12+BM12+BW12+CG12</f>
        <v>23589.7808001687</v>
      </c>
      <c r="D12" s="34" t="n">
        <f aca="false">K12+U12+AE12+AO12+AY12+BI12+BS12+CC12</f>
        <v>202.957312099961</v>
      </c>
      <c r="F12" s="34" t="n">
        <f aca="false">S12+AC12+AM12+AW12+BG12+BQ12+CA12+CK12</f>
        <v>24415.1195509485</v>
      </c>
      <c r="G12" s="34" t="n">
        <f aca="false">Q12+AA12+AK12+AU12+BE12+BO12+BY12+CI12</f>
        <v>215.714326754764</v>
      </c>
      <c r="J12" s="34" t="n">
        <f aca="false">O11</f>
        <v>3533.71016016024</v>
      </c>
      <c r="K12" s="34" t="n">
        <f aca="false">J12*$J$5/12</f>
        <v>73.589514085337</v>
      </c>
      <c r="L12" s="29" t="n">
        <f aca="false">MIN($J$6,J12+K12)</f>
        <v>105</v>
      </c>
      <c r="M12" s="30" t="n">
        <f aca="false">MAX(0,MIN($B12,J12+K12-L12))</f>
        <v>200</v>
      </c>
      <c r="N12" s="29" t="n">
        <f aca="false">$B12-M12</f>
        <v>0</v>
      </c>
      <c r="O12" s="34" t="n">
        <f aca="false">J12+K12-L12-M12</f>
        <v>3302.29967424558</v>
      </c>
      <c r="P12" s="34" t="n">
        <f aca="false">S11</f>
        <v>4146.29189628524</v>
      </c>
      <c r="Q12" s="34" t="n">
        <f aca="false">P12*$J$5/12</f>
        <v>86.3465287401402</v>
      </c>
      <c r="R12" s="29" t="n">
        <f aca="false">MIN($J$6,P12+Q12)</f>
        <v>105</v>
      </c>
      <c r="S12" s="34" t="n">
        <f aca="false">P12+Q12-R12</f>
        <v>4127.63842502538</v>
      </c>
      <c r="T12" s="34" t="n">
        <f aca="false">Y11</f>
        <v>1754.20045871146</v>
      </c>
      <c r="U12" s="34" t="n">
        <f aca="false">T12*$T$5/12</f>
        <v>29.2220559747017</v>
      </c>
      <c r="V12" s="29" t="n">
        <f aca="false">MIN($T$6,T12+U12)</f>
        <v>45</v>
      </c>
      <c r="W12" s="30" t="n">
        <f aca="false">MAX(0,MIN(N12,T12+U12-V12))</f>
        <v>0</v>
      </c>
      <c r="X12" s="29" t="n">
        <f aca="false">N12-W12</f>
        <v>0</v>
      </c>
      <c r="Y12" s="34" t="n">
        <f aca="false">T12+U12-V12-W12</f>
        <v>1738.42251468616</v>
      </c>
      <c r="Z12" s="34" t="n">
        <f aca="false">AC11</f>
        <v>1754.20045871146</v>
      </c>
      <c r="AA12" s="34" t="n">
        <f aca="false">Z12*$T$5/12</f>
        <v>29.2220559747017</v>
      </c>
      <c r="AB12" s="29" t="n">
        <f aca="false">MIN($T$6,Z12+AA12)</f>
        <v>45</v>
      </c>
      <c r="AC12" s="34" t="n">
        <f aca="false">Z12+AA12-AB12</f>
        <v>1738.42251468616</v>
      </c>
      <c r="AD12" s="34" t="n">
        <f aca="false">AI11</f>
        <v>7014.94569471788</v>
      </c>
      <c r="AE12" s="34" t="n">
        <f aca="false">AD12*$AD$5/12</f>
        <v>46.1817258235594</v>
      </c>
      <c r="AF12" s="29" t="n">
        <f aca="false">MIN($AD$6,AD12+AE12)</f>
        <v>210</v>
      </c>
      <c r="AG12" s="30" t="n">
        <f aca="false">MAX(0,MIN(X12,AD12+AE12-AF12))</f>
        <v>0</v>
      </c>
      <c r="AH12" s="29" t="n">
        <f aca="false">X12-AG12</f>
        <v>0</v>
      </c>
      <c r="AI12" s="34" t="n">
        <f aca="false">AD12+AE12-AF12-AG12</f>
        <v>6851.12742054144</v>
      </c>
      <c r="AJ12" s="34" t="n">
        <f aca="false">AM11</f>
        <v>7014.94569471788</v>
      </c>
      <c r="AK12" s="34" t="n">
        <f aca="false">AJ12*$AD$5/12</f>
        <v>46.1817258235594</v>
      </c>
      <c r="AL12" s="29" t="n">
        <f aca="false">MIN($AD$6,AJ12+AK12)</f>
        <v>210</v>
      </c>
      <c r="AM12" s="34" t="n">
        <f aca="false">AJ12+AK12-AL12</f>
        <v>6851.12742054144</v>
      </c>
      <c r="AN12" s="34" t="n">
        <f aca="false">AS11</f>
        <v>11773.9671744792</v>
      </c>
      <c r="AO12" s="34" t="n">
        <f aca="false">AN12*$AN$5/12</f>
        <v>53.9640162163628</v>
      </c>
      <c r="AP12" s="29" t="n">
        <f aca="false">MIN($AN$6,AN12+AO12)</f>
        <v>130</v>
      </c>
      <c r="AQ12" s="30" t="n">
        <f aca="false">MAX(0,MIN(AH12,AN12+AO12-AP12))</f>
        <v>0</v>
      </c>
      <c r="AR12" s="29" t="n">
        <f aca="false">AH12-AQ12</f>
        <v>0</v>
      </c>
      <c r="AS12" s="34" t="n">
        <f aca="false">AN12+AO12-AP12-AQ12</f>
        <v>11697.9311906955</v>
      </c>
      <c r="AT12" s="34" t="n">
        <f aca="false">AW11</f>
        <v>11773.9671744792</v>
      </c>
      <c r="AU12" s="34" t="n">
        <f aca="false">AT12*$AN$5/12</f>
        <v>53.9640162163628</v>
      </c>
      <c r="AV12" s="29" t="n">
        <f aca="false">MIN($AN$6,AT12+AU12)</f>
        <v>130</v>
      </c>
      <c r="AW12" s="34" t="n">
        <f aca="false">AT12+AU12-AV12</f>
        <v>11697.9311906955</v>
      </c>
      <c r="AX12" s="30" t="n">
        <f aca="false">BC11</f>
        <v>0</v>
      </c>
      <c r="AY12" s="30" t="n">
        <f aca="false">AX12*$AX$5/12</f>
        <v>0</v>
      </c>
      <c r="AZ12" s="30" t="n">
        <f aca="false">MIN($AX$6,AX12+AY12)</f>
        <v>0</v>
      </c>
      <c r="BA12" s="30" t="n">
        <f aca="false">MAX(0,MIN(AR12,AX12+AY12-AZ12))</f>
        <v>0</v>
      </c>
      <c r="BB12" s="29" t="n">
        <f aca="false">AR12-BA12</f>
        <v>0</v>
      </c>
      <c r="BC12" s="30" t="n">
        <f aca="false">AX12+AY12-AZ12-BA12</f>
        <v>0</v>
      </c>
      <c r="BD12" s="30" t="n">
        <f aca="false">BG11</f>
        <v>0</v>
      </c>
      <c r="BE12" s="30" t="n">
        <f aca="false">BD12*$AX$5/12</f>
        <v>0</v>
      </c>
      <c r="BF12" s="30" t="n">
        <f aca="false">MIN($AX$6,BD12+BE12)</f>
        <v>0</v>
      </c>
      <c r="BG12" s="30" t="n">
        <f aca="false">BD12+BE12-BF12</f>
        <v>0</v>
      </c>
      <c r="BH12" s="30" t="n">
        <f aca="false">BM11</f>
        <v>0</v>
      </c>
      <c r="BI12" s="30" t="n">
        <f aca="false">BH12*$BH$5/12</f>
        <v>0</v>
      </c>
      <c r="BJ12" s="30" t="n">
        <f aca="false">MIN($BH$6,BH12+BI12)</f>
        <v>0</v>
      </c>
      <c r="BK12" s="30" t="n">
        <f aca="false">MAX(0,MIN(BB12,BH12+BI12-BJ12))</f>
        <v>0</v>
      </c>
      <c r="BL12" s="29" t="n">
        <f aca="false">BB12-BK12</f>
        <v>0</v>
      </c>
      <c r="BM12" s="30" t="n">
        <f aca="false">BH12+BI12-BJ12-BK12</f>
        <v>0</v>
      </c>
      <c r="BN12" s="30" t="n">
        <f aca="false">BQ11</f>
        <v>0</v>
      </c>
      <c r="BO12" s="30" t="n">
        <f aca="false">BN12*$BH$5/12</f>
        <v>0</v>
      </c>
      <c r="BP12" s="30" t="n">
        <f aca="false">MIN($BH$6,BN12+BO12)</f>
        <v>0</v>
      </c>
      <c r="BQ12" s="30" t="n">
        <f aca="false">BN12+BO12-BP12</f>
        <v>0</v>
      </c>
      <c r="BR12" s="30" t="n">
        <f aca="false">BW11</f>
        <v>0</v>
      </c>
      <c r="BS12" s="30" t="n">
        <f aca="false">BR12*$BR$5/12</f>
        <v>0</v>
      </c>
      <c r="BT12" s="30" t="n">
        <f aca="false">MIN($BR$6,BR12+BS12)</f>
        <v>0</v>
      </c>
      <c r="BU12" s="30" t="n">
        <f aca="false">MAX(0,MIN(BL12,BR12+BS12-BT12))</f>
        <v>0</v>
      </c>
      <c r="BV12" s="29" t="n">
        <f aca="false">BL12-BU12</f>
        <v>0</v>
      </c>
      <c r="BW12" s="30" t="n">
        <f aca="false">BR12+BS12-BT12-BU12</f>
        <v>0</v>
      </c>
      <c r="BX12" s="30" t="n">
        <f aca="false">CA11</f>
        <v>0</v>
      </c>
      <c r="BY12" s="30" t="n">
        <f aca="false">BX12*$BR$5/12</f>
        <v>0</v>
      </c>
      <c r="BZ12" s="30" t="n">
        <f aca="false">MIN($BR$6,BX12+BY12)</f>
        <v>0</v>
      </c>
      <c r="CA12" s="30" t="n">
        <f aca="false">BX12+BY12-BZ12</f>
        <v>0</v>
      </c>
      <c r="CB12" s="30" t="n">
        <f aca="false">CG11</f>
        <v>0</v>
      </c>
      <c r="CC12" s="30" t="n">
        <f aca="false">CB12*$CB$5/12</f>
        <v>0</v>
      </c>
      <c r="CD12" s="30" t="n">
        <f aca="false">MIN($CB$6,CB12+CC12)</f>
        <v>0</v>
      </c>
      <c r="CE12" s="30" t="n">
        <f aca="false">MAX(0,MIN(BV12,CB12+CC12-CD12))</f>
        <v>0</v>
      </c>
      <c r="CF12" s="29" t="n">
        <f aca="false">BV12-CE12</f>
        <v>0</v>
      </c>
      <c r="CG12" s="30" t="n">
        <f aca="false">CB12+CC12-CD12-CE12</f>
        <v>0</v>
      </c>
      <c r="CH12" s="30" t="n">
        <f aca="false">CK11</f>
        <v>0</v>
      </c>
      <c r="CI12" s="30" t="n">
        <f aca="false">CH12*$CB$5/12</f>
        <v>0</v>
      </c>
      <c r="CJ12" s="30" t="n">
        <f aca="false">MIN($CB$6,CH12+CI12)</f>
        <v>0</v>
      </c>
      <c r="CK12" s="30" t="n">
        <f aca="false">CH12+CI12-CJ12</f>
        <v>0</v>
      </c>
    </row>
    <row r="13" customFormat="false" ht="15" hidden="false" customHeight="false" outlineLevel="0" collapsed="false">
      <c r="A13" s="0" t="n">
        <v>5</v>
      </c>
      <c r="B13" s="29" t="n">
        <f aca="false">'1 Your debts'!$B$16-(L13+V13+AF13+AP13+AZ13+BJ13+BT13+CD13)</f>
        <v>200</v>
      </c>
      <c r="C13" s="34" t="n">
        <f aca="false">O13+Y13+AI13+AS13+BC13+BM13+BW13+CG13</f>
        <v>23096.2291860846</v>
      </c>
      <c r="D13" s="34" t="n">
        <f aca="false">K13+U13+AE13+AO13+AY13+BI13+BS13+CC13</f>
        <v>196.448385915897</v>
      </c>
      <c r="F13" s="34" t="n">
        <f aca="false">S13+AC13+AM13+AW13+BG13+BQ13+CA13+CK13</f>
        <v>24138.7556163494</v>
      </c>
      <c r="G13" s="34" t="n">
        <f aca="false">Q13+AA13+AK13+AU13+BE13+BO13+BY13+CI13</f>
        <v>213.636065400886</v>
      </c>
      <c r="J13" s="34" t="n">
        <f aca="false">O12</f>
        <v>3302.29967424558</v>
      </c>
      <c r="K13" s="34" t="n">
        <f aca="false">J13*$J$5/12</f>
        <v>68.7703907161642</v>
      </c>
      <c r="L13" s="29" t="n">
        <f aca="false">MIN($J$6,J13+K13)</f>
        <v>105</v>
      </c>
      <c r="M13" s="30" t="n">
        <f aca="false">MAX(0,MIN($B13,J13+K13-L13))</f>
        <v>200</v>
      </c>
      <c r="N13" s="29" t="n">
        <f aca="false">$B13-M13</f>
        <v>0</v>
      </c>
      <c r="O13" s="34" t="n">
        <f aca="false">J13+K13-L13-M13</f>
        <v>3066.07006496174</v>
      </c>
      <c r="P13" s="34" t="n">
        <f aca="false">S12</f>
        <v>4127.63842502538</v>
      </c>
      <c r="Q13" s="34" t="n">
        <f aca="false">P13*$J$5/12</f>
        <v>85.9580702011536</v>
      </c>
      <c r="R13" s="29" t="n">
        <f aca="false">MIN($J$6,P13+Q13)</f>
        <v>105</v>
      </c>
      <c r="S13" s="34" t="n">
        <f aca="false">P13+Q13-R13</f>
        <v>4108.59649522654</v>
      </c>
      <c r="T13" s="34" t="n">
        <f aca="false">Y12</f>
        <v>1738.42251468616</v>
      </c>
      <c r="U13" s="34" t="n">
        <f aca="false">T13*$T$5/12</f>
        <v>28.9592217238136</v>
      </c>
      <c r="V13" s="29" t="n">
        <f aca="false">MIN($T$6,T13+U13)</f>
        <v>45</v>
      </c>
      <c r="W13" s="30" t="n">
        <f aca="false">MAX(0,MIN(N13,T13+U13-V13))</f>
        <v>0</v>
      </c>
      <c r="X13" s="29" t="n">
        <f aca="false">N13-W13</f>
        <v>0</v>
      </c>
      <c r="Y13" s="34" t="n">
        <f aca="false">T13+U13-V13-W13</f>
        <v>1722.38173640997</v>
      </c>
      <c r="Z13" s="34" t="n">
        <f aca="false">AC12</f>
        <v>1738.42251468616</v>
      </c>
      <c r="AA13" s="34" t="n">
        <f aca="false">Z13*$T$5/12</f>
        <v>28.9592217238136</v>
      </c>
      <c r="AB13" s="29" t="n">
        <f aca="false">MIN($T$6,Z13+AA13)</f>
        <v>45</v>
      </c>
      <c r="AC13" s="34" t="n">
        <f aca="false">Z13+AA13-AB13</f>
        <v>1722.38173640997</v>
      </c>
      <c r="AD13" s="34" t="n">
        <f aca="false">AI12</f>
        <v>6851.12742054144</v>
      </c>
      <c r="AE13" s="34" t="n">
        <f aca="false">AD13*$AD$5/12</f>
        <v>45.1032555185645</v>
      </c>
      <c r="AF13" s="29" t="n">
        <f aca="false">MIN($AD$6,AD13+AE13)</f>
        <v>210</v>
      </c>
      <c r="AG13" s="30" t="n">
        <f aca="false">MAX(0,MIN(X13,AD13+AE13-AF13))</f>
        <v>0</v>
      </c>
      <c r="AH13" s="29" t="n">
        <f aca="false">X13-AG13</f>
        <v>0</v>
      </c>
      <c r="AI13" s="34" t="n">
        <f aca="false">AD13+AE13-AF13-AG13</f>
        <v>6686.23067606001</v>
      </c>
      <c r="AJ13" s="34" t="n">
        <f aca="false">AM12</f>
        <v>6851.12742054144</v>
      </c>
      <c r="AK13" s="34" t="n">
        <f aca="false">AJ13*$AD$5/12</f>
        <v>45.1032555185645</v>
      </c>
      <c r="AL13" s="29" t="n">
        <f aca="false">MIN($AD$6,AJ13+AK13)</f>
        <v>210</v>
      </c>
      <c r="AM13" s="34" t="n">
        <f aca="false">AJ13+AK13-AL13</f>
        <v>6686.23067606001</v>
      </c>
      <c r="AN13" s="34" t="n">
        <f aca="false">AS12</f>
        <v>11697.9311906955</v>
      </c>
      <c r="AO13" s="34" t="n">
        <f aca="false">AN13*$AN$5/12</f>
        <v>53.6155179573545</v>
      </c>
      <c r="AP13" s="29" t="n">
        <f aca="false">MIN($AN$6,AN13+AO13)</f>
        <v>130</v>
      </c>
      <c r="AQ13" s="30" t="n">
        <f aca="false">MAX(0,MIN(AH13,AN13+AO13-AP13))</f>
        <v>0</v>
      </c>
      <c r="AR13" s="29" t="n">
        <f aca="false">AH13-AQ13</f>
        <v>0</v>
      </c>
      <c r="AS13" s="34" t="n">
        <f aca="false">AN13+AO13-AP13-AQ13</f>
        <v>11621.5467086529</v>
      </c>
      <c r="AT13" s="34" t="n">
        <f aca="false">AW12</f>
        <v>11697.9311906955</v>
      </c>
      <c r="AU13" s="34" t="n">
        <f aca="false">AT13*$AN$5/12</f>
        <v>53.6155179573545</v>
      </c>
      <c r="AV13" s="29" t="n">
        <f aca="false">MIN($AN$6,AT13+AU13)</f>
        <v>130</v>
      </c>
      <c r="AW13" s="34" t="n">
        <f aca="false">AT13+AU13-AV13</f>
        <v>11621.5467086529</v>
      </c>
      <c r="AX13" s="30" t="n">
        <f aca="false">BC12</f>
        <v>0</v>
      </c>
      <c r="AY13" s="30" t="n">
        <f aca="false">AX13*$AX$5/12</f>
        <v>0</v>
      </c>
      <c r="AZ13" s="30" t="n">
        <f aca="false">MIN($AX$6,AX13+AY13)</f>
        <v>0</v>
      </c>
      <c r="BA13" s="30" t="n">
        <f aca="false">MAX(0,MIN(AR13,AX13+AY13-AZ13))</f>
        <v>0</v>
      </c>
      <c r="BB13" s="29" t="n">
        <f aca="false">AR13-BA13</f>
        <v>0</v>
      </c>
      <c r="BC13" s="30" t="n">
        <f aca="false">AX13+AY13-AZ13-BA13</f>
        <v>0</v>
      </c>
      <c r="BD13" s="30" t="n">
        <f aca="false">BG12</f>
        <v>0</v>
      </c>
      <c r="BE13" s="30" t="n">
        <f aca="false">BD13*$AX$5/12</f>
        <v>0</v>
      </c>
      <c r="BF13" s="30" t="n">
        <f aca="false">MIN($AX$6,BD13+BE13)</f>
        <v>0</v>
      </c>
      <c r="BG13" s="30" t="n">
        <f aca="false">BD13+BE13-BF13</f>
        <v>0</v>
      </c>
      <c r="BH13" s="30" t="n">
        <f aca="false">BM12</f>
        <v>0</v>
      </c>
      <c r="BI13" s="30" t="n">
        <f aca="false">BH13*$BH$5/12</f>
        <v>0</v>
      </c>
      <c r="BJ13" s="30" t="n">
        <f aca="false">MIN($BH$6,BH13+BI13)</f>
        <v>0</v>
      </c>
      <c r="BK13" s="30" t="n">
        <f aca="false">MAX(0,MIN(BB13,BH13+BI13-BJ13))</f>
        <v>0</v>
      </c>
      <c r="BL13" s="29" t="n">
        <f aca="false">BB13-BK13</f>
        <v>0</v>
      </c>
      <c r="BM13" s="30" t="n">
        <f aca="false">BH13+BI13-BJ13-BK13</f>
        <v>0</v>
      </c>
      <c r="BN13" s="30" t="n">
        <f aca="false">BQ12</f>
        <v>0</v>
      </c>
      <c r="BO13" s="30" t="n">
        <f aca="false">BN13*$BH$5/12</f>
        <v>0</v>
      </c>
      <c r="BP13" s="30" t="n">
        <f aca="false">MIN($BH$6,BN13+BO13)</f>
        <v>0</v>
      </c>
      <c r="BQ13" s="30" t="n">
        <f aca="false">BN13+BO13-BP13</f>
        <v>0</v>
      </c>
      <c r="BR13" s="30" t="n">
        <f aca="false">BW12</f>
        <v>0</v>
      </c>
      <c r="BS13" s="30" t="n">
        <f aca="false">BR13*$BR$5/12</f>
        <v>0</v>
      </c>
      <c r="BT13" s="30" t="n">
        <f aca="false">MIN($BR$6,BR13+BS13)</f>
        <v>0</v>
      </c>
      <c r="BU13" s="30" t="n">
        <f aca="false">MAX(0,MIN(BL13,BR13+BS13-BT13))</f>
        <v>0</v>
      </c>
      <c r="BV13" s="29" t="n">
        <f aca="false">BL13-BU13</f>
        <v>0</v>
      </c>
      <c r="BW13" s="30" t="n">
        <f aca="false">BR13+BS13-BT13-BU13</f>
        <v>0</v>
      </c>
      <c r="BX13" s="30" t="n">
        <f aca="false">CA12</f>
        <v>0</v>
      </c>
      <c r="BY13" s="30" t="n">
        <f aca="false">BX13*$BR$5/12</f>
        <v>0</v>
      </c>
      <c r="BZ13" s="30" t="n">
        <f aca="false">MIN($BR$6,BX13+BY13)</f>
        <v>0</v>
      </c>
      <c r="CA13" s="30" t="n">
        <f aca="false">BX13+BY13-BZ13</f>
        <v>0</v>
      </c>
      <c r="CB13" s="30" t="n">
        <f aca="false">CG12</f>
        <v>0</v>
      </c>
      <c r="CC13" s="30" t="n">
        <f aca="false">CB13*$CB$5/12</f>
        <v>0</v>
      </c>
      <c r="CD13" s="30" t="n">
        <f aca="false">MIN($CB$6,CB13+CC13)</f>
        <v>0</v>
      </c>
      <c r="CE13" s="30" t="n">
        <f aca="false">MAX(0,MIN(BV13,CB13+CC13-CD13))</f>
        <v>0</v>
      </c>
      <c r="CF13" s="29" t="n">
        <f aca="false">BV13-CE13</f>
        <v>0</v>
      </c>
      <c r="CG13" s="30" t="n">
        <f aca="false">CB13+CC13-CD13-CE13</f>
        <v>0</v>
      </c>
      <c r="CH13" s="30" t="n">
        <f aca="false">CK12</f>
        <v>0</v>
      </c>
      <c r="CI13" s="30" t="n">
        <f aca="false">CH13*$CB$5/12</f>
        <v>0</v>
      </c>
      <c r="CJ13" s="30" t="n">
        <f aca="false">MIN($CB$6,CH13+CI13)</f>
        <v>0</v>
      </c>
      <c r="CK13" s="30" t="n">
        <f aca="false">CH13+CI13-CJ13</f>
        <v>0</v>
      </c>
    </row>
    <row r="14" customFormat="false" ht="15" hidden="false" customHeight="false" outlineLevel="0" collapsed="false">
      <c r="A14" s="0" t="n">
        <v>6</v>
      </c>
      <c r="B14" s="29" t="n">
        <f aca="false">'1 Your debts'!$B$16-(L14+V14+AF14+AP14+AZ14+BJ14+BT14+CD14)</f>
        <v>200</v>
      </c>
      <c r="C14" s="34" t="n">
        <f aca="false">O14+Y14+AI14+AS14+BC14+BM14+BW14+CG14</f>
        <v>22596.0552119785</v>
      </c>
      <c r="D14" s="34" t="n">
        <f aca="false">K14+U14+AE14+AO14+AY14+BI14+BS14+CC14</f>
        <v>189.826025893912</v>
      </c>
      <c r="F14" s="34" t="n">
        <f aca="false">S14+AC14+AM14+AW14+BG14+BQ14+CA14+CK14</f>
        <v>23860.2922551536</v>
      </c>
      <c r="G14" s="34" t="n">
        <f aca="false">Q14+AA14+AK14+AU14+BE14+BO14+BY14+CI14</f>
        <v>211.536638804176</v>
      </c>
      <c r="J14" s="34" t="n">
        <f aca="false">O13</f>
        <v>3066.07006496174</v>
      </c>
      <c r="K14" s="34" t="n">
        <f aca="false">J14*$J$5/12</f>
        <v>63.8509091028283</v>
      </c>
      <c r="L14" s="29" t="n">
        <f aca="false">MIN($J$6,J14+K14)</f>
        <v>105</v>
      </c>
      <c r="M14" s="30" t="n">
        <f aca="false">MAX(0,MIN($B14,J14+K14-L14))</f>
        <v>200</v>
      </c>
      <c r="N14" s="29" t="n">
        <f aca="false">$B14-M14</f>
        <v>0</v>
      </c>
      <c r="O14" s="34" t="n">
        <f aca="false">J14+K14-L14-M14</f>
        <v>2824.92097406457</v>
      </c>
      <c r="P14" s="34" t="n">
        <f aca="false">S13</f>
        <v>4108.59649522654</v>
      </c>
      <c r="Q14" s="34" t="n">
        <f aca="false">P14*$J$5/12</f>
        <v>85.5615220130926</v>
      </c>
      <c r="R14" s="29" t="n">
        <f aca="false">MIN($J$6,P14+Q14)</f>
        <v>105</v>
      </c>
      <c r="S14" s="34" t="n">
        <f aca="false">P14+Q14-R14</f>
        <v>4089.15801723963</v>
      </c>
      <c r="T14" s="34" t="n">
        <f aca="false">Y13</f>
        <v>1722.38173640997</v>
      </c>
      <c r="U14" s="34" t="n">
        <f aca="false">T14*$T$5/12</f>
        <v>28.6920090923628</v>
      </c>
      <c r="V14" s="29" t="n">
        <f aca="false">MIN($T$6,T14+U14)</f>
        <v>45</v>
      </c>
      <c r="W14" s="30" t="n">
        <f aca="false">MAX(0,MIN(N14,T14+U14-V14))</f>
        <v>0</v>
      </c>
      <c r="X14" s="29" t="n">
        <f aca="false">N14-W14</f>
        <v>0</v>
      </c>
      <c r="Y14" s="34" t="n">
        <f aca="false">T14+U14-V14-W14</f>
        <v>1706.07374550234</v>
      </c>
      <c r="Z14" s="34" t="n">
        <f aca="false">AC13</f>
        <v>1722.38173640997</v>
      </c>
      <c r="AA14" s="34" t="n">
        <f aca="false">Z14*$T$5/12</f>
        <v>28.6920090923628</v>
      </c>
      <c r="AB14" s="29" t="n">
        <f aca="false">MIN($T$6,Z14+AA14)</f>
        <v>45</v>
      </c>
      <c r="AC14" s="34" t="n">
        <f aca="false">Z14+AA14-AB14</f>
        <v>1706.07374550234</v>
      </c>
      <c r="AD14" s="34" t="n">
        <f aca="false">AI13</f>
        <v>6686.23067606001</v>
      </c>
      <c r="AE14" s="34" t="n">
        <f aca="false">AD14*$AD$5/12</f>
        <v>44.0176852840617</v>
      </c>
      <c r="AF14" s="29" t="n">
        <f aca="false">MIN($AD$6,AD14+AE14)</f>
        <v>210</v>
      </c>
      <c r="AG14" s="30" t="n">
        <f aca="false">MAX(0,MIN(X14,AD14+AE14-AF14))</f>
        <v>0</v>
      </c>
      <c r="AH14" s="29" t="n">
        <f aca="false">X14-AG14</f>
        <v>0</v>
      </c>
      <c r="AI14" s="34" t="n">
        <f aca="false">AD14+AE14-AF14-AG14</f>
        <v>6520.24836134407</v>
      </c>
      <c r="AJ14" s="34" t="n">
        <f aca="false">AM13</f>
        <v>6686.23067606001</v>
      </c>
      <c r="AK14" s="34" t="n">
        <f aca="false">AJ14*$AD$5/12</f>
        <v>44.0176852840617</v>
      </c>
      <c r="AL14" s="29" t="n">
        <f aca="false">MIN($AD$6,AJ14+AK14)</f>
        <v>210</v>
      </c>
      <c r="AM14" s="34" t="n">
        <f aca="false">AJ14+AK14-AL14</f>
        <v>6520.24836134407</v>
      </c>
      <c r="AN14" s="34" t="n">
        <f aca="false">AS13</f>
        <v>11621.5467086529</v>
      </c>
      <c r="AO14" s="34" t="n">
        <f aca="false">AN14*$AN$5/12</f>
        <v>53.2654224146591</v>
      </c>
      <c r="AP14" s="29" t="n">
        <f aca="false">MIN($AN$6,AN14+AO14)</f>
        <v>130</v>
      </c>
      <c r="AQ14" s="30" t="n">
        <f aca="false">MAX(0,MIN(AH14,AN14+AO14-AP14))</f>
        <v>0</v>
      </c>
      <c r="AR14" s="29" t="n">
        <f aca="false">AH14-AQ14</f>
        <v>0</v>
      </c>
      <c r="AS14" s="34" t="n">
        <f aca="false">AN14+AO14-AP14-AQ14</f>
        <v>11544.8121310675</v>
      </c>
      <c r="AT14" s="34" t="n">
        <f aca="false">AW13</f>
        <v>11621.5467086529</v>
      </c>
      <c r="AU14" s="34" t="n">
        <f aca="false">AT14*$AN$5/12</f>
        <v>53.2654224146591</v>
      </c>
      <c r="AV14" s="29" t="n">
        <f aca="false">MIN($AN$6,AT14+AU14)</f>
        <v>130</v>
      </c>
      <c r="AW14" s="34" t="n">
        <f aca="false">AT14+AU14-AV14</f>
        <v>11544.8121310675</v>
      </c>
      <c r="AX14" s="30" t="n">
        <f aca="false">BC13</f>
        <v>0</v>
      </c>
      <c r="AY14" s="30" t="n">
        <f aca="false">AX14*$AX$5/12</f>
        <v>0</v>
      </c>
      <c r="AZ14" s="30" t="n">
        <f aca="false">MIN($AX$6,AX14+AY14)</f>
        <v>0</v>
      </c>
      <c r="BA14" s="30" t="n">
        <f aca="false">MAX(0,MIN(AR14,AX14+AY14-AZ14))</f>
        <v>0</v>
      </c>
      <c r="BB14" s="29" t="n">
        <f aca="false">AR14-BA14</f>
        <v>0</v>
      </c>
      <c r="BC14" s="30" t="n">
        <f aca="false">AX14+AY14-AZ14-BA14</f>
        <v>0</v>
      </c>
      <c r="BD14" s="30" t="n">
        <f aca="false">BG13</f>
        <v>0</v>
      </c>
      <c r="BE14" s="30" t="n">
        <f aca="false">BD14*$AX$5/12</f>
        <v>0</v>
      </c>
      <c r="BF14" s="30" t="n">
        <f aca="false">MIN($AX$6,BD14+BE14)</f>
        <v>0</v>
      </c>
      <c r="BG14" s="30" t="n">
        <f aca="false">BD14+BE14-BF14</f>
        <v>0</v>
      </c>
      <c r="BH14" s="30" t="n">
        <f aca="false">BM13</f>
        <v>0</v>
      </c>
      <c r="BI14" s="30" t="n">
        <f aca="false">BH14*$BH$5/12</f>
        <v>0</v>
      </c>
      <c r="BJ14" s="30" t="n">
        <f aca="false">MIN($BH$6,BH14+BI14)</f>
        <v>0</v>
      </c>
      <c r="BK14" s="30" t="n">
        <f aca="false">MAX(0,MIN(BB14,BH14+BI14-BJ14))</f>
        <v>0</v>
      </c>
      <c r="BL14" s="29" t="n">
        <f aca="false">BB14-BK14</f>
        <v>0</v>
      </c>
      <c r="BM14" s="30" t="n">
        <f aca="false">BH14+BI14-BJ14-BK14</f>
        <v>0</v>
      </c>
      <c r="BN14" s="30" t="n">
        <f aca="false">BQ13</f>
        <v>0</v>
      </c>
      <c r="BO14" s="30" t="n">
        <f aca="false">BN14*$BH$5/12</f>
        <v>0</v>
      </c>
      <c r="BP14" s="30" t="n">
        <f aca="false">MIN($BH$6,BN14+BO14)</f>
        <v>0</v>
      </c>
      <c r="BQ14" s="30" t="n">
        <f aca="false">BN14+BO14-BP14</f>
        <v>0</v>
      </c>
      <c r="BR14" s="30" t="n">
        <f aca="false">BW13</f>
        <v>0</v>
      </c>
      <c r="BS14" s="30" t="n">
        <f aca="false">BR14*$BR$5/12</f>
        <v>0</v>
      </c>
      <c r="BT14" s="30" t="n">
        <f aca="false">MIN($BR$6,BR14+BS14)</f>
        <v>0</v>
      </c>
      <c r="BU14" s="30" t="n">
        <f aca="false">MAX(0,MIN(BL14,BR14+BS14-BT14))</f>
        <v>0</v>
      </c>
      <c r="BV14" s="29" t="n">
        <f aca="false">BL14-BU14</f>
        <v>0</v>
      </c>
      <c r="BW14" s="30" t="n">
        <f aca="false">BR14+BS14-BT14-BU14</f>
        <v>0</v>
      </c>
      <c r="BX14" s="30" t="n">
        <f aca="false">CA13</f>
        <v>0</v>
      </c>
      <c r="BY14" s="30" t="n">
        <f aca="false">BX14*$BR$5/12</f>
        <v>0</v>
      </c>
      <c r="BZ14" s="30" t="n">
        <f aca="false">MIN($BR$6,BX14+BY14)</f>
        <v>0</v>
      </c>
      <c r="CA14" s="30" t="n">
        <f aca="false">BX14+BY14-BZ14</f>
        <v>0</v>
      </c>
      <c r="CB14" s="30" t="n">
        <f aca="false">CG13</f>
        <v>0</v>
      </c>
      <c r="CC14" s="30" t="n">
        <f aca="false">CB14*$CB$5/12</f>
        <v>0</v>
      </c>
      <c r="CD14" s="30" t="n">
        <f aca="false">MIN($CB$6,CB14+CC14)</f>
        <v>0</v>
      </c>
      <c r="CE14" s="30" t="n">
        <f aca="false">MAX(0,MIN(BV14,CB14+CC14-CD14))</f>
        <v>0</v>
      </c>
      <c r="CF14" s="29" t="n">
        <f aca="false">BV14-CE14</f>
        <v>0</v>
      </c>
      <c r="CG14" s="30" t="n">
        <f aca="false">CB14+CC14-CD14-CE14</f>
        <v>0</v>
      </c>
      <c r="CH14" s="30" t="n">
        <f aca="false">CK13</f>
        <v>0</v>
      </c>
      <c r="CI14" s="30" t="n">
        <f aca="false">CH14*$CB$5/12</f>
        <v>0</v>
      </c>
      <c r="CJ14" s="30" t="n">
        <f aca="false">MIN($CB$6,CH14+CI14)</f>
        <v>0</v>
      </c>
      <c r="CK14" s="30" t="n">
        <f aca="false">CH14+CI14-CJ14</f>
        <v>0</v>
      </c>
    </row>
    <row r="15" customFormat="false" ht="15" hidden="false" customHeight="false" outlineLevel="0" collapsed="false">
      <c r="A15" s="0" t="n">
        <v>7</v>
      </c>
      <c r="B15" s="29" t="n">
        <f aca="false">'1 Your debts'!$B$16-(L15+V15+AF15+AP15+AZ15+BJ15+BT15+CD15)</f>
        <v>200</v>
      </c>
      <c r="C15" s="34" t="n">
        <f aca="false">O15+Y15+AI15+AS15+BC15+BM15+BW15+CG15</f>
        <v>22089.1432270535</v>
      </c>
      <c r="D15" s="34" t="n">
        <f aca="false">K15+U15+AE15+AO15+AY15+BI15+BS15+CC15</f>
        <v>183.088015074962</v>
      </c>
      <c r="F15" s="34" t="n">
        <f aca="false">S15+AC15+AM15+AW15+BG15+BQ15+CA15+CK15</f>
        <v>23579.7080066527</v>
      </c>
      <c r="G15" s="34" t="n">
        <f aca="false">Q15+AA15+AK15+AU15+BE15+BO15+BY15+CI15</f>
        <v>209.415751499083</v>
      </c>
      <c r="J15" s="34" t="n">
        <f aca="false">O14</f>
        <v>2824.92097406457</v>
      </c>
      <c r="K15" s="34" t="n">
        <f aca="false">J15*$J$5/12</f>
        <v>58.8289792848947</v>
      </c>
      <c r="L15" s="29" t="n">
        <f aca="false">MIN($J$6,J15+K15)</f>
        <v>105</v>
      </c>
      <c r="M15" s="30" t="n">
        <f aca="false">MAX(0,MIN($B15,J15+K15-L15))</f>
        <v>200</v>
      </c>
      <c r="N15" s="29" t="n">
        <f aca="false">$B15-M15</f>
        <v>0</v>
      </c>
      <c r="O15" s="34" t="n">
        <f aca="false">J15+K15-L15-M15</f>
        <v>2578.74995334946</v>
      </c>
      <c r="P15" s="34" t="n">
        <f aca="false">S14</f>
        <v>4089.15801723963</v>
      </c>
      <c r="Q15" s="34" t="n">
        <f aca="false">P15*$J$5/12</f>
        <v>85.1567157090153</v>
      </c>
      <c r="R15" s="29" t="n">
        <f aca="false">MIN($J$6,P15+Q15)</f>
        <v>105</v>
      </c>
      <c r="S15" s="34" t="n">
        <f aca="false">P15+Q15-R15</f>
        <v>4069.31473294864</v>
      </c>
      <c r="T15" s="34" t="n">
        <f aca="false">Y14</f>
        <v>1706.07374550234</v>
      </c>
      <c r="U15" s="34" t="n">
        <f aca="false">T15*$T$5/12</f>
        <v>28.4203451438264</v>
      </c>
      <c r="V15" s="29" t="n">
        <f aca="false">MIN($T$6,T15+U15)</f>
        <v>45</v>
      </c>
      <c r="W15" s="30" t="n">
        <f aca="false">MAX(0,MIN(N15,T15+U15-V15))</f>
        <v>0</v>
      </c>
      <c r="X15" s="29" t="n">
        <f aca="false">N15-W15</f>
        <v>0</v>
      </c>
      <c r="Y15" s="34" t="n">
        <f aca="false">T15+U15-V15-W15</f>
        <v>1689.49409064616</v>
      </c>
      <c r="Z15" s="34" t="n">
        <f aca="false">AC14</f>
        <v>1706.07374550234</v>
      </c>
      <c r="AA15" s="34" t="n">
        <f aca="false">Z15*$T$5/12</f>
        <v>28.4203451438264</v>
      </c>
      <c r="AB15" s="29" t="n">
        <f aca="false">MIN($T$6,Z15+AA15)</f>
        <v>45</v>
      </c>
      <c r="AC15" s="34" t="n">
        <f aca="false">Z15+AA15-AB15</f>
        <v>1689.49409064616</v>
      </c>
      <c r="AD15" s="34" t="n">
        <f aca="false">AI14</f>
        <v>6520.24836134407</v>
      </c>
      <c r="AE15" s="34" t="n">
        <f aca="false">AD15*$AD$5/12</f>
        <v>42.9249683788484</v>
      </c>
      <c r="AF15" s="29" t="n">
        <f aca="false">MIN($AD$6,AD15+AE15)</f>
        <v>210</v>
      </c>
      <c r="AG15" s="30" t="n">
        <f aca="false">MAX(0,MIN(X15,AD15+AE15-AF15))</f>
        <v>0</v>
      </c>
      <c r="AH15" s="29" t="n">
        <f aca="false">X15-AG15</f>
        <v>0</v>
      </c>
      <c r="AI15" s="34" t="n">
        <f aca="false">AD15+AE15-AF15-AG15</f>
        <v>6353.17332972292</v>
      </c>
      <c r="AJ15" s="34" t="n">
        <f aca="false">AM14</f>
        <v>6520.24836134407</v>
      </c>
      <c r="AK15" s="34" t="n">
        <f aca="false">AJ15*$AD$5/12</f>
        <v>42.9249683788484</v>
      </c>
      <c r="AL15" s="29" t="n">
        <f aca="false">MIN($AD$6,AJ15+AK15)</f>
        <v>210</v>
      </c>
      <c r="AM15" s="34" t="n">
        <f aca="false">AJ15+AK15-AL15</f>
        <v>6353.17332972292</v>
      </c>
      <c r="AN15" s="34" t="n">
        <f aca="false">AS14</f>
        <v>11544.8121310675</v>
      </c>
      <c r="AO15" s="34" t="n">
        <f aca="false">AN15*$AN$5/12</f>
        <v>52.9137222673929</v>
      </c>
      <c r="AP15" s="29" t="n">
        <f aca="false">MIN($AN$6,AN15+AO15)</f>
        <v>130</v>
      </c>
      <c r="AQ15" s="30" t="n">
        <f aca="false">MAX(0,MIN(AH15,AN15+AO15-AP15))</f>
        <v>0</v>
      </c>
      <c r="AR15" s="29" t="n">
        <f aca="false">AH15-AQ15</f>
        <v>0</v>
      </c>
      <c r="AS15" s="34" t="n">
        <f aca="false">AN15+AO15-AP15-AQ15</f>
        <v>11467.7258533349</v>
      </c>
      <c r="AT15" s="34" t="n">
        <f aca="false">AW14</f>
        <v>11544.8121310675</v>
      </c>
      <c r="AU15" s="34" t="n">
        <f aca="false">AT15*$AN$5/12</f>
        <v>52.9137222673929</v>
      </c>
      <c r="AV15" s="29" t="n">
        <f aca="false">MIN($AN$6,AT15+AU15)</f>
        <v>130</v>
      </c>
      <c r="AW15" s="34" t="n">
        <f aca="false">AT15+AU15-AV15</f>
        <v>11467.7258533349</v>
      </c>
      <c r="AX15" s="30" t="n">
        <f aca="false">BC14</f>
        <v>0</v>
      </c>
      <c r="AY15" s="30" t="n">
        <f aca="false">AX15*$AX$5/12</f>
        <v>0</v>
      </c>
      <c r="AZ15" s="30" t="n">
        <f aca="false">MIN($AX$6,AX15+AY15)</f>
        <v>0</v>
      </c>
      <c r="BA15" s="30" t="n">
        <f aca="false">MAX(0,MIN(AR15,AX15+AY15-AZ15))</f>
        <v>0</v>
      </c>
      <c r="BB15" s="29" t="n">
        <f aca="false">AR15-BA15</f>
        <v>0</v>
      </c>
      <c r="BC15" s="30" t="n">
        <f aca="false">AX15+AY15-AZ15-BA15</f>
        <v>0</v>
      </c>
      <c r="BD15" s="30" t="n">
        <f aca="false">BG14</f>
        <v>0</v>
      </c>
      <c r="BE15" s="30" t="n">
        <f aca="false">BD15*$AX$5/12</f>
        <v>0</v>
      </c>
      <c r="BF15" s="30" t="n">
        <f aca="false">MIN($AX$6,BD15+BE15)</f>
        <v>0</v>
      </c>
      <c r="BG15" s="30" t="n">
        <f aca="false">BD15+BE15-BF15</f>
        <v>0</v>
      </c>
      <c r="BH15" s="30" t="n">
        <f aca="false">BM14</f>
        <v>0</v>
      </c>
      <c r="BI15" s="30" t="n">
        <f aca="false">BH15*$BH$5/12</f>
        <v>0</v>
      </c>
      <c r="BJ15" s="30" t="n">
        <f aca="false">MIN($BH$6,BH15+BI15)</f>
        <v>0</v>
      </c>
      <c r="BK15" s="30" t="n">
        <f aca="false">MAX(0,MIN(BB15,BH15+BI15-BJ15))</f>
        <v>0</v>
      </c>
      <c r="BL15" s="29" t="n">
        <f aca="false">BB15-BK15</f>
        <v>0</v>
      </c>
      <c r="BM15" s="30" t="n">
        <f aca="false">BH15+BI15-BJ15-BK15</f>
        <v>0</v>
      </c>
      <c r="BN15" s="30" t="n">
        <f aca="false">BQ14</f>
        <v>0</v>
      </c>
      <c r="BO15" s="30" t="n">
        <f aca="false">BN15*$BH$5/12</f>
        <v>0</v>
      </c>
      <c r="BP15" s="30" t="n">
        <f aca="false">MIN($BH$6,BN15+BO15)</f>
        <v>0</v>
      </c>
      <c r="BQ15" s="30" t="n">
        <f aca="false">BN15+BO15-BP15</f>
        <v>0</v>
      </c>
      <c r="BR15" s="30" t="n">
        <f aca="false">BW14</f>
        <v>0</v>
      </c>
      <c r="BS15" s="30" t="n">
        <f aca="false">BR15*$BR$5/12</f>
        <v>0</v>
      </c>
      <c r="BT15" s="30" t="n">
        <f aca="false">MIN($BR$6,BR15+BS15)</f>
        <v>0</v>
      </c>
      <c r="BU15" s="30" t="n">
        <f aca="false">MAX(0,MIN(BL15,BR15+BS15-BT15))</f>
        <v>0</v>
      </c>
      <c r="BV15" s="29" t="n">
        <f aca="false">BL15-BU15</f>
        <v>0</v>
      </c>
      <c r="BW15" s="30" t="n">
        <f aca="false">BR15+BS15-BT15-BU15</f>
        <v>0</v>
      </c>
      <c r="BX15" s="30" t="n">
        <f aca="false">CA14</f>
        <v>0</v>
      </c>
      <c r="BY15" s="30" t="n">
        <f aca="false">BX15*$BR$5/12</f>
        <v>0</v>
      </c>
      <c r="BZ15" s="30" t="n">
        <f aca="false">MIN($BR$6,BX15+BY15)</f>
        <v>0</v>
      </c>
      <c r="CA15" s="30" t="n">
        <f aca="false">BX15+BY15-BZ15</f>
        <v>0</v>
      </c>
      <c r="CB15" s="30" t="n">
        <f aca="false">CG14</f>
        <v>0</v>
      </c>
      <c r="CC15" s="30" t="n">
        <f aca="false">CB15*$CB$5/12</f>
        <v>0</v>
      </c>
      <c r="CD15" s="30" t="n">
        <f aca="false">MIN($CB$6,CB15+CC15)</f>
        <v>0</v>
      </c>
      <c r="CE15" s="30" t="n">
        <f aca="false">MAX(0,MIN(BV15,CB15+CC15-CD15))</f>
        <v>0</v>
      </c>
      <c r="CF15" s="29" t="n">
        <f aca="false">BV15-CE15</f>
        <v>0</v>
      </c>
      <c r="CG15" s="30" t="n">
        <f aca="false">CB15+CC15-CD15-CE15</f>
        <v>0</v>
      </c>
      <c r="CH15" s="30" t="n">
        <f aca="false">CK14</f>
        <v>0</v>
      </c>
      <c r="CI15" s="30" t="n">
        <f aca="false">CH15*$CB$5/12</f>
        <v>0</v>
      </c>
      <c r="CJ15" s="30" t="n">
        <f aca="false">MIN($CB$6,CH15+CI15)</f>
        <v>0</v>
      </c>
      <c r="CK15" s="30" t="n">
        <f aca="false">CH15+CI15-CJ15</f>
        <v>0</v>
      </c>
    </row>
    <row r="16" customFormat="false" ht="15" hidden="false" customHeight="false" outlineLevel="0" collapsed="false">
      <c r="A16" s="0" t="n">
        <v>8</v>
      </c>
      <c r="B16" s="29" t="n">
        <f aca="false">'1 Your debts'!$B$16-(L16+V16+AF16+AP16+AZ16+BJ16+BT16+CD16)</f>
        <v>200</v>
      </c>
      <c r="C16" s="34" t="n">
        <f aca="false">O16+Y16+AI16+AS16+BC16+BM16+BW16+CG16</f>
        <v>21575.3753184738</v>
      </c>
      <c r="D16" s="34" t="n">
        <f aca="false">K16+U16+AE16+AO16+AY16+BI16+BS16+CC16</f>
        <v>176.232091420311</v>
      </c>
      <c r="F16" s="34" t="n">
        <f aca="false">S16+AC16+AM16+AW16+BG16+BQ16+CA16+CK16</f>
        <v>23296.9811096081</v>
      </c>
      <c r="G16" s="34" t="n">
        <f aca="false">Q16+AA16+AK16+AU16+BE16+BO16+BY16+CI16</f>
        <v>207.273102955464</v>
      </c>
      <c r="J16" s="34" t="n">
        <f aca="false">O15</f>
        <v>2578.74995334946</v>
      </c>
      <c r="K16" s="34" t="n">
        <f aca="false">J16*$J$5/12</f>
        <v>53.7024677785026</v>
      </c>
      <c r="L16" s="29" t="n">
        <f aca="false">MIN($J$6,J16+K16)</f>
        <v>105</v>
      </c>
      <c r="M16" s="30" t="n">
        <f aca="false">MAX(0,MIN($B16,J16+K16-L16))</f>
        <v>200</v>
      </c>
      <c r="N16" s="29" t="n">
        <f aca="false">$B16-M16</f>
        <v>0</v>
      </c>
      <c r="O16" s="34" t="n">
        <f aca="false">J16+K16-L16-M16</f>
        <v>2327.45242112797</v>
      </c>
      <c r="P16" s="34" t="n">
        <f aca="false">S15</f>
        <v>4069.31473294864</v>
      </c>
      <c r="Q16" s="34" t="n">
        <f aca="false">P16*$J$5/12</f>
        <v>84.7434793136555</v>
      </c>
      <c r="R16" s="29" t="n">
        <f aca="false">MIN($J$6,P16+Q16)</f>
        <v>105</v>
      </c>
      <c r="S16" s="34" t="n">
        <f aca="false">P16+Q16-R16</f>
        <v>4049.0582122623</v>
      </c>
      <c r="T16" s="34" t="n">
        <f aca="false">Y15</f>
        <v>1689.49409064616</v>
      </c>
      <c r="U16" s="34" t="n">
        <f aca="false">T16*$T$5/12</f>
        <v>28.1441557266806</v>
      </c>
      <c r="V16" s="29" t="n">
        <f aca="false">MIN($T$6,T16+U16)</f>
        <v>45</v>
      </c>
      <c r="W16" s="30" t="n">
        <f aca="false">MAX(0,MIN(N16,T16+U16-V16))</f>
        <v>0</v>
      </c>
      <c r="X16" s="29" t="n">
        <f aca="false">N16-W16</f>
        <v>0</v>
      </c>
      <c r="Y16" s="34" t="n">
        <f aca="false">T16+U16-V16-W16</f>
        <v>1672.63824637284</v>
      </c>
      <c r="Z16" s="34" t="n">
        <f aca="false">AC15</f>
        <v>1689.49409064616</v>
      </c>
      <c r="AA16" s="34" t="n">
        <f aca="false">Z16*$T$5/12</f>
        <v>28.1441557266806</v>
      </c>
      <c r="AB16" s="29" t="n">
        <f aca="false">MIN($T$6,Z16+AA16)</f>
        <v>45</v>
      </c>
      <c r="AC16" s="34" t="n">
        <f aca="false">Z16+AA16-AB16</f>
        <v>1672.63824637284</v>
      </c>
      <c r="AD16" s="34" t="n">
        <f aca="false">AI15</f>
        <v>6353.17332972292</v>
      </c>
      <c r="AE16" s="34" t="n">
        <f aca="false">AD16*$AD$5/12</f>
        <v>41.8250577540092</v>
      </c>
      <c r="AF16" s="29" t="n">
        <f aca="false">MIN($AD$6,AD16+AE16)</f>
        <v>210</v>
      </c>
      <c r="AG16" s="30" t="n">
        <f aca="false">MAX(0,MIN(X16,AD16+AE16-AF16))</f>
        <v>0</v>
      </c>
      <c r="AH16" s="29" t="n">
        <f aca="false">X16-AG16</f>
        <v>0</v>
      </c>
      <c r="AI16" s="34" t="n">
        <f aca="false">AD16+AE16-AF16-AG16</f>
        <v>6184.99838747693</v>
      </c>
      <c r="AJ16" s="34" t="n">
        <f aca="false">AM15</f>
        <v>6353.17332972292</v>
      </c>
      <c r="AK16" s="34" t="n">
        <f aca="false">AJ16*$AD$5/12</f>
        <v>41.8250577540092</v>
      </c>
      <c r="AL16" s="29" t="n">
        <f aca="false">MIN($AD$6,AJ16+AK16)</f>
        <v>210</v>
      </c>
      <c r="AM16" s="34" t="n">
        <f aca="false">AJ16+AK16-AL16</f>
        <v>6184.99838747693</v>
      </c>
      <c r="AN16" s="34" t="n">
        <f aca="false">AS15</f>
        <v>11467.7258533349</v>
      </c>
      <c r="AO16" s="34" t="n">
        <f aca="false">AN16*$AN$5/12</f>
        <v>52.5604101611185</v>
      </c>
      <c r="AP16" s="29" t="n">
        <f aca="false">MIN($AN$6,AN16+AO16)</f>
        <v>130</v>
      </c>
      <c r="AQ16" s="30" t="n">
        <f aca="false">MAX(0,MIN(AH16,AN16+AO16-AP16))</f>
        <v>0</v>
      </c>
      <c r="AR16" s="29" t="n">
        <f aca="false">AH16-AQ16</f>
        <v>0</v>
      </c>
      <c r="AS16" s="34" t="n">
        <f aca="false">AN16+AO16-AP16-AQ16</f>
        <v>11390.2862634961</v>
      </c>
      <c r="AT16" s="34" t="n">
        <f aca="false">AW15</f>
        <v>11467.7258533349</v>
      </c>
      <c r="AU16" s="34" t="n">
        <f aca="false">AT16*$AN$5/12</f>
        <v>52.5604101611185</v>
      </c>
      <c r="AV16" s="29" t="n">
        <f aca="false">MIN($AN$6,AT16+AU16)</f>
        <v>130</v>
      </c>
      <c r="AW16" s="34" t="n">
        <f aca="false">AT16+AU16-AV16</f>
        <v>11390.2862634961</v>
      </c>
      <c r="AX16" s="30" t="n">
        <f aca="false">BC15</f>
        <v>0</v>
      </c>
      <c r="AY16" s="30" t="n">
        <f aca="false">AX16*$AX$5/12</f>
        <v>0</v>
      </c>
      <c r="AZ16" s="30" t="n">
        <f aca="false">MIN($AX$6,AX16+AY16)</f>
        <v>0</v>
      </c>
      <c r="BA16" s="30" t="n">
        <f aca="false">MAX(0,MIN(AR16,AX16+AY16-AZ16))</f>
        <v>0</v>
      </c>
      <c r="BB16" s="29" t="n">
        <f aca="false">AR16-BA16</f>
        <v>0</v>
      </c>
      <c r="BC16" s="30" t="n">
        <f aca="false">AX16+AY16-AZ16-BA16</f>
        <v>0</v>
      </c>
      <c r="BD16" s="30" t="n">
        <f aca="false">BG15</f>
        <v>0</v>
      </c>
      <c r="BE16" s="30" t="n">
        <f aca="false">BD16*$AX$5/12</f>
        <v>0</v>
      </c>
      <c r="BF16" s="30" t="n">
        <f aca="false">MIN($AX$6,BD16+BE16)</f>
        <v>0</v>
      </c>
      <c r="BG16" s="30" t="n">
        <f aca="false">BD16+BE16-BF16</f>
        <v>0</v>
      </c>
      <c r="BH16" s="30" t="n">
        <f aca="false">BM15</f>
        <v>0</v>
      </c>
      <c r="BI16" s="30" t="n">
        <f aca="false">BH16*$BH$5/12</f>
        <v>0</v>
      </c>
      <c r="BJ16" s="30" t="n">
        <f aca="false">MIN($BH$6,BH16+BI16)</f>
        <v>0</v>
      </c>
      <c r="BK16" s="30" t="n">
        <f aca="false">MAX(0,MIN(BB16,BH16+BI16-BJ16))</f>
        <v>0</v>
      </c>
      <c r="BL16" s="29" t="n">
        <f aca="false">BB16-BK16</f>
        <v>0</v>
      </c>
      <c r="BM16" s="30" t="n">
        <f aca="false">BH16+BI16-BJ16-BK16</f>
        <v>0</v>
      </c>
      <c r="BN16" s="30" t="n">
        <f aca="false">BQ15</f>
        <v>0</v>
      </c>
      <c r="BO16" s="30" t="n">
        <f aca="false">BN16*$BH$5/12</f>
        <v>0</v>
      </c>
      <c r="BP16" s="30" t="n">
        <f aca="false">MIN($BH$6,BN16+BO16)</f>
        <v>0</v>
      </c>
      <c r="BQ16" s="30" t="n">
        <f aca="false">BN16+BO16-BP16</f>
        <v>0</v>
      </c>
      <c r="BR16" s="30" t="n">
        <f aca="false">BW15</f>
        <v>0</v>
      </c>
      <c r="BS16" s="30" t="n">
        <f aca="false">BR16*$BR$5/12</f>
        <v>0</v>
      </c>
      <c r="BT16" s="30" t="n">
        <f aca="false">MIN($BR$6,BR16+BS16)</f>
        <v>0</v>
      </c>
      <c r="BU16" s="30" t="n">
        <f aca="false">MAX(0,MIN(BL16,BR16+BS16-BT16))</f>
        <v>0</v>
      </c>
      <c r="BV16" s="29" t="n">
        <f aca="false">BL16-BU16</f>
        <v>0</v>
      </c>
      <c r="BW16" s="30" t="n">
        <f aca="false">BR16+BS16-BT16-BU16</f>
        <v>0</v>
      </c>
      <c r="BX16" s="30" t="n">
        <f aca="false">CA15</f>
        <v>0</v>
      </c>
      <c r="BY16" s="30" t="n">
        <f aca="false">BX16*$BR$5/12</f>
        <v>0</v>
      </c>
      <c r="BZ16" s="30" t="n">
        <f aca="false">MIN($BR$6,BX16+BY16)</f>
        <v>0</v>
      </c>
      <c r="CA16" s="30" t="n">
        <f aca="false">BX16+BY16-BZ16</f>
        <v>0</v>
      </c>
      <c r="CB16" s="30" t="n">
        <f aca="false">CG15</f>
        <v>0</v>
      </c>
      <c r="CC16" s="30" t="n">
        <f aca="false">CB16*$CB$5/12</f>
        <v>0</v>
      </c>
      <c r="CD16" s="30" t="n">
        <f aca="false">MIN($CB$6,CB16+CC16)</f>
        <v>0</v>
      </c>
      <c r="CE16" s="30" t="n">
        <f aca="false">MAX(0,MIN(BV16,CB16+CC16-CD16))</f>
        <v>0</v>
      </c>
      <c r="CF16" s="29" t="n">
        <f aca="false">BV16-CE16</f>
        <v>0</v>
      </c>
      <c r="CG16" s="30" t="n">
        <f aca="false">CB16+CC16-CD16-CE16</f>
        <v>0</v>
      </c>
      <c r="CH16" s="30" t="n">
        <f aca="false">CK15</f>
        <v>0</v>
      </c>
      <c r="CI16" s="30" t="n">
        <f aca="false">CH16*$CB$5/12</f>
        <v>0</v>
      </c>
      <c r="CJ16" s="30" t="n">
        <f aca="false">MIN($CB$6,CH16+CI16)</f>
        <v>0</v>
      </c>
      <c r="CK16" s="30" t="n">
        <f aca="false">CH16+CI16-CJ16</f>
        <v>0</v>
      </c>
    </row>
    <row r="17" customFormat="false" ht="15" hidden="false" customHeight="false" outlineLevel="0" collapsed="false">
      <c r="A17" s="0" t="n">
        <v>9</v>
      </c>
      <c r="B17" s="29" t="n">
        <f aca="false">'1 Your debts'!$B$16-(L17+V17+AF17+AP17+AZ17+BJ17+BT17+CD17)</f>
        <v>200</v>
      </c>
      <c r="C17" s="34" t="n">
        <f aca="false">O17+Y17+AI17+AS17+BC17+BM17+BW17+CG17</f>
        <v>21054.6312653565</v>
      </c>
      <c r="D17" s="34" t="n">
        <f aca="false">K17+U17+AE17+AO17+AY17+BI17+BS17+CC17</f>
        <v>169.255946882731</v>
      </c>
      <c r="F17" s="34" t="n">
        <f aca="false">S17+AC17+AM17+AW17+BG17+BQ17+CA17+CK17</f>
        <v>23012.0894970912</v>
      </c>
      <c r="G17" s="34" t="n">
        <f aca="false">Q17+AA17+AK17+AU17+BE17+BO17+BY17+CI17</f>
        <v>205.108387483103</v>
      </c>
      <c r="J17" s="34" t="n">
        <f aca="false">O16</f>
        <v>2327.45242112797</v>
      </c>
      <c r="K17" s="34" t="n">
        <f aca="false">J17*$J$5/12</f>
        <v>48.4691966699899</v>
      </c>
      <c r="L17" s="29" t="n">
        <f aca="false">MIN($J$6,J17+K17)</f>
        <v>105</v>
      </c>
      <c r="M17" s="30" t="n">
        <f aca="false">MAX(0,MIN($B17,J17+K17-L17))</f>
        <v>200</v>
      </c>
      <c r="N17" s="29" t="n">
        <f aca="false">$B17-M17</f>
        <v>0</v>
      </c>
      <c r="O17" s="34" t="n">
        <f aca="false">J17+K17-L17-M17</f>
        <v>2070.92161779796</v>
      </c>
      <c r="P17" s="34" t="n">
        <f aca="false">S16</f>
        <v>4049.0582122623</v>
      </c>
      <c r="Q17" s="34" t="n">
        <f aca="false">P17*$J$5/12</f>
        <v>84.3216372703624</v>
      </c>
      <c r="R17" s="29" t="n">
        <f aca="false">MIN($J$6,P17+Q17)</f>
        <v>105</v>
      </c>
      <c r="S17" s="34" t="n">
        <f aca="false">P17+Q17-R17</f>
        <v>4028.37984953266</v>
      </c>
      <c r="T17" s="34" t="n">
        <f aca="false">Y16</f>
        <v>1672.63824637284</v>
      </c>
      <c r="U17" s="34" t="n">
        <f aca="false">T17*$T$5/12</f>
        <v>27.8633654541609</v>
      </c>
      <c r="V17" s="29" t="n">
        <f aca="false">MIN($T$6,T17+U17)</f>
        <v>45</v>
      </c>
      <c r="W17" s="30" t="n">
        <f aca="false">MAX(0,MIN(N17,T17+U17-V17))</f>
        <v>0</v>
      </c>
      <c r="X17" s="29" t="n">
        <f aca="false">N17-W17</f>
        <v>0</v>
      </c>
      <c r="Y17" s="34" t="n">
        <f aca="false">T17+U17-V17-W17</f>
        <v>1655.501611827</v>
      </c>
      <c r="Z17" s="34" t="n">
        <f aca="false">AC16</f>
        <v>1672.63824637284</v>
      </c>
      <c r="AA17" s="34" t="n">
        <f aca="false">Z17*$T$5/12</f>
        <v>27.8633654541609</v>
      </c>
      <c r="AB17" s="29" t="n">
        <f aca="false">MIN($T$6,Z17+AA17)</f>
        <v>45</v>
      </c>
      <c r="AC17" s="34" t="n">
        <f aca="false">Z17+AA17-AB17</f>
        <v>1655.501611827</v>
      </c>
      <c r="AD17" s="34" t="n">
        <f aca="false">AI16</f>
        <v>6184.99838747693</v>
      </c>
      <c r="AE17" s="34" t="n">
        <f aca="false">AD17*$AD$5/12</f>
        <v>40.7179060508898</v>
      </c>
      <c r="AF17" s="29" t="n">
        <f aca="false">MIN($AD$6,AD17+AE17)</f>
        <v>210</v>
      </c>
      <c r="AG17" s="30" t="n">
        <f aca="false">MAX(0,MIN(X17,AD17+AE17-AF17))</f>
        <v>0</v>
      </c>
      <c r="AH17" s="29" t="n">
        <f aca="false">X17-AG17</f>
        <v>0</v>
      </c>
      <c r="AI17" s="34" t="n">
        <f aca="false">AD17+AE17-AF17-AG17</f>
        <v>6015.71629352782</v>
      </c>
      <c r="AJ17" s="34" t="n">
        <f aca="false">AM16</f>
        <v>6184.99838747693</v>
      </c>
      <c r="AK17" s="34" t="n">
        <f aca="false">AJ17*$AD$5/12</f>
        <v>40.7179060508898</v>
      </c>
      <c r="AL17" s="29" t="n">
        <f aca="false">MIN($AD$6,AJ17+AK17)</f>
        <v>210</v>
      </c>
      <c r="AM17" s="34" t="n">
        <f aca="false">AJ17+AK17-AL17</f>
        <v>6015.71629352782</v>
      </c>
      <c r="AN17" s="34" t="n">
        <f aca="false">AS16</f>
        <v>11390.2862634961</v>
      </c>
      <c r="AO17" s="34" t="n">
        <f aca="false">AN17*$AN$5/12</f>
        <v>52.2054787076903</v>
      </c>
      <c r="AP17" s="29" t="n">
        <f aca="false">MIN($AN$6,AN17+AO17)</f>
        <v>130</v>
      </c>
      <c r="AQ17" s="30" t="n">
        <f aca="false">MAX(0,MIN(AH17,AN17+AO17-AP17))</f>
        <v>0</v>
      </c>
      <c r="AR17" s="29" t="n">
        <f aca="false">AH17-AQ17</f>
        <v>0</v>
      </c>
      <c r="AS17" s="34" t="n">
        <f aca="false">AN17+AO17-AP17-AQ17</f>
        <v>11312.4917422037</v>
      </c>
      <c r="AT17" s="34" t="n">
        <f aca="false">AW16</f>
        <v>11390.2862634961</v>
      </c>
      <c r="AU17" s="34" t="n">
        <f aca="false">AT17*$AN$5/12</f>
        <v>52.2054787076903</v>
      </c>
      <c r="AV17" s="29" t="n">
        <f aca="false">MIN($AN$6,AT17+AU17)</f>
        <v>130</v>
      </c>
      <c r="AW17" s="34" t="n">
        <f aca="false">AT17+AU17-AV17</f>
        <v>11312.4917422037</v>
      </c>
      <c r="AX17" s="30" t="n">
        <f aca="false">BC16</f>
        <v>0</v>
      </c>
      <c r="AY17" s="30" t="n">
        <f aca="false">AX17*$AX$5/12</f>
        <v>0</v>
      </c>
      <c r="AZ17" s="30" t="n">
        <f aca="false">MIN($AX$6,AX17+AY17)</f>
        <v>0</v>
      </c>
      <c r="BA17" s="30" t="n">
        <f aca="false">MAX(0,MIN(AR17,AX17+AY17-AZ17))</f>
        <v>0</v>
      </c>
      <c r="BB17" s="29" t="n">
        <f aca="false">AR17-BA17</f>
        <v>0</v>
      </c>
      <c r="BC17" s="30" t="n">
        <f aca="false">AX17+AY17-AZ17-BA17</f>
        <v>0</v>
      </c>
      <c r="BD17" s="30" t="n">
        <f aca="false">BG16</f>
        <v>0</v>
      </c>
      <c r="BE17" s="30" t="n">
        <f aca="false">BD17*$AX$5/12</f>
        <v>0</v>
      </c>
      <c r="BF17" s="30" t="n">
        <f aca="false">MIN($AX$6,BD17+BE17)</f>
        <v>0</v>
      </c>
      <c r="BG17" s="30" t="n">
        <f aca="false">BD17+BE17-BF17</f>
        <v>0</v>
      </c>
      <c r="BH17" s="30" t="n">
        <f aca="false">BM16</f>
        <v>0</v>
      </c>
      <c r="BI17" s="30" t="n">
        <f aca="false">BH17*$BH$5/12</f>
        <v>0</v>
      </c>
      <c r="BJ17" s="30" t="n">
        <f aca="false">MIN($BH$6,BH17+BI17)</f>
        <v>0</v>
      </c>
      <c r="BK17" s="30" t="n">
        <f aca="false">MAX(0,MIN(BB17,BH17+BI17-BJ17))</f>
        <v>0</v>
      </c>
      <c r="BL17" s="29" t="n">
        <f aca="false">BB17-BK17</f>
        <v>0</v>
      </c>
      <c r="BM17" s="30" t="n">
        <f aca="false">BH17+BI17-BJ17-BK17</f>
        <v>0</v>
      </c>
      <c r="BN17" s="30" t="n">
        <f aca="false">BQ16</f>
        <v>0</v>
      </c>
      <c r="BO17" s="30" t="n">
        <f aca="false">BN17*$BH$5/12</f>
        <v>0</v>
      </c>
      <c r="BP17" s="30" t="n">
        <f aca="false">MIN($BH$6,BN17+BO17)</f>
        <v>0</v>
      </c>
      <c r="BQ17" s="30" t="n">
        <f aca="false">BN17+BO17-BP17</f>
        <v>0</v>
      </c>
      <c r="BR17" s="30" t="n">
        <f aca="false">BW16</f>
        <v>0</v>
      </c>
      <c r="BS17" s="30" t="n">
        <f aca="false">BR17*$BR$5/12</f>
        <v>0</v>
      </c>
      <c r="BT17" s="30" t="n">
        <f aca="false">MIN($BR$6,BR17+BS17)</f>
        <v>0</v>
      </c>
      <c r="BU17" s="30" t="n">
        <f aca="false">MAX(0,MIN(BL17,BR17+BS17-BT17))</f>
        <v>0</v>
      </c>
      <c r="BV17" s="29" t="n">
        <f aca="false">BL17-BU17</f>
        <v>0</v>
      </c>
      <c r="BW17" s="30" t="n">
        <f aca="false">BR17+BS17-BT17-BU17</f>
        <v>0</v>
      </c>
      <c r="BX17" s="30" t="n">
        <f aca="false">CA16</f>
        <v>0</v>
      </c>
      <c r="BY17" s="30" t="n">
        <f aca="false">BX17*$BR$5/12</f>
        <v>0</v>
      </c>
      <c r="BZ17" s="30" t="n">
        <f aca="false">MIN($BR$6,BX17+BY17)</f>
        <v>0</v>
      </c>
      <c r="CA17" s="30" t="n">
        <f aca="false">BX17+BY17-BZ17</f>
        <v>0</v>
      </c>
      <c r="CB17" s="30" t="n">
        <f aca="false">CG16</f>
        <v>0</v>
      </c>
      <c r="CC17" s="30" t="n">
        <f aca="false">CB17*$CB$5/12</f>
        <v>0</v>
      </c>
      <c r="CD17" s="30" t="n">
        <f aca="false">MIN($CB$6,CB17+CC17)</f>
        <v>0</v>
      </c>
      <c r="CE17" s="30" t="n">
        <f aca="false">MAX(0,MIN(BV17,CB17+CC17-CD17))</f>
        <v>0</v>
      </c>
      <c r="CF17" s="29" t="n">
        <f aca="false">BV17-CE17</f>
        <v>0</v>
      </c>
      <c r="CG17" s="30" t="n">
        <f aca="false">CB17+CC17-CD17-CE17</f>
        <v>0</v>
      </c>
      <c r="CH17" s="30" t="n">
        <f aca="false">CK16</f>
        <v>0</v>
      </c>
      <c r="CI17" s="30" t="n">
        <f aca="false">CH17*$CB$5/12</f>
        <v>0</v>
      </c>
      <c r="CJ17" s="30" t="n">
        <f aca="false">MIN($CB$6,CH17+CI17)</f>
        <v>0</v>
      </c>
      <c r="CK17" s="30" t="n">
        <f aca="false">CH17+CI17-CJ17</f>
        <v>0</v>
      </c>
    </row>
    <row r="18" customFormat="false" ht="15" hidden="false" customHeight="false" outlineLevel="0" collapsed="false">
      <c r="A18" s="0" t="n">
        <v>10</v>
      </c>
      <c r="B18" s="29" t="n">
        <f aca="false">'1 Your debts'!$B$16-(L18+V18+AF18+AP18+AZ18+BJ18+BT18+CD18)</f>
        <v>200</v>
      </c>
      <c r="C18" s="34" t="n">
        <f aca="false">O18+Y18+AI18+AS18+BC18+BM18+BW18+CG18</f>
        <v>20526.788491815</v>
      </c>
      <c r="D18" s="34" t="n">
        <f aca="false">K18+U18+AE18+AO18+AY18+BI18+BS18+CC18</f>
        <v>162.157226458486</v>
      </c>
      <c r="F18" s="34" t="n">
        <f aca="false">S18+AC18+AM18+AW18+BG18+BQ18+CA18+CK18</f>
        <v>22725.0107912256</v>
      </c>
      <c r="G18" s="34" t="n">
        <f aca="false">Q18+AA18+AK18+AU18+BE18+BO18+BY18+CI18</f>
        <v>202.921294134361</v>
      </c>
      <c r="J18" s="34" t="n">
        <f aca="false">O17</f>
        <v>2070.92161779796</v>
      </c>
      <c r="K18" s="34" t="n">
        <f aca="false">J18*$J$5/12</f>
        <v>43.1269426906425</v>
      </c>
      <c r="L18" s="29" t="n">
        <f aca="false">MIN($J$6,J18+K18)</f>
        <v>105</v>
      </c>
      <c r="M18" s="30" t="n">
        <f aca="false">MAX(0,MIN($B18,J18+K18-L18))</f>
        <v>200</v>
      </c>
      <c r="N18" s="29" t="n">
        <f aca="false">$B18-M18</f>
        <v>0</v>
      </c>
      <c r="O18" s="34" t="n">
        <f aca="false">J18+K18-L18-M18</f>
        <v>1809.0485604886</v>
      </c>
      <c r="P18" s="34" t="n">
        <f aca="false">S17</f>
        <v>4028.37984953266</v>
      </c>
      <c r="Q18" s="34" t="n">
        <f aca="false">P18*$J$5/12</f>
        <v>83.8910103665177</v>
      </c>
      <c r="R18" s="29" t="n">
        <f aca="false">MIN($J$6,P18+Q18)</f>
        <v>105</v>
      </c>
      <c r="S18" s="34" t="n">
        <f aca="false">P18+Q18-R18</f>
        <v>4007.27085989918</v>
      </c>
      <c r="T18" s="34" t="n">
        <f aca="false">Y17</f>
        <v>1655.501611827</v>
      </c>
      <c r="U18" s="34" t="n">
        <f aca="false">T18*$T$5/12</f>
        <v>27.5778976836848</v>
      </c>
      <c r="V18" s="29" t="n">
        <f aca="false">MIN($T$6,T18+U18)</f>
        <v>45</v>
      </c>
      <c r="W18" s="30" t="n">
        <f aca="false">MAX(0,MIN(N18,T18+U18-V18))</f>
        <v>0</v>
      </c>
      <c r="X18" s="29" t="n">
        <f aca="false">N18-W18</f>
        <v>0</v>
      </c>
      <c r="Y18" s="34" t="n">
        <f aca="false">T18+U18-V18-W18</f>
        <v>1638.07950951069</v>
      </c>
      <c r="Z18" s="34" t="n">
        <f aca="false">AC17</f>
        <v>1655.501611827</v>
      </c>
      <c r="AA18" s="34" t="n">
        <f aca="false">Z18*$T$5/12</f>
        <v>27.5778976836848</v>
      </c>
      <c r="AB18" s="29" t="n">
        <f aca="false">MIN($T$6,Z18+AA18)</f>
        <v>45</v>
      </c>
      <c r="AC18" s="34" t="n">
        <f aca="false">Z18+AA18-AB18</f>
        <v>1638.07950951069</v>
      </c>
      <c r="AD18" s="34" t="n">
        <f aca="false">AI17</f>
        <v>6015.71629352782</v>
      </c>
      <c r="AE18" s="34" t="n">
        <f aca="false">AD18*$AD$5/12</f>
        <v>39.6034655990581</v>
      </c>
      <c r="AF18" s="29" t="n">
        <f aca="false">MIN($AD$6,AD18+AE18)</f>
        <v>210</v>
      </c>
      <c r="AG18" s="30" t="n">
        <f aca="false">MAX(0,MIN(X18,AD18+AE18-AF18))</f>
        <v>0</v>
      </c>
      <c r="AH18" s="29" t="n">
        <f aca="false">X18-AG18</f>
        <v>0</v>
      </c>
      <c r="AI18" s="34" t="n">
        <f aca="false">AD18+AE18-AF18-AG18</f>
        <v>5845.31975912687</v>
      </c>
      <c r="AJ18" s="34" t="n">
        <f aca="false">AM17</f>
        <v>6015.71629352782</v>
      </c>
      <c r="AK18" s="34" t="n">
        <f aca="false">AJ18*$AD$5/12</f>
        <v>39.6034655990581</v>
      </c>
      <c r="AL18" s="29" t="n">
        <f aca="false">MIN($AD$6,AJ18+AK18)</f>
        <v>210</v>
      </c>
      <c r="AM18" s="34" t="n">
        <f aca="false">AJ18+AK18-AL18</f>
        <v>5845.31975912687</v>
      </c>
      <c r="AN18" s="34" t="n">
        <f aca="false">AS17</f>
        <v>11312.4917422037</v>
      </c>
      <c r="AO18" s="34" t="n">
        <f aca="false">AN18*$AN$5/12</f>
        <v>51.8489204851005</v>
      </c>
      <c r="AP18" s="29" t="n">
        <f aca="false">MIN($AN$6,AN18+AO18)</f>
        <v>130</v>
      </c>
      <c r="AQ18" s="30" t="n">
        <f aca="false">MAX(0,MIN(AH18,AN18+AO18-AP18))</f>
        <v>0</v>
      </c>
      <c r="AR18" s="29" t="n">
        <f aca="false">AH18-AQ18</f>
        <v>0</v>
      </c>
      <c r="AS18" s="34" t="n">
        <f aca="false">AN18+AO18-AP18-AQ18</f>
        <v>11234.3406626888</v>
      </c>
      <c r="AT18" s="34" t="n">
        <f aca="false">AW17</f>
        <v>11312.4917422037</v>
      </c>
      <c r="AU18" s="34" t="n">
        <f aca="false">AT18*$AN$5/12</f>
        <v>51.8489204851005</v>
      </c>
      <c r="AV18" s="29" t="n">
        <f aca="false">MIN($AN$6,AT18+AU18)</f>
        <v>130</v>
      </c>
      <c r="AW18" s="34" t="n">
        <f aca="false">AT18+AU18-AV18</f>
        <v>11234.3406626888</v>
      </c>
      <c r="AX18" s="30" t="n">
        <f aca="false">BC17</f>
        <v>0</v>
      </c>
      <c r="AY18" s="30" t="n">
        <f aca="false">AX18*$AX$5/12</f>
        <v>0</v>
      </c>
      <c r="AZ18" s="30" t="n">
        <f aca="false">MIN($AX$6,AX18+AY18)</f>
        <v>0</v>
      </c>
      <c r="BA18" s="30" t="n">
        <f aca="false">MAX(0,MIN(AR18,AX18+AY18-AZ18))</f>
        <v>0</v>
      </c>
      <c r="BB18" s="29" t="n">
        <f aca="false">AR18-BA18</f>
        <v>0</v>
      </c>
      <c r="BC18" s="30" t="n">
        <f aca="false">AX18+AY18-AZ18-BA18</f>
        <v>0</v>
      </c>
      <c r="BD18" s="30" t="n">
        <f aca="false">BG17</f>
        <v>0</v>
      </c>
      <c r="BE18" s="30" t="n">
        <f aca="false">BD18*$AX$5/12</f>
        <v>0</v>
      </c>
      <c r="BF18" s="30" t="n">
        <f aca="false">MIN($AX$6,BD18+BE18)</f>
        <v>0</v>
      </c>
      <c r="BG18" s="30" t="n">
        <f aca="false">BD18+BE18-BF18</f>
        <v>0</v>
      </c>
      <c r="BH18" s="30" t="n">
        <f aca="false">BM17</f>
        <v>0</v>
      </c>
      <c r="BI18" s="30" t="n">
        <f aca="false">BH18*$BH$5/12</f>
        <v>0</v>
      </c>
      <c r="BJ18" s="30" t="n">
        <f aca="false">MIN($BH$6,BH18+BI18)</f>
        <v>0</v>
      </c>
      <c r="BK18" s="30" t="n">
        <f aca="false">MAX(0,MIN(BB18,BH18+BI18-BJ18))</f>
        <v>0</v>
      </c>
      <c r="BL18" s="29" t="n">
        <f aca="false">BB18-BK18</f>
        <v>0</v>
      </c>
      <c r="BM18" s="30" t="n">
        <f aca="false">BH18+BI18-BJ18-BK18</f>
        <v>0</v>
      </c>
      <c r="BN18" s="30" t="n">
        <f aca="false">BQ17</f>
        <v>0</v>
      </c>
      <c r="BO18" s="30" t="n">
        <f aca="false">BN18*$BH$5/12</f>
        <v>0</v>
      </c>
      <c r="BP18" s="30" t="n">
        <f aca="false">MIN($BH$6,BN18+BO18)</f>
        <v>0</v>
      </c>
      <c r="BQ18" s="30" t="n">
        <f aca="false">BN18+BO18-BP18</f>
        <v>0</v>
      </c>
      <c r="BR18" s="30" t="n">
        <f aca="false">BW17</f>
        <v>0</v>
      </c>
      <c r="BS18" s="30" t="n">
        <f aca="false">BR18*$BR$5/12</f>
        <v>0</v>
      </c>
      <c r="BT18" s="30" t="n">
        <f aca="false">MIN($BR$6,BR18+BS18)</f>
        <v>0</v>
      </c>
      <c r="BU18" s="30" t="n">
        <f aca="false">MAX(0,MIN(BL18,BR18+BS18-BT18))</f>
        <v>0</v>
      </c>
      <c r="BV18" s="29" t="n">
        <f aca="false">BL18-BU18</f>
        <v>0</v>
      </c>
      <c r="BW18" s="30" t="n">
        <f aca="false">BR18+BS18-BT18-BU18</f>
        <v>0</v>
      </c>
      <c r="BX18" s="30" t="n">
        <f aca="false">CA17</f>
        <v>0</v>
      </c>
      <c r="BY18" s="30" t="n">
        <f aca="false">BX18*$BR$5/12</f>
        <v>0</v>
      </c>
      <c r="BZ18" s="30" t="n">
        <f aca="false">MIN($BR$6,BX18+BY18)</f>
        <v>0</v>
      </c>
      <c r="CA18" s="30" t="n">
        <f aca="false">BX18+BY18-BZ18</f>
        <v>0</v>
      </c>
      <c r="CB18" s="30" t="n">
        <f aca="false">CG17</f>
        <v>0</v>
      </c>
      <c r="CC18" s="30" t="n">
        <f aca="false">CB18*$CB$5/12</f>
        <v>0</v>
      </c>
      <c r="CD18" s="30" t="n">
        <f aca="false">MIN($CB$6,CB18+CC18)</f>
        <v>0</v>
      </c>
      <c r="CE18" s="30" t="n">
        <f aca="false">MAX(0,MIN(BV18,CB18+CC18-CD18))</f>
        <v>0</v>
      </c>
      <c r="CF18" s="29" t="n">
        <f aca="false">BV18-CE18</f>
        <v>0</v>
      </c>
      <c r="CG18" s="30" t="n">
        <f aca="false">CB18+CC18-CD18-CE18</f>
        <v>0</v>
      </c>
      <c r="CH18" s="30" t="n">
        <f aca="false">CK17</f>
        <v>0</v>
      </c>
      <c r="CI18" s="30" t="n">
        <f aca="false">CH18*$CB$5/12</f>
        <v>0</v>
      </c>
      <c r="CJ18" s="30" t="n">
        <f aca="false">MIN($CB$6,CH18+CI18)</f>
        <v>0</v>
      </c>
      <c r="CK18" s="30" t="n">
        <f aca="false">CH18+CI18-CJ18</f>
        <v>0</v>
      </c>
    </row>
    <row r="19" customFormat="false" ht="15" hidden="false" customHeight="false" outlineLevel="0" collapsed="false">
      <c r="A19" s="0" t="n">
        <v>11</v>
      </c>
      <c r="B19" s="29" t="n">
        <f aca="false">'1 Your debts'!$B$16-(L19+V19+AF19+AP19+AZ19+BJ19+BT19+CD19)</f>
        <v>200</v>
      </c>
      <c r="C19" s="34" t="n">
        <f aca="false">O19+Y19+AI19+AS19+BC19+BM19+BW19+CG19</f>
        <v>19991.7220190347</v>
      </c>
      <c r="D19" s="34" t="n">
        <f aca="false">K19+U19+AE19+AO19+AY19+BI19+BS19+CC19</f>
        <v>154.933527219683</v>
      </c>
      <c r="F19" s="34" t="n">
        <f aca="false">S19+AC19+AM19+AW19+BG19+BQ19+CA19+CK19</f>
        <v>22435.7222978305</v>
      </c>
      <c r="G19" s="34" t="n">
        <f aca="false">Q19+AA19+AK19+AU19+BE19+BO19+BY19+CI19</f>
        <v>200.711506604908</v>
      </c>
      <c r="J19" s="34" t="n">
        <f aca="false">O18</f>
        <v>1809.0485604886</v>
      </c>
      <c r="K19" s="34" t="n">
        <f aca="false">J19*$J$5/12</f>
        <v>37.6734362721751</v>
      </c>
      <c r="L19" s="29" t="n">
        <f aca="false">MIN($J$6,J19+K19)</f>
        <v>105</v>
      </c>
      <c r="M19" s="30" t="n">
        <f aca="false">MAX(0,MIN($B19,J19+K19-L19))</f>
        <v>200</v>
      </c>
      <c r="N19" s="29" t="n">
        <f aca="false">$B19-M19</f>
        <v>0</v>
      </c>
      <c r="O19" s="34" t="n">
        <f aca="false">J19+K19-L19-M19</f>
        <v>1541.72199676077</v>
      </c>
      <c r="P19" s="34" t="n">
        <f aca="false">S18</f>
        <v>4007.27085989918</v>
      </c>
      <c r="Q19" s="34" t="n">
        <f aca="false">P19*$J$5/12</f>
        <v>83.4514156574004</v>
      </c>
      <c r="R19" s="29" t="n">
        <f aca="false">MIN($J$6,P19+Q19)</f>
        <v>105</v>
      </c>
      <c r="S19" s="34" t="n">
        <f aca="false">P19+Q19-R19</f>
        <v>3985.72227555658</v>
      </c>
      <c r="T19" s="34" t="n">
        <f aca="false">Y18</f>
        <v>1638.07950951069</v>
      </c>
      <c r="U19" s="34" t="n">
        <f aca="false">T19*$T$5/12</f>
        <v>27.2876744959322</v>
      </c>
      <c r="V19" s="29" t="n">
        <f aca="false">MIN($T$6,T19+U19)</f>
        <v>45</v>
      </c>
      <c r="W19" s="30" t="n">
        <f aca="false">MAX(0,MIN(N19,T19+U19-V19))</f>
        <v>0</v>
      </c>
      <c r="X19" s="29" t="n">
        <f aca="false">N19-W19</f>
        <v>0</v>
      </c>
      <c r="Y19" s="34" t="n">
        <f aca="false">T19+U19-V19-W19</f>
        <v>1620.36718400662</v>
      </c>
      <c r="Z19" s="34" t="n">
        <f aca="false">AC18</f>
        <v>1638.07950951069</v>
      </c>
      <c r="AA19" s="34" t="n">
        <f aca="false">Z19*$T$5/12</f>
        <v>27.2876744959322</v>
      </c>
      <c r="AB19" s="29" t="n">
        <f aca="false">MIN($T$6,Z19+AA19)</f>
        <v>45</v>
      </c>
      <c r="AC19" s="34" t="n">
        <f aca="false">Z19+AA19-AB19</f>
        <v>1620.36718400662</v>
      </c>
      <c r="AD19" s="34" t="n">
        <f aca="false">AI18</f>
        <v>5845.31975912687</v>
      </c>
      <c r="AE19" s="34" t="n">
        <f aca="false">AD19*$AD$5/12</f>
        <v>38.4816884142519</v>
      </c>
      <c r="AF19" s="29" t="n">
        <f aca="false">MIN($AD$6,AD19+AE19)</f>
        <v>210</v>
      </c>
      <c r="AG19" s="30" t="n">
        <f aca="false">MAX(0,MIN(X19,AD19+AE19-AF19))</f>
        <v>0</v>
      </c>
      <c r="AH19" s="29" t="n">
        <f aca="false">X19-AG19</f>
        <v>0</v>
      </c>
      <c r="AI19" s="34" t="n">
        <f aca="false">AD19+AE19-AF19-AG19</f>
        <v>5673.80144754113</v>
      </c>
      <c r="AJ19" s="34" t="n">
        <f aca="false">AM18</f>
        <v>5845.31975912687</v>
      </c>
      <c r="AK19" s="34" t="n">
        <f aca="false">AJ19*$AD$5/12</f>
        <v>38.4816884142519</v>
      </c>
      <c r="AL19" s="29" t="n">
        <f aca="false">MIN($AD$6,AJ19+AK19)</f>
        <v>210</v>
      </c>
      <c r="AM19" s="34" t="n">
        <f aca="false">AJ19+AK19-AL19</f>
        <v>5673.80144754113</v>
      </c>
      <c r="AN19" s="34" t="n">
        <f aca="false">AS18</f>
        <v>11234.3406626888</v>
      </c>
      <c r="AO19" s="34" t="n">
        <f aca="false">AN19*$AN$5/12</f>
        <v>51.4907280373239</v>
      </c>
      <c r="AP19" s="29" t="n">
        <f aca="false">MIN($AN$6,AN19+AO19)</f>
        <v>130</v>
      </c>
      <c r="AQ19" s="30" t="n">
        <f aca="false">MAX(0,MIN(AH19,AN19+AO19-AP19))</f>
        <v>0</v>
      </c>
      <c r="AR19" s="29" t="n">
        <f aca="false">AH19-AQ19</f>
        <v>0</v>
      </c>
      <c r="AS19" s="34" t="n">
        <f aca="false">AN19+AO19-AP19-AQ19</f>
        <v>11155.8313907262</v>
      </c>
      <c r="AT19" s="34" t="n">
        <f aca="false">AW18</f>
        <v>11234.3406626888</v>
      </c>
      <c r="AU19" s="34" t="n">
        <f aca="false">AT19*$AN$5/12</f>
        <v>51.4907280373239</v>
      </c>
      <c r="AV19" s="29" t="n">
        <f aca="false">MIN($AN$6,AT19+AU19)</f>
        <v>130</v>
      </c>
      <c r="AW19" s="34" t="n">
        <f aca="false">AT19+AU19-AV19</f>
        <v>11155.8313907262</v>
      </c>
      <c r="AX19" s="30" t="n">
        <f aca="false">BC18</f>
        <v>0</v>
      </c>
      <c r="AY19" s="30" t="n">
        <f aca="false">AX19*$AX$5/12</f>
        <v>0</v>
      </c>
      <c r="AZ19" s="30" t="n">
        <f aca="false">MIN($AX$6,AX19+AY19)</f>
        <v>0</v>
      </c>
      <c r="BA19" s="30" t="n">
        <f aca="false">MAX(0,MIN(AR19,AX19+AY19-AZ19))</f>
        <v>0</v>
      </c>
      <c r="BB19" s="29" t="n">
        <f aca="false">AR19-BA19</f>
        <v>0</v>
      </c>
      <c r="BC19" s="30" t="n">
        <f aca="false">AX19+AY19-AZ19-BA19</f>
        <v>0</v>
      </c>
      <c r="BD19" s="30" t="n">
        <f aca="false">BG18</f>
        <v>0</v>
      </c>
      <c r="BE19" s="30" t="n">
        <f aca="false">BD19*$AX$5/12</f>
        <v>0</v>
      </c>
      <c r="BF19" s="30" t="n">
        <f aca="false">MIN($AX$6,BD19+BE19)</f>
        <v>0</v>
      </c>
      <c r="BG19" s="30" t="n">
        <f aca="false">BD19+BE19-BF19</f>
        <v>0</v>
      </c>
      <c r="BH19" s="30" t="n">
        <f aca="false">BM18</f>
        <v>0</v>
      </c>
      <c r="BI19" s="30" t="n">
        <f aca="false">BH19*$BH$5/12</f>
        <v>0</v>
      </c>
      <c r="BJ19" s="30" t="n">
        <f aca="false">MIN($BH$6,BH19+BI19)</f>
        <v>0</v>
      </c>
      <c r="BK19" s="30" t="n">
        <f aca="false">MAX(0,MIN(BB19,BH19+BI19-BJ19))</f>
        <v>0</v>
      </c>
      <c r="BL19" s="29" t="n">
        <f aca="false">BB19-BK19</f>
        <v>0</v>
      </c>
      <c r="BM19" s="30" t="n">
        <f aca="false">BH19+BI19-BJ19-BK19</f>
        <v>0</v>
      </c>
      <c r="BN19" s="30" t="n">
        <f aca="false">BQ18</f>
        <v>0</v>
      </c>
      <c r="BO19" s="30" t="n">
        <f aca="false">BN19*$BH$5/12</f>
        <v>0</v>
      </c>
      <c r="BP19" s="30" t="n">
        <f aca="false">MIN($BH$6,BN19+BO19)</f>
        <v>0</v>
      </c>
      <c r="BQ19" s="30" t="n">
        <f aca="false">BN19+BO19-BP19</f>
        <v>0</v>
      </c>
      <c r="BR19" s="30" t="n">
        <f aca="false">BW18</f>
        <v>0</v>
      </c>
      <c r="BS19" s="30" t="n">
        <f aca="false">BR19*$BR$5/12</f>
        <v>0</v>
      </c>
      <c r="BT19" s="30" t="n">
        <f aca="false">MIN($BR$6,BR19+BS19)</f>
        <v>0</v>
      </c>
      <c r="BU19" s="30" t="n">
        <f aca="false">MAX(0,MIN(BL19,BR19+BS19-BT19))</f>
        <v>0</v>
      </c>
      <c r="BV19" s="29" t="n">
        <f aca="false">BL19-BU19</f>
        <v>0</v>
      </c>
      <c r="BW19" s="30" t="n">
        <f aca="false">BR19+BS19-BT19-BU19</f>
        <v>0</v>
      </c>
      <c r="BX19" s="30" t="n">
        <f aca="false">CA18</f>
        <v>0</v>
      </c>
      <c r="BY19" s="30" t="n">
        <f aca="false">BX19*$BR$5/12</f>
        <v>0</v>
      </c>
      <c r="BZ19" s="30" t="n">
        <f aca="false">MIN($BR$6,BX19+BY19)</f>
        <v>0</v>
      </c>
      <c r="CA19" s="30" t="n">
        <f aca="false">BX19+BY19-BZ19</f>
        <v>0</v>
      </c>
      <c r="CB19" s="30" t="n">
        <f aca="false">CG18</f>
        <v>0</v>
      </c>
      <c r="CC19" s="30" t="n">
        <f aca="false">CB19*$CB$5/12</f>
        <v>0</v>
      </c>
      <c r="CD19" s="30" t="n">
        <f aca="false">MIN($CB$6,CB19+CC19)</f>
        <v>0</v>
      </c>
      <c r="CE19" s="30" t="n">
        <f aca="false">MAX(0,MIN(BV19,CB19+CC19-CD19))</f>
        <v>0</v>
      </c>
      <c r="CF19" s="29" t="n">
        <f aca="false">BV19-CE19</f>
        <v>0</v>
      </c>
      <c r="CG19" s="30" t="n">
        <f aca="false">CB19+CC19-CD19-CE19</f>
        <v>0</v>
      </c>
      <c r="CH19" s="30" t="n">
        <f aca="false">CK18</f>
        <v>0</v>
      </c>
      <c r="CI19" s="30" t="n">
        <f aca="false">CH19*$CB$5/12</f>
        <v>0</v>
      </c>
      <c r="CJ19" s="30" t="n">
        <f aca="false">MIN($CB$6,CH19+CI19)</f>
        <v>0</v>
      </c>
      <c r="CK19" s="30" t="n">
        <f aca="false">CH19+CI19-CJ19</f>
        <v>0</v>
      </c>
    </row>
    <row r="20" customFormat="false" ht="15" hidden="false" customHeight="false" outlineLevel="0" collapsed="false">
      <c r="A20" s="0" t="n">
        <v>12</v>
      </c>
      <c r="B20" s="29" t="n">
        <f aca="false">'1 Your debts'!$B$16-(L20+V20+AF20+AP20+AZ20+BJ20+BT20+CD20)</f>
        <v>200</v>
      </c>
      <c r="C20" s="34" t="n">
        <f aca="false">O20+Y20+AI20+AS20+BC20+BM20+BW20+CG20</f>
        <v>19449.3044163613</v>
      </c>
      <c r="D20" s="34" t="n">
        <f aca="false">K20+U20+AE20+AO20+AY20+BI20+BS20+CC20</f>
        <v>147.582397326594</v>
      </c>
      <c r="F20" s="34" t="n">
        <f aca="false">S20+AC20+AM20+AW20+BG20+BQ20+CA20+CK20</f>
        <v>22144.201000963</v>
      </c>
      <c r="G20" s="34" t="n">
        <f aca="false">Q20+AA20+AK20+AU20+BE20+BO20+BY20+CI20</f>
        <v>198.478703132517</v>
      </c>
      <c r="J20" s="34" t="n">
        <f aca="false">O19</f>
        <v>1541.72199676077</v>
      </c>
      <c r="K20" s="34" t="n">
        <f aca="false">J20*$J$5/12</f>
        <v>32.1063605825431</v>
      </c>
      <c r="L20" s="29" t="n">
        <f aca="false">MIN($J$6,J20+K20)</f>
        <v>105</v>
      </c>
      <c r="M20" s="30" t="n">
        <f aca="false">MAX(0,MIN($B20,J20+K20-L20))</f>
        <v>200</v>
      </c>
      <c r="N20" s="29" t="n">
        <f aca="false">$B20-M20</f>
        <v>0</v>
      </c>
      <c r="O20" s="34" t="n">
        <f aca="false">J20+K20-L20-M20</f>
        <v>1268.82835734332</v>
      </c>
      <c r="P20" s="34" t="n">
        <f aca="false">S19</f>
        <v>3985.72227555658</v>
      </c>
      <c r="Q20" s="34" t="n">
        <f aca="false">P20*$J$5/12</f>
        <v>83.0026663884658</v>
      </c>
      <c r="R20" s="29" t="n">
        <f aca="false">MIN($J$6,P20+Q20)</f>
        <v>105</v>
      </c>
      <c r="S20" s="34" t="n">
        <f aca="false">P20+Q20-R20</f>
        <v>3963.72494194505</v>
      </c>
      <c r="T20" s="34" t="n">
        <f aca="false">Y19</f>
        <v>1620.36718400662</v>
      </c>
      <c r="U20" s="34" t="n">
        <f aca="false">T20*$T$5/12</f>
        <v>26.9926166735769</v>
      </c>
      <c r="V20" s="29" t="n">
        <f aca="false">MIN($T$6,T20+U20)</f>
        <v>45</v>
      </c>
      <c r="W20" s="30" t="n">
        <f aca="false">MAX(0,MIN(N20,T20+U20-V20))</f>
        <v>0</v>
      </c>
      <c r="X20" s="29" t="n">
        <f aca="false">N20-W20</f>
        <v>0</v>
      </c>
      <c r="Y20" s="34" t="n">
        <f aca="false">T20+U20-V20-W20</f>
        <v>1602.3598006802</v>
      </c>
      <c r="Z20" s="34" t="n">
        <f aca="false">AC19</f>
        <v>1620.36718400662</v>
      </c>
      <c r="AA20" s="34" t="n">
        <f aca="false">Z20*$T$5/12</f>
        <v>26.9926166735769</v>
      </c>
      <c r="AB20" s="29" t="n">
        <f aca="false">MIN($T$6,Z20+AA20)</f>
        <v>45</v>
      </c>
      <c r="AC20" s="34" t="n">
        <f aca="false">Z20+AA20-AB20</f>
        <v>1602.3598006802</v>
      </c>
      <c r="AD20" s="34" t="n">
        <f aca="false">AI19</f>
        <v>5673.80144754113</v>
      </c>
      <c r="AE20" s="34" t="n">
        <f aca="false">AD20*$AD$5/12</f>
        <v>37.3525261963124</v>
      </c>
      <c r="AF20" s="29" t="n">
        <f aca="false">MIN($AD$6,AD20+AE20)</f>
        <v>210</v>
      </c>
      <c r="AG20" s="30" t="n">
        <f aca="false">MAX(0,MIN(X20,AD20+AE20-AF20))</f>
        <v>0</v>
      </c>
      <c r="AH20" s="29" t="n">
        <f aca="false">X20-AG20</f>
        <v>0</v>
      </c>
      <c r="AI20" s="34" t="n">
        <f aca="false">AD20+AE20-AF20-AG20</f>
        <v>5501.15397373744</v>
      </c>
      <c r="AJ20" s="34" t="n">
        <f aca="false">AM19</f>
        <v>5673.80144754113</v>
      </c>
      <c r="AK20" s="34" t="n">
        <f aca="false">AJ20*$AD$5/12</f>
        <v>37.3525261963124</v>
      </c>
      <c r="AL20" s="29" t="n">
        <f aca="false">MIN($AD$6,AJ20+AK20)</f>
        <v>210</v>
      </c>
      <c r="AM20" s="34" t="n">
        <f aca="false">AJ20+AK20-AL20</f>
        <v>5501.15397373744</v>
      </c>
      <c r="AN20" s="34" t="n">
        <f aca="false">AS19</f>
        <v>11155.8313907262</v>
      </c>
      <c r="AO20" s="34" t="n">
        <f aca="false">AN20*$AN$5/12</f>
        <v>51.1308938741616</v>
      </c>
      <c r="AP20" s="29" t="n">
        <f aca="false">MIN($AN$6,AN20+AO20)</f>
        <v>130</v>
      </c>
      <c r="AQ20" s="30" t="n">
        <f aca="false">MAX(0,MIN(AH20,AN20+AO20-AP20))</f>
        <v>0</v>
      </c>
      <c r="AR20" s="29" t="n">
        <f aca="false">AH20-AQ20</f>
        <v>0</v>
      </c>
      <c r="AS20" s="34" t="n">
        <f aca="false">AN20+AO20-AP20-AQ20</f>
        <v>11076.9622846003</v>
      </c>
      <c r="AT20" s="34" t="n">
        <f aca="false">AW19</f>
        <v>11155.8313907262</v>
      </c>
      <c r="AU20" s="34" t="n">
        <f aca="false">AT20*$AN$5/12</f>
        <v>51.1308938741616</v>
      </c>
      <c r="AV20" s="29" t="n">
        <f aca="false">MIN($AN$6,AT20+AU20)</f>
        <v>130</v>
      </c>
      <c r="AW20" s="34" t="n">
        <f aca="false">AT20+AU20-AV20</f>
        <v>11076.9622846003</v>
      </c>
      <c r="AX20" s="30" t="n">
        <f aca="false">BC19</f>
        <v>0</v>
      </c>
      <c r="AY20" s="30" t="n">
        <f aca="false">AX20*$AX$5/12</f>
        <v>0</v>
      </c>
      <c r="AZ20" s="30" t="n">
        <f aca="false">MIN($AX$6,AX20+AY20)</f>
        <v>0</v>
      </c>
      <c r="BA20" s="30" t="n">
        <f aca="false">MAX(0,MIN(AR20,AX20+AY20-AZ20))</f>
        <v>0</v>
      </c>
      <c r="BB20" s="29" t="n">
        <f aca="false">AR20-BA20</f>
        <v>0</v>
      </c>
      <c r="BC20" s="30" t="n">
        <f aca="false">AX20+AY20-AZ20-BA20</f>
        <v>0</v>
      </c>
      <c r="BD20" s="30" t="n">
        <f aca="false">BG19</f>
        <v>0</v>
      </c>
      <c r="BE20" s="30" t="n">
        <f aca="false">BD20*$AX$5/12</f>
        <v>0</v>
      </c>
      <c r="BF20" s="30" t="n">
        <f aca="false">MIN($AX$6,BD20+BE20)</f>
        <v>0</v>
      </c>
      <c r="BG20" s="30" t="n">
        <f aca="false">BD20+BE20-BF20</f>
        <v>0</v>
      </c>
      <c r="BH20" s="30" t="n">
        <f aca="false">BM19</f>
        <v>0</v>
      </c>
      <c r="BI20" s="30" t="n">
        <f aca="false">BH20*$BH$5/12</f>
        <v>0</v>
      </c>
      <c r="BJ20" s="30" t="n">
        <f aca="false">MIN($BH$6,BH20+BI20)</f>
        <v>0</v>
      </c>
      <c r="BK20" s="30" t="n">
        <f aca="false">MAX(0,MIN(BB20,BH20+BI20-BJ20))</f>
        <v>0</v>
      </c>
      <c r="BL20" s="29" t="n">
        <f aca="false">BB20-BK20</f>
        <v>0</v>
      </c>
      <c r="BM20" s="30" t="n">
        <f aca="false">BH20+BI20-BJ20-BK20</f>
        <v>0</v>
      </c>
      <c r="BN20" s="30" t="n">
        <f aca="false">BQ19</f>
        <v>0</v>
      </c>
      <c r="BO20" s="30" t="n">
        <f aca="false">BN20*$BH$5/12</f>
        <v>0</v>
      </c>
      <c r="BP20" s="30" t="n">
        <f aca="false">MIN($BH$6,BN20+BO20)</f>
        <v>0</v>
      </c>
      <c r="BQ20" s="30" t="n">
        <f aca="false">BN20+BO20-BP20</f>
        <v>0</v>
      </c>
      <c r="BR20" s="30" t="n">
        <f aca="false">BW19</f>
        <v>0</v>
      </c>
      <c r="BS20" s="30" t="n">
        <f aca="false">BR20*$BR$5/12</f>
        <v>0</v>
      </c>
      <c r="BT20" s="30" t="n">
        <f aca="false">MIN($BR$6,BR20+BS20)</f>
        <v>0</v>
      </c>
      <c r="BU20" s="30" t="n">
        <f aca="false">MAX(0,MIN(BL20,BR20+BS20-BT20))</f>
        <v>0</v>
      </c>
      <c r="BV20" s="29" t="n">
        <f aca="false">BL20-BU20</f>
        <v>0</v>
      </c>
      <c r="BW20" s="30" t="n">
        <f aca="false">BR20+BS20-BT20-BU20</f>
        <v>0</v>
      </c>
      <c r="BX20" s="30" t="n">
        <f aca="false">CA19</f>
        <v>0</v>
      </c>
      <c r="BY20" s="30" t="n">
        <f aca="false">BX20*$BR$5/12</f>
        <v>0</v>
      </c>
      <c r="BZ20" s="30" t="n">
        <f aca="false">MIN($BR$6,BX20+BY20)</f>
        <v>0</v>
      </c>
      <c r="CA20" s="30" t="n">
        <f aca="false">BX20+BY20-BZ20</f>
        <v>0</v>
      </c>
      <c r="CB20" s="30" t="n">
        <f aca="false">CG19</f>
        <v>0</v>
      </c>
      <c r="CC20" s="30" t="n">
        <f aca="false">CB20*$CB$5/12</f>
        <v>0</v>
      </c>
      <c r="CD20" s="30" t="n">
        <f aca="false">MIN($CB$6,CB20+CC20)</f>
        <v>0</v>
      </c>
      <c r="CE20" s="30" t="n">
        <f aca="false">MAX(0,MIN(BV20,CB20+CC20-CD20))</f>
        <v>0</v>
      </c>
      <c r="CF20" s="29" t="n">
        <f aca="false">BV20-CE20</f>
        <v>0</v>
      </c>
      <c r="CG20" s="30" t="n">
        <f aca="false">CB20+CC20-CD20-CE20</f>
        <v>0</v>
      </c>
      <c r="CH20" s="30" t="n">
        <f aca="false">CK19</f>
        <v>0</v>
      </c>
      <c r="CI20" s="30" t="n">
        <f aca="false">CH20*$CB$5/12</f>
        <v>0</v>
      </c>
      <c r="CJ20" s="30" t="n">
        <f aca="false">MIN($CB$6,CH20+CI20)</f>
        <v>0</v>
      </c>
      <c r="CK20" s="30" t="n">
        <f aca="false">CH20+CI20-CJ20</f>
        <v>0</v>
      </c>
    </row>
    <row r="21" customFormat="false" ht="15" hidden="false" customHeight="false" outlineLevel="0" collapsed="false">
      <c r="A21" s="0" t="n">
        <v>13</v>
      </c>
      <c r="B21" s="29" t="n">
        <f aca="false">'1 Your debts'!$B$16-(L21+V21+AF21+AP21+AZ21+BJ21+BT21+CD21)</f>
        <v>200</v>
      </c>
      <c r="C21" s="34" t="n">
        <f aca="false">O21+Y21+AI21+AS21+BC21+BM21+BW21+CG21</f>
        <v>18899.4057513808</v>
      </c>
      <c r="D21" s="34" t="n">
        <f aca="false">K21+U21+AE21+AO21+AY21+BI21+BS21+CC21</f>
        <v>140.101335019529</v>
      </c>
      <c r="F21" s="34" t="n">
        <f aca="false">S21+AC21+AM21+AW21+BG21+BQ21+CA21+CK21</f>
        <v>21850.4235573569</v>
      </c>
      <c r="G21" s="34" t="n">
        <f aca="false">Q21+AA21+AK21+AU21+BE21+BO21+BY21+CI21</f>
        <v>196.22255639386</v>
      </c>
      <c r="J21" s="34" t="n">
        <f aca="false">O20</f>
        <v>1268.82835734332</v>
      </c>
      <c r="K21" s="34" t="n">
        <f aca="false">J21*$J$5/12</f>
        <v>26.4233505416746</v>
      </c>
      <c r="L21" s="29" t="n">
        <f aca="false">MIN($J$6,J21+K21)</f>
        <v>105</v>
      </c>
      <c r="M21" s="30" t="n">
        <f aca="false">MAX(0,MIN($B21,J21+K21-L21))</f>
        <v>200</v>
      </c>
      <c r="N21" s="29" t="n">
        <f aca="false">$B21-M21</f>
        <v>0</v>
      </c>
      <c r="O21" s="34" t="n">
        <f aca="false">J21+K21-L21-M21</f>
        <v>990.251707884992</v>
      </c>
      <c r="P21" s="34" t="n">
        <f aca="false">S20</f>
        <v>3963.72494194505</v>
      </c>
      <c r="Q21" s="34" t="n">
        <f aca="false">P21*$J$5/12</f>
        <v>82.5445719160056</v>
      </c>
      <c r="R21" s="29" t="n">
        <f aca="false">MIN($J$6,P21+Q21)</f>
        <v>105</v>
      </c>
      <c r="S21" s="34" t="n">
        <f aca="false">P21+Q21-R21</f>
        <v>3941.26951386105</v>
      </c>
      <c r="T21" s="34" t="n">
        <f aca="false">Y20</f>
        <v>1602.3598006802</v>
      </c>
      <c r="U21" s="34" t="n">
        <f aca="false">T21*$T$5/12</f>
        <v>26.6926436796643</v>
      </c>
      <c r="V21" s="29" t="n">
        <f aca="false">MIN($T$6,T21+U21)</f>
        <v>45</v>
      </c>
      <c r="W21" s="30" t="n">
        <f aca="false">MAX(0,MIN(N21,T21+U21-V21))</f>
        <v>0</v>
      </c>
      <c r="X21" s="29" t="n">
        <f aca="false">N21-W21</f>
        <v>0</v>
      </c>
      <c r="Y21" s="34" t="n">
        <f aca="false">T21+U21-V21-W21</f>
        <v>1584.05244435986</v>
      </c>
      <c r="Z21" s="34" t="n">
        <f aca="false">AC20</f>
        <v>1602.3598006802</v>
      </c>
      <c r="AA21" s="34" t="n">
        <f aca="false">Z21*$T$5/12</f>
        <v>26.6926436796643</v>
      </c>
      <c r="AB21" s="29" t="n">
        <f aca="false">MIN($T$6,Z21+AA21)</f>
        <v>45</v>
      </c>
      <c r="AC21" s="34" t="n">
        <f aca="false">Z21+AA21-AB21</f>
        <v>1584.05244435986</v>
      </c>
      <c r="AD21" s="34" t="n">
        <f aca="false">AI20</f>
        <v>5501.15397373744</v>
      </c>
      <c r="AE21" s="34" t="n">
        <f aca="false">AD21*$AD$5/12</f>
        <v>36.2159303271048</v>
      </c>
      <c r="AF21" s="29" t="n">
        <f aca="false">MIN($AD$6,AD21+AE21)</f>
        <v>210</v>
      </c>
      <c r="AG21" s="30" t="n">
        <f aca="false">MAX(0,MIN(X21,AD21+AE21-AF21))</f>
        <v>0</v>
      </c>
      <c r="AH21" s="29" t="n">
        <f aca="false">X21-AG21</f>
        <v>0</v>
      </c>
      <c r="AI21" s="34" t="n">
        <f aca="false">AD21+AE21-AF21-AG21</f>
        <v>5327.36990406454</v>
      </c>
      <c r="AJ21" s="34" t="n">
        <f aca="false">AM20</f>
        <v>5501.15397373744</v>
      </c>
      <c r="AK21" s="34" t="n">
        <f aca="false">AJ21*$AD$5/12</f>
        <v>36.2159303271048</v>
      </c>
      <c r="AL21" s="29" t="n">
        <f aca="false">MIN($AD$6,AJ21+AK21)</f>
        <v>210</v>
      </c>
      <c r="AM21" s="34" t="n">
        <f aca="false">AJ21+AK21-AL21</f>
        <v>5327.36990406454</v>
      </c>
      <c r="AN21" s="34" t="n">
        <f aca="false">AS20</f>
        <v>11076.9622846003</v>
      </c>
      <c r="AO21" s="34" t="n">
        <f aca="false">AN21*$AN$5/12</f>
        <v>50.7694104710849</v>
      </c>
      <c r="AP21" s="29" t="n">
        <f aca="false">MIN($AN$6,AN21+AO21)</f>
        <v>130</v>
      </c>
      <c r="AQ21" s="30" t="n">
        <f aca="false">MAX(0,MIN(AH21,AN21+AO21-AP21))</f>
        <v>0</v>
      </c>
      <c r="AR21" s="29" t="n">
        <f aca="false">AH21-AQ21</f>
        <v>0</v>
      </c>
      <c r="AS21" s="34" t="n">
        <f aca="false">AN21+AO21-AP21-AQ21</f>
        <v>10997.7316950714</v>
      </c>
      <c r="AT21" s="34" t="n">
        <f aca="false">AW20</f>
        <v>11076.9622846003</v>
      </c>
      <c r="AU21" s="34" t="n">
        <f aca="false">AT21*$AN$5/12</f>
        <v>50.7694104710849</v>
      </c>
      <c r="AV21" s="29" t="n">
        <f aca="false">MIN($AN$6,AT21+AU21)</f>
        <v>130</v>
      </c>
      <c r="AW21" s="34" t="n">
        <f aca="false">AT21+AU21-AV21</f>
        <v>10997.7316950714</v>
      </c>
      <c r="AX21" s="30" t="n">
        <f aca="false">BC20</f>
        <v>0</v>
      </c>
      <c r="AY21" s="30" t="n">
        <f aca="false">AX21*$AX$5/12</f>
        <v>0</v>
      </c>
      <c r="AZ21" s="30" t="n">
        <f aca="false">MIN($AX$6,AX21+AY21)</f>
        <v>0</v>
      </c>
      <c r="BA21" s="30" t="n">
        <f aca="false">MAX(0,MIN(AR21,AX21+AY21-AZ21))</f>
        <v>0</v>
      </c>
      <c r="BB21" s="29" t="n">
        <f aca="false">AR21-BA21</f>
        <v>0</v>
      </c>
      <c r="BC21" s="30" t="n">
        <f aca="false">AX21+AY21-AZ21-BA21</f>
        <v>0</v>
      </c>
      <c r="BD21" s="30" t="n">
        <f aca="false">BG20</f>
        <v>0</v>
      </c>
      <c r="BE21" s="30" t="n">
        <f aca="false">BD21*$AX$5/12</f>
        <v>0</v>
      </c>
      <c r="BF21" s="30" t="n">
        <f aca="false">MIN($AX$6,BD21+BE21)</f>
        <v>0</v>
      </c>
      <c r="BG21" s="30" t="n">
        <f aca="false">BD21+BE21-BF21</f>
        <v>0</v>
      </c>
      <c r="BH21" s="30" t="n">
        <f aca="false">BM20</f>
        <v>0</v>
      </c>
      <c r="BI21" s="30" t="n">
        <f aca="false">BH21*$BH$5/12</f>
        <v>0</v>
      </c>
      <c r="BJ21" s="30" t="n">
        <f aca="false">MIN($BH$6,BH21+BI21)</f>
        <v>0</v>
      </c>
      <c r="BK21" s="30" t="n">
        <f aca="false">MAX(0,MIN(BB21,BH21+BI21-BJ21))</f>
        <v>0</v>
      </c>
      <c r="BL21" s="29" t="n">
        <f aca="false">BB21-BK21</f>
        <v>0</v>
      </c>
      <c r="BM21" s="30" t="n">
        <f aca="false">BH21+BI21-BJ21-BK21</f>
        <v>0</v>
      </c>
      <c r="BN21" s="30" t="n">
        <f aca="false">BQ20</f>
        <v>0</v>
      </c>
      <c r="BO21" s="30" t="n">
        <f aca="false">BN21*$BH$5/12</f>
        <v>0</v>
      </c>
      <c r="BP21" s="30" t="n">
        <f aca="false">MIN($BH$6,BN21+BO21)</f>
        <v>0</v>
      </c>
      <c r="BQ21" s="30" t="n">
        <f aca="false">BN21+BO21-BP21</f>
        <v>0</v>
      </c>
      <c r="BR21" s="30" t="n">
        <f aca="false">BW20</f>
        <v>0</v>
      </c>
      <c r="BS21" s="30" t="n">
        <f aca="false">BR21*$BR$5/12</f>
        <v>0</v>
      </c>
      <c r="BT21" s="30" t="n">
        <f aca="false">MIN($BR$6,BR21+BS21)</f>
        <v>0</v>
      </c>
      <c r="BU21" s="30" t="n">
        <f aca="false">MAX(0,MIN(BL21,BR21+BS21-BT21))</f>
        <v>0</v>
      </c>
      <c r="BV21" s="29" t="n">
        <f aca="false">BL21-BU21</f>
        <v>0</v>
      </c>
      <c r="BW21" s="30" t="n">
        <f aca="false">BR21+BS21-BT21-BU21</f>
        <v>0</v>
      </c>
      <c r="BX21" s="30" t="n">
        <f aca="false">CA20</f>
        <v>0</v>
      </c>
      <c r="BY21" s="30" t="n">
        <f aca="false">BX21*$BR$5/12</f>
        <v>0</v>
      </c>
      <c r="BZ21" s="30" t="n">
        <f aca="false">MIN($BR$6,BX21+BY21)</f>
        <v>0</v>
      </c>
      <c r="CA21" s="30" t="n">
        <f aca="false">BX21+BY21-BZ21</f>
        <v>0</v>
      </c>
      <c r="CB21" s="30" t="n">
        <f aca="false">CG20</f>
        <v>0</v>
      </c>
      <c r="CC21" s="30" t="n">
        <f aca="false">CB21*$CB$5/12</f>
        <v>0</v>
      </c>
      <c r="CD21" s="30" t="n">
        <f aca="false">MIN($CB$6,CB21+CC21)</f>
        <v>0</v>
      </c>
      <c r="CE21" s="30" t="n">
        <f aca="false">MAX(0,MIN(BV21,CB21+CC21-CD21))</f>
        <v>0</v>
      </c>
      <c r="CF21" s="29" t="n">
        <f aca="false">BV21-CE21</f>
        <v>0</v>
      </c>
      <c r="CG21" s="30" t="n">
        <f aca="false">CB21+CC21-CD21-CE21</f>
        <v>0</v>
      </c>
      <c r="CH21" s="30" t="n">
        <f aca="false">CK20</f>
        <v>0</v>
      </c>
      <c r="CI21" s="30" t="n">
        <f aca="false">CH21*$CB$5/12</f>
        <v>0</v>
      </c>
      <c r="CJ21" s="30" t="n">
        <f aca="false">MIN($CB$6,CH21+CI21)</f>
        <v>0</v>
      </c>
      <c r="CK21" s="30" t="n">
        <f aca="false">CH21+CI21-CJ21</f>
        <v>0</v>
      </c>
    </row>
    <row r="22" customFormat="false" ht="15" hidden="false" customHeight="false" outlineLevel="0" collapsed="false">
      <c r="A22" s="0" t="n">
        <v>14</v>
      </c>
      <c r="B22" s="29" t="n">
        <f aca="false">'1 Your debts'!$B$16-(L22+V22+AF22+AP22+AZ22+BJ22+BT22+CD22)</f>
        <v>200</v>
      </c>
      <c r="C22" s="34" t="n">
        <f aca="false">O22+Y22+AI22+AS22+BC22+BM22+BW22+CG22</f>
        <v>18341.8935389706</v>
      </c>
      <c r="D22" s="34" t="n">
        <f aca="false">K22+U22+AE22+AO22+AY22+BI22+BS22+CC22</f>
        <v>132.487787589835</v>
      </c>
      <c r="F22" s="34" t="n">
        <f aca="false">S22+AC22+AM22+AW22+BG22+BQ22+CA22+CK22</f>
        <v>21554.3662907562</v>
      </c>
      <c r="G22" s="34" t="n">
        <f aca="false">Q22+AA22+AK22+AU22+BE22+BO22+BY22+CI22</f>
        <v>193.942733399287</v>
      </c>
      <c r="J22" s="34" t="n">
        <f aca="false">O21</f>
        <v>990.251707884992</v>
      </c>
      <c r="K22" s="34" t="n">
        <f aca="false">J22*$J$5/12</f>
        <v>20.621991816705</v>
      </c>
      <c r="L22" s="29" t="n">
        <f aca="false">MIN($J$6,J22+K22)</f>
        <v>105</v>
      </c>
      <c r="M22" s="30" t="n">
        <f aca="false">MAX(0,MIN($B22,J22+K22-L22))</f>
        <v>200</v>
      </c>
      <c r="N22" s="29" t="n">
        <f aca="false">$B22-M22</f>
        <v>0</v>
      </c>
      <c r="O22" s="34" t="n">
        <f aca="false">J22+K22-L22-M22</f>
        <v>705.873699701697</v>
      </c>
      <c r="P22" s="34" t="n">
        <f aca="false">S21</f>
        <v>3941.26951386105</v>
      </c>
      <c r="Q22" s="34" t="n">
        <f aca="false">P22*$J$5/12</f>
        <v>82.0769376261564</v>
      </c>
      <c r="R22" s="29" t="n">
        <f aca="false">MIN($J$6,P22+Q22)</f>
        <v>105</v>
      </c>
      <c r="S22" s="34" t="n">
        <f aca="false">P22+Q22-R22</f>
        <v>3918.34645148721</v>
      </c>
      <c r="T22" s="34" t="n">
        <f aca="false">Y21</f>
        <v>1584.05244435986</v>
      </c>
      <c r="U22" s="34" t="n">
        <f aca="false">T22*$T$5/12</f>
        <v>26.387673635628</v>
      </c>
      <c r="V22" s="29" t="n">
        <f aca="false">MIN($T$6,T22+U22)</f>
        <v>45</v>
      </c>
      <c r="W22" s="30" t="n">
        <f aca="false">MAX(0,MIN(N22,T22+U22-V22))</f>
        <v>0</v>
      </c>
      <c r="X22" s="29" t="n">
        <f aca="false">N22-W22</f>
        <v>0</v>
      </c>
      <c r="Y22" s="34" t="n">
        <f aca="false">T22+U22-V22-W22</f>
        <v>1565.44011799549</v>
      </c>
      <c r="Z22" s="34" t="n">
        <f aca="false">AC21</f>
        <v>1584.05244435986</v>
      </c>
      <c r="AA22" s="34" t="n">
        <f aca="false">Z22*$T$5/12</f>
        <v>26.387673635628</v>
      </c>
      <c r="AB22" s="29" t="n">
        <f aca="false">MIN($T$6,Z22+AA22)</f>
        <v>45</v>
      </c>
      <c r="AC22" s="34" t="n">
        <f aca="false">Z22+AA22-AB22</f>
        <v>1565.44011799549</v>
      </c>
      <c r="AD22" s="34" t="n">
        <f aca="false">AI21</f>
        <v>5327.36990406454</v>
      </c>
      <c r="AE22" s="34" t="n">
        <f aca="false">AD22*$AD$5/12</f>
        <v>35.0718518684249</v>
      </c>
      <c r="AF22" s="29" t="n">
        <f aca="false">MIN($AD$6,AD22+AE22)</f>
        <v>210</v>
      </c>
      <c r="AG22" s="30" t="n">
        <f aca="false">MAX(0,MIN(X22,AD22+AE22-AF22))</f>
        <v>0</v>
      </c>
      <c r="AH22" s="29" t="n">
        <f aca="false">X22-AG22</f>
        <v>0</v>
      </c>
      <c r="AI22" s="34" t="n">
        <f aca="false">AD22+AE22-AF22-AG22</f>
        <v>5152.44175593297</v>
      </c>
      <c r="AJ22" s="34" t="n">
        <f aca="false">AM21</f>
        <v>5327.36990406454</v>
      </c>
      <c r="AK22" s="34" t="n">
        <f aca="false">AJ22*$AD$5/12</f>
        <v>35.0718518684249</v>
      </c>
      <c r="AL22" s="29" t="n">
        <f aca="false">MIN($AD$6,AJ22+AK22)</f>
        <v>210</v>
      </c>
      <c r="AM22" s="34" t="n">
        <f aca="false">AJ22+AK22-AL22</f>
        <v>5152.44175593297</v>
      </c>
      <c r="AN22" s="34" t="n">
        <f aca="false">AS21</f>
        <v>10997.7316950714</v>
      </c>
      <c r="AO22" s="34" t="n">
        <f aca="false">AN22*$AN$5/12</f>
        <v>50.4062702690773</v>
      </c>
      <c r="AP22" s="29" t="n">
        <f aca="false">MIN($AN$6,AN22+AO22)</f>
        <v>130</v>
      </c>
      <c r="AQ22" s="30" t="n">
        <f aca="false">MAX(0,MIN(AH22,AN22+AO22-AP22))</f>
        <v>0</v>
      </c>
      <c r="AR22" s="29" t="n">
        <f aca="false">AH22-AQ22</f>
        <v>0</v>
      </c>
      <c r="AS22" s="34" t="n">
        <f aca="false">AN22+AO22-AP22-AQ22</f>
        <v>10918.1379653405</v>
      </c>
      <c r="AT22" s="34" t="n">
        <f aca="false">AW21</f>
        <v>10997.7316950714</v>
      </c>
      <c r="AU22" s="34" t="n">
        <f aca="false">AT22*$AN$5/12</f>
        <v>50.4062702690773</v>
      </c>
      <c r="AV22" s="29" t="n">
        <f aca="false">MIN($AN$6,AT22+AU22)</f>
        <v>130</v>
      </c>
      <c r="AW22" s="34" t="n">
        <f aca="false">AT22+AU22-AV22</f>
        <v>10918.1379653405</v>
      </c>
      <c r="AX22" s="30" t="n">
        <f aca="false">BC21</f>
        <v>0</v>
      </c>
      <c r="AY22" s="30" t="n">
        <f aca="false">AX22*$AX$5/12</f>
        <v>0</v>
      </c>
      <c r="AZ22" s="30" t="n">
        <f aca="false">MIN($AX$6,AX22+AY22)</f>
        <v>0</v>
      </c>
      <c r="BA22" s="30" t="n">
        <f aca="false">MAX(0,MIN(AR22,AX22+AY22-AZ22))</f>
        <v>0</v>
      </c>
      <c r="BB22" s="29" t="n">
        <f aca="false">AR22-BA22</f>
        <v>0</v>
      </c>
      <c r="BC22" s="30" t="n">
        <f aca="false">AX22+AY22-AZ22-BA22</f>
        <v>0</v>
      </c>
      <c r="BD22" s="30" t="n">
        <f aca="false">BG21</f>
        <v>0</v>
      </c>
      <c r="BE22" s="30" t="n">
        <f aca="false">BD22*$AX$5/12</f>
        <v>0</v>
      </c>
      <c r="BF22" s="30" t="n">
        <f aca="false">MIN($AX$6,BD22+BE22)</f>
        <v>0</v>
      </c>
      <c r="BG22" s="30" t="n">
        <f aca="false">BD22+BE22-BF22</f>
        <v>0</v>
      </c>
      <c r="BH22" s="30" t="n">
        <f aca="false">BM21</f>
        <v>0</v>
      </c>
      <c r="BI22" s="30" t="n">
        <f aca="false">BH22*$BH$5/12</f>
        <v>0</v>
      </c>
      <c r="BJ22" s="30" t="n">
        <f aca="false">MIN($BH$6,BH22+BI22)</f>
        <v>0</v>
      </c>
      <c r="BK22" s="30" t="n">
        <f aca="false">MAX(0,MIN(BB22,BH22+BI22-BJ22))</f>
        <v>0</v>
      </c>
      <c r="BL22" s="29" t="n">
        <f aca="false">BB22-BK22</f>
        <v>0</v>
      </c>
      <c r="BM22" s="30" t="n">
        <f aca="false">BH22+BI22-BJ22-BK22</f>
        <v>0</v>
      </c>
      <c r="BN22" s="30" t="n">
        <f aca="false">BQ21</f>
        <v>0</v>
      </c>
      <c r="BO22" s="30" t="n">
        <f aca="false">BN22*$BH$5/12</f>
        <v>0</v>
      </c>
      <c r="BP22" s="30" t="n">
        <f aca="false">MIN($BH$6,BN22+BO22)</f>
        <v>0</v>
      </c>
      <c r="BQ22" s="30" t="n">
        <f aca="false">BN22+BO22-BP22</f>
        <v>0</v>
      </c>
      <c r="BR22" s="30" t="n">
        <f aca="false">BW21</f>
        <v>0</v>
      </c>
      <c r="BS22" s="30" t="n">
        <f aca="false">BR22*$BR$5/12</f>
        <v>0</v>
      </c>
      <c r="BT22" s="30" t="n">
        <f aca="false">MIN($BR$6,BR22+BS22)</f>
        <v>0</v>
      </c>
      <c r="BU22" s="30" t="n">
        <f aca="false">MAX(0,MIN(BL22,BR22+BS22-BT22))</f>
        <v>0</v>
      </c>
      <c r="BV22" s="29" t="n">
        <f aca="false">BL22-BU22</f>
        <v>0</v>
      </c>
      <c r="BW22" s="30" t="n">
        <f aca="false">BR22+BS22-BT22-BU22</f>
        <v>0</v>
      </c>
      <c r="BX22" s="30" t="n">
        <f aca="false">CA21</f>
        <v>0</v>
      </c>
      <c r="BY22" s="30" t="n">
        <f aca="false">BX22*$BR$5/12</f>
        <v>0</v>
      </c>
      <c r="BZ22" s="30" t="n">
        <f aca="false">MIN($BR$6,BX22+BY22)</f>
        <v>0</v>
      </c>
      <c r="CA22" s="30" t="n">
        <f aca="false">BX22+BY22-BZ22</f>
        <v>0</v>
      </c>
      <c r="CB22" s="30" t="n">
        <f aca="false">CG21</f>
        <v>0</v>
      </c>
      <c r="CC22" s="30" t="n">
        <f aca="false">CB22*$CB$5/12</f>
        <v>0</v>
      </c>
      <c r="CD22" s="30" t="n">
        <f aca="false">MIN($CB$6,CB22+CC22)</f>
        <v>0</v>
      </c>
      <c r="CE22" s="30" t="n">
        <f aca="false">MAX(0,MIN(BV22,CB22+CC22-CD22))</f>
        <v>0</v>
      </c>
      <c r="CF22" s="29" t="n">
        <f aca="false">BV22-CE22</f>
        <v>0</v>
      </c>
      <c r="CG22" s="30" t="n">
        <f aca="false">CB22+CC22-CD22-CE22</f>
        <v>0</v>
      </c>
      <c r="CH22" s="30" t="n">
        <f aca="false">CK21</f>
        <v>0</v>
      </c>
      <c r="CI22" s="30" t="n">
        <f aca="false">CH22*$CB$5/12</f>
        <v>0</v>
      </c>
      <c r="CJ22" s="30" t="n">
        <f aca="false">MIN($CB$6,CH22+CI22)</f>
        <v>0</v>
      </c>
      <c r="CK22" s="30" t="n">
        <f aca="false">CH22+CI22-CJ22</f>
        <v>0</v>
      </c>
    </row>
    <row r="23" customFormat="false" ht="15" hidden="false" customHeight="false" outlineLevel="0" collapsed="false">
      <c r="A23" s="0" t="n">
        <v>15</v>
      </c>
      <c r="B23" s="29" t="n">
        <f aca="false">'1 Your debts'!$B$16-(L23+V23+AF23+AP23+AZ23+BJ23+BT23+CD23)</f>
        <v>200</v>
      </c>
      <c r="C23" s="34" t="n">
        <f aca="false">O23+Y23+AI23+AS23+BC23+BM23+BW23+CG23</f>
        <v>17776.6326893002</v>
      </c>
      <c r="D23" s="34" t="n">
        <f aca="false">K23+U23+AE23+AO23+AY23+BI23+BS23+CC23</f>
        <v>124.739150329599</v>
      </c>
      <c r="F23" s="34" t="n">
        <f aca="false">S23+AC23+AM23+AW23+BG23+BQ23+CA23+CK23</f>
        <v>21256.0051861417</v>
      </c>
      <c r="G23" s="34" t="n">
        <f aca="false">Q23+AA23+AK23+AU23+BE23+BO23+BY23+CI23</f>
        <v>191.638895385532</v>
      </c>
      <c r="J23" s="34" t="n">
        <f aca="false">O22</f>
        <v>705.873699701697</v>
      </c>
      <c r="K23" s="34" t="n">
        <f aca="false">J23*$J$5/12</f>
        <v>14.6998197962878</v>
      </c>
      <c r="L23" s="29" t="n">
        <f aca="false">MIN($J$6,J23+K23)</f>
        <v>105</v>
      </c>
      <c r="M23" s="30" t="n">
        <f aca="false">MAX(0,MIN($B23,J23+K23-L23))</f>
        <v>200</v>
      </c>
      <c r="N23" s="29" t="n">
        <f aca="false">$B23-M23</f>
        <v>0</v>
      </c>
      <c r="O23" s="34" t="n">
        <f aca="false">J23+K23-L23-M23</f>
        <v>415.573519497985</v>
      </c>
      <c r="P23" s="34" t="n">
        <f aca="false">S22</f>
        <v>3918.34645148721</v>
      </c>
      <c r="Q23" s="34" t="n">
        <f aca="false">P23*$J$5/12</f>
        <v>81.5995648522211</v>
      </c>
      <c r="R23" s="29" t="n">
        <f aca="false">MIN($J$6,P23+Q23)</f>
        <v>105</v>
      </c>
      <c r="S23" s="34" t="n">
        <f aca="false">P23+Q23-R23</f>
        <v>3894.94601633943</v>
      </c>
      <c r="T23" s="34" t="n">
        <f aca="false">Y22</f>
        <v>1565.44011799549</v>
      </c>
      <c r="U23" s="34" t="n">
        <f aca="false">T23*$T$5/12</f>
        <v>26.0776232989415</v>
      </c>
      <c r="V23" s="29" t="n">
        <f aca="false">MIN($T$6,T23+U23)</f>
        <v>45</v>
      </c>
      <c r="W23" s="30" t="n">
        <f aca="false">MAX(0,MIN(N23,T23+U23-V23))</f>
        <v>0</v>
      </c>
      <c r="X23" s="29" t="n">
        <f aca="false">N23-W23</f>
        <v>0</v>
      </c>
      <c r="Y23" s="34" t="n">
        <f aca="false">T23+U23-V23-W23</f>
        <v>1546.51774129443</v>
      </c>
      <c r="Z23" s="34" t="n">
        <f aca="false">AC22</f>
        <v>1565.44011799549</v>
      </c>
      <c r="AA23" s="34" t="n">
        <f aca="false">Z23*$T$5/12</f>
        <v>26.0776232989415</v>
      </c>
      <c r="AB23" s="29" t="n">
        <f aca="false">MIN($T$6,Z23+AA23)</f>
        <v>45</v>
      </c>
      <c r="AC23" s="34" t="n">
        <f aca="false">Z23+AA23-AB23</f>
        <v>1546.51774129443</v>
      </c>
      <c r="AD23" s="34" t="n">
        <f aca="false">AI22</f>
        <v>5152.44175593297</v>
      </c>
      <c r="AE23" s="34" t="n">
        <f aca="false">AD23*$AD$5/12</f>
        <v>33.920241559892</v>
      </c>
      <c r="AF23" s="29" t="n">
        <f aca="false">MIN($AD$6,AD23+AE23)</f>
        <v>210</v>
      </c>
      <c r="AG23" s="30" t="n">
        <f aca="false">MAX(0,MIN(X23,AD23+AE23-AF23))</f>
        <v>0</v>
      </c>
      <c r="AH23" s="29" t="n">
        <f aca="false">X23-AG23</f>
        <v>0</v>
      </c>
      <c r="AI23" s="34" t="n">
        <f aca="false">AD23+AE23-AF23-AG23</f>
        <v>4976.36199749286</v>
      </c>
      <c r="AJ23" s="34" t="n">
        <f aca="false">AM22</f>
        <v>5152.44175593297</v>
      </c>
      <c r="AK23" s="34" t="n">
        <f aca="false">AJ23*$AD$5/12</f>
        <v>33.920241559892</v>
      </c>
      <c r="AL23" s="29" t="n">
        <f aca="false">MIN($AD$6,AJ23+AK23)</f>
        <v>210</v>
      </c>
      <c r="AM23" s="34" t="n">
        <f aca="false">AJ23+AK23-AL23</f>
        <v>4976.36199749286</v>
      </c>
      <c r="AN23" s="34" t="n">
        <f aca="false">AS22</f>
        <v>10918.1379653405</v>
      </c>
      <c r="AO23" s="34" t="n">
        <f aca="false">AN23*$AN$5/12</f>
        <v>50.0414656744773</v>
      </c>
      <c r="AP23" s="29" t="n">
        <f aca="false">MIN($AN$6,AN23+AO23)</f>
        <v>130</v>
      </c>
      <c r="AQ23" s="30" t="n">
        <f aca="false">MAX(0,MIN(AH23,AN23+AO23-AP23))</f>
        <v>0</v>
      </c>
      <c r="AR23" s="29" t="n">
        <f aca="false">AH23-AQ23</f>
        <v>0</v>
      </c>
      <c r="AS23" s="34" t="n">
        <f aca="false">AN23+AO23-AP23-AQ23</f>
        <v>10838.179431015</v>
      </c>
      <c r="AT23" s="34" t="n">
        <f aca="false">AW22</f>
        <v>10918.1379653405</v>
      </c>
      <c r="AU23" s="34" t="n">
        <f aca="false">AT23*$AN$5/12</f>
        <v>50.0414656744773</v>
      </c>
      <c r="AV23" s="29" t="n">
        <f aca="false">MIN($AN$6,AT23+AU23)</f>
        <v>130</v>
      </c>
      <c r="AW23" s="34" t="n">
        <f aca="false">AT23+AU23-AV23</f>
        <v>10838.179431015</v>
      </c>
      <c r="AX23" s="30" t="n">
        <f aca="false">BC22</f>
        <v>0</v>
      </c>
      <c r="AY23" s="30" t="n">
        <f aca="false">AX23*$AX$5/12</f>
        <v>0</v>
      </c>
      <c r="AZ23" s="30" t="n">
        <f aca="false">MIN($AX$6,AX23+AY23)</f>
        <v>0</v>
      </c>
      <c r="BA23" s="30" t="n">
        <f aca="false">MAX(0,MIN(AR23,AX23+AY23-AZ23))</f>
        <v>0</v>
      </c>
      <c r="BB23" s="29" t="n">
        <f aca="false">AR23-BA23</f>
        <v>0</v>
      </c>
      <c r="BC23" s="30" t="n">
        <f aca="false">AX23+AY23-AZ23-BA23</f>
        <v>0</v>
      </c>
      <c r="BD23" s="30" t="n">
        <f aca="false">BG22</f>
        <v>0</v>
      </c>
      <c r="BE23" s="30" t="n">
        <f aca="false">BD23*$AX$5/12</f>
        <v>0</v>
      </c>
      <c r="BF23" s="30" t="n">
        <f aca="false">MIN($AX$6,BD23+BE23)</f>
        <v>0</v>
      </c>
      <c r="BG23" s="30" t="n">
        <f aca="false">BD23+BE23-BF23</f>
        <v>0</v>
      </c>
      <c r="BH23" s="30" t="n">
        <f aca="false">BM22</f>
        <v>0</v>
      </c>
      <c r="BI23" s="30" t="n">
        <f aca="false">BH23*$BH$5/12</f>
        <v>0</v>
      </c>
      <c r="BJ23" s="30" t="n">
        <f aca="false">MIN($BH$6,BH23+BI23)</f>
        <v>0</v>
      </c>
      <c r="BK23" s="30" t="n">
        <f aca="false">MAX(0,MIN(BB23,BH23+BI23-BJ23))</f>
        <v>0</v>
      </c>
      <c r="BL23" s="29" t="n">
        <f aca="false">BB23-BK23</f>
        <v>0</v>
      </c>
      <c r="BM23" s="30" t="n">
        <f aca="false">BH23+BI23-BJ23-BK23</f>
        <v>0</v>
      </c>
      <c r="BN23" s="30" t="n">
        <f aca="false">BQ22</f>
        <v>0</v>
      </c>
      <c r="BO23" s="30" t="n">
        <f aca="false">BN23*$BH$5/12</f>
        <v>0</v>
      </c>
      <c r="BP23" s="30" t="n">
        <f aca="false">MIN($BH$6,BN23+BO23)</f>
        <v>0</v>
      </c>
      <c r="BQ23" s="30" t="n">
        <f aca="false">BN23+BO23-BP23</f>
        <v>0</v>
      </c>
      <c r="BR23" s="30" t="n">
        <f aca="false">BW22</f>
        <v>0</v>
      </c>
      <c r="BS23" s="30" t="n">
        <f aca="false">BR23*$BR$5/12</f>
        <v>0</v>
      </c>
      <c r="BT23" s="30" t="n">
        <f aca="false">MIN($BR$6,BR23+BS23)</f>
        <v>0</v>
      </c>
      <c r="BU23" s="30" t="n">
        <f aca="false">MAX(0,MIN(BL23,BR23+BS23-BT23))</f>
        <v>0</v>
      </c>
      <c r="BV23" s="29" t="n">
        <f aca="false">BL23-BU23</f>
        <v>0</v>
      </c>
      <c r="BW23" s="30" t="n">
        <f aca="false">BR23+BS23-BT23-BU23</f>
        <v>0</v>
      </c>
      <c r="BX23" s="30" t="n">
        <f aca="false">CA22</f>
        <v>0</v>
      </c>
      <c r="BY23" s="30" t="n">
        <f aca="false">BX23*$BR$5/12</f>
        <v>0</v>
      </c>
      <c r="BZ23" s="30" t="n">
        <f aca="false">MIN($BR$6,BX23+BY23)</f>
        <v>0</v>
      </c>
      <c r="CA23" s="30" t="n">
        <f aca="false">BX23+BY23-BZ23</f>
        <v>0</v>
      </c>
      <c r="CB23" s="30" t="n">
        <f aca="false">CG22</f>
        <v>0</v>
      </c>
      <c r="CC23" s="30" t="n">
        <f aca="false">CB23*$CB$5/12</f>
        <v>0</v>
      </c>
      <c r="CD23" s="30" t="n">
        <f aca="false">MIN($CB$6,CB23+CC23)</f>
        <v>0</v>
      </c>
      <c r="CE23" s="30" t="n">
        <f aca="false">MAX(0,MIN(BV23,CB23+CC23-CD23))</f>
        <v>0</v>
      </c>
      <c r="CF23" s="29" t="n">
        <f aca="false">BV23-CE23</f>
        <v>0</v>
      </c>
      <c r="CG23" s="30" t="n">
        <f aca="false">CB23+CC23-CD23-CE23</f>
        <v>0</v>
      </c>
      <c r="CH23" s="30" t="n">
        <f aca="false">CK22</f>
        <v>0</v>
      </c>
      <c r="CI23" s="30" t="n">
        <f aca="false">CH23*$CB$5/12</f>
        <v>0</v>
      </c>
      <c r="CJ23" s="30" t="n">
        <f aca="false">MIN($CB$6,CH23+CI23)</f>
        <v>0</v>
      </c>
      <c r="CK23" s="30" t="n">
        <f aca="false">CH23+CI23-CJ23</f>
        <v>0</v>
      </c>
    </row>
    <row r="24" customFormat="false" ht="15" hidden="false" customHeight="false" outlineLevel="0" collapsed="false">
      <c r="A24" s="0" t="n">
        <v>16</v>
      </c>
      <c r="B24" s="29" t="n">
        <f aca="false">'1 Your debts'!$B$16-(L24+V24+AF24+AP24+AZ24+BJ24+BT24+CD24)</f>
        <v>200</v>
      </c>
      <c r="C24" s="34" t="n">
        <f aca="false">O24+Y24+AI24+AS24+BC24+BM24+BW24+CG24</f>
        <v>17203.4854547598</v>
      </c>
      <c r="D24" s="34" t="n">
        <f aca="false">K24+U24+AE24+AO24+AY24+BI24+BS24+CC24</f>
        <v>116.852765459589</v>
      </c>
      <c r="F24" s="34" t="n">
        <f aca="false">S24+AC24+AM24+AW24+BG24+BQ24+CA24+CK24</f>
        <v>20955.315883848</v>
      </c>
      <c r="G24" s="34" t="n">
        <f aca="false">Q24+AA24+AK24+AU24+BE24+BO24+BY24+CI24</f>
        <v>189.310697706312</v>
      </c>
      <c r="J24" s="34" t="n">
        <f aca="false">O23</f>
        <v>415.573519497985</v>
      </c>
      <c r="K24" s="34" t="n">
        <f aca="false">J24*$J$5/12</f>
        <v>8.65431854354554</v>
      </c>
      <c r="L24" s="29" t="n">
        <f aca="false">MIN($J$6,J24+K24)</f>
        <v>105</v>
      </c>
      <c r="M24" s="30" t="n">
        <f aca="false">MAX(0,MIN($B24,J24+K24-L24))</f>
        <v>200</v>
      </c>
      <c r="N24" s="29" t="n">
        <f aca="false">$B24-M24</f>
        <v>0</v>
      </c>
      <c r="O24" s="34" t="n">
        <f aca="false">J24+K24-L24-M24</f>
        <v>119.227838041531</v>
      </c>
      <c r="P24" s="34" t="n">
        <f aca="false">S23</f>
        <v>3894.94601633943</v>
      </c>
      <c r="Q24" s="34" t="n">
        <f aca="false">P24*$J$5/12</f>
        <v>81.1122507902686</v>
      </c>
      <c r="R24" s="29" t="n">
        <f aca="false">MIN($J$6,P24+Q24)</f>
        <v>105</v>
      </c>
      <c r="S24" s="34" t="n">
        <f aca="false">P24+Q24-R24</f>
        <v>3871.0582671297</v>
      </c>
      <c r="T24" s="34" t="n">
        <f aca="false">Y23</f>
        <v>1546.51774129443</v>
      </c>
      <c r="U24" s="34" t="n">
        <f aca="false">T24*$T$5/12</f>
        <v>25.7624080403964</v>
      </c>
      <c r="V24" s="29" t="n">
        <f aca="false">MIN($T$6,T24+U24)</f>
        <v>45</v>
      </c>
      <c r="W24" s="30" t="n">
        <f aca="false">MAX(0,MIN(N24,T24+U24-V24))</f>
        <v>0</v>
      </c>
      <c r="X24" s="29" t="n">
        <f aca="false">N24-W24</f>
        <v>0</v>
      </c>
      <c r="Y24" s="34" t="n">
        <f aca="false">T24+U24-V24-W24</f>
        <v>1527.28014933483</v>
      </c>
      <c r="Z24" s="34" t="n">
        <f aca="false">AC23</f>
        <v>1546.51774129443</v>
      </c>
      <c r="AA24" s="34" t="n">
        <f aca="false">Z24*$T$5/12</f>
        <v>25.7624080403964</v>
      </c>
      <c r="AB24" s="29" t="n">
        <f aca="false">MIN($T$6,Z24+AA24)</f>
        <v>45</v>
      </c>
      <c r="AC24" s="34" t="n">
        <f aca="false">Z24+AA24-AB24</f>
        <v>1527.28014933483</v>
      </c>
      <c r="AD24" s="34" t="n">
        <f aca="false">AI23</f>
        <v>4976.36199749286</v>
      </c>
      <c r="AE24" s="34" t="n">
        <f aca="false">AD24*$AD$5/12</f>
        <v>32.761049816828</v>
      </c>
      <c r="AF24" s="29" t="n">
        <f aca="false">MIN($AD$6,AD24+AE24)</f>
        <v>210</v>
      </c>
      <c r="AG24" s="30" t="n">
        <f aca="false">MAX(0,MIN(X24,AD24+AE24-AF24))</f>
        <v>0</v>
      </c>
      <c r="AH24" s="29" t="n">
        <f aca="false">X24-AG24</f>
        <v>0</v>
      </c>
      <c r="AI24" s="34" t="n">
        <f aca="false">AD24+AE24-AF24-AG24</f>
        <v>4799.12304730969</v>
      </c>
      <c r="AJ24" s="34" t="n">
        <f aca="false">AM23</f>
        <v>4976.36199749286</v>
      </c>
      <c r="AK24" s="34" t="n">
        <f aca="false">AJ24*$AD$5/12</f>
        <v>32.761049816828</v>
      </c>
      <c r="AL24" s="29" t="n">
        <f aca="false">MIN($AD$6,AJ24+AK24)</f>
        <v>210</v>
      </c>
      <c r="AM24" s="34" t="n">
        <f aca="false">AJ24+AK24-AL24</f>
        <v>4799.12304730969</v>
      </c>
      <c r="AN24" s="34" t="n">
        <f aca="false">AS23</f>
        <v>10838.179431015</v>
      </c>
      <c r="AO24" s="34" t="n">
        <f aca="false">AN24*$AN$5/12</f>
        <v>49.6749890588186</v>
      </c>
      <c r="AP24" s="29" t="n">
        <f aca="false">MIN($AN$6,AN24+AO24)</f>
        <v>130</v>
      </c>
      <c r="AQ24" s="30" t="n">
        <f aca="false">MAX(0,MIN(AH24,AN24+AO24-AP24))</f>
        <v>0</v>
      </c>
      <c r="AR24" s="29" t="n">
        <f aca="false">AH24-AQ24</f>
        <v>0</v>
      </c>
      <c r="AS24" s="34" t="n">
        <f aca="false">AN24+AO24-AP24-AQ24</f>
        <v>10757.8544200738</v>
      </c>
      <c r="AT24" s="34" t="n">
        <f aca="false">AW23</f>
        <v>10838.179431015</v>
      </c>
      <c r="AU24" s="34" t="n">
        <f aca="false">AT24*$AN$5/12</f>
        <v>49.6749890588186</v>
      </c>
      <c r="AV24" s="29" t="n">
        <f aca="false">MIN($AN$6,AT24+AU24)</f>
        <v>130</v>
      </c>
      <c r="AW24" s="34" t="n">
        <f aca="false">AT24+AU24-AV24</f>
        <v>10757.8544200738</v>
      </c>
      <c r="AX24" s="30" t="n">
        <f aca="false">BC23</f>
        <v>0</v>
      </c>
      <c r="AY24" s="30" t="n">
        <f aca="false">AX24*$AX$5/12</f>
        <v>0</v>
      </c>
      <c r="AZ24" s="30" t="n">
        <f aca="false">MIN($AX$6,AX24+AY24)</f>
        <v>0</v>
      </c>
      <c r="BA24" s="30" t="n">
        <f aca="false">MAX(0,MIN(AR24,AX24+AY24-AZ24))</f>
        <v>0</v>
      </c>
      <c r="BB24" s="29" t="n">
        <f aca="false">AR24-BA24</f>
        <v>0</v>
      </c>
      <c r="BC24" s="30" t="n">
        <f aca="false">AX24+AY24-AZ24-BA24</f>
        <v>0</v>
      </c>
      <c r="BD24" s="30" t="n">
        <f aca="false">BG23</f>
        <v>0</v>
      </c>
      <c r="BE24" s="30" t="n">
        <f aca="false">BD24*$AX$5/12</f>
        <v>0</v>
      </c>
      <c r="BF24" s="30" t="n">
        <f aca="false">MIN($AX$6,BD24+BE24)</f>
        <v>0</v>
      </c>
      <c r="BG24" s="30" t="n">
        <f aca="false">BD24+BE24-BF24</f>
        <v>0</v>
      </c>
      <c r="BH24" s="30" t="n">
        <f aca="false">BM23</f>
        <v>0</v>
      </c>
      <c r="BI24" s="30" t="n">
        <f aca="false">BH24*$BH$5/12</f>
        <v>0</v>
      </c>
      <c r="BJ24" s="30" t="n">
        <f aca="false">MIN($BH$6,BH24+BI24)</f>
        <v>0</v>
      </c>
      <c r="BK24" s="30" t="n">
        <f aca="false">MAX(0,MIN(BB24,BH24+BI24-BJ24))</f>
        <v>0</v>
      </c>
      <c r="BL24" s="29" t="n">
        <f aca="false">BB24-BK24</f>
        <v>0</v>
      </c>
      <c r="BM24" s="30" t="n">
        <f aca="false">BH24+BI24-BJ24-BK24</f>
        <v>0</v>
      </c>
      <c r="BN24" s="30" t="n">
        <f aca="false">BQ23</f>
        <v>0</v>
      </c>
      <c r="BO24" s="30" t="n">
        <f aca="false">BN24*$BH$5/12</f>
        <v>0</v>
      </c>
      <c r="BP24" s="30" t="n">
        <f aca="false">MIN($BH$6,BN24+BO24)</f>
        <v>0</v>
      </c>
      <c r="BQ24" s="30" t="n">
        <f aca="false">BN24+BO24-BP24</f>
        <v>0</v>
      </c>
      <c r="BR24" s="30" t="n">
        <f aca="false">BW23</f>
        <v>0</v>
      </c>
      <c r="BS24" s="30" t="n">
        <f aca="false">BR24*$BR$5/12</f>
        <v>0</v>
      </c>
      <c r="BT24" s="30" t="n">
        <f aca="false">MIN($BR$6,BR24+BS24)</f>
        <v>0</v>
      </c>
      <c r="BU24" s="30" t="n">
        <f aca="false">MAX(0,MIN(BL24,BR24+BS24-BT24))</f>
        <v>0</v>
      </c>
      <c r="BV24" s="29" t="n">
        <f aca="false">BL24-BU24</f>
        <v>0</v>
      </c>
      <c r="BW24" s="30" t="n">
        <f aca="false">BR24+BS24-BT24-BU24</f>
        <v>0</v>
      </c>
      <c r="BX24" s="30" t="n">
        <f aca="false">CA23</f>
        <v>0</v>
      </c>
      <c r="BY24" s="30" t="n">
        <f aca="false">BX24*$BR$5/12</f>
        <v>0</v>
      </c>
      <c r="BZ24" s="30" t="n">
        <f aca="false">MIN($BR$6,BX24+BY24)</f>
        <v>0</v>
      </c>
      <c r="CA24" s="30" t="n">
        <f aca="false">BX24+BY24-BZ24</f>
        <v>0</v>
      </c>
      <c r="CB24" s="30" t="n">
        <f aca="false">CG23</f>
        <v>0</v>
      </c>
      <c r="CC24" s="30" t="n">
        <f aca="false">CB24*$CB$5/12</f>
        <v>0</v>
      </c>
      <c r="CD24" s="30" t="n">
        <f aca="false">MIN($CB$6,CB24+CC24)</f>
        <v>0</v>
      </c>
      <c r="CE24" s="30" t="n">
        <f aca="false">MAX(0,MIN(BV24,CB24+CC24-CD24))</f>
        <v>0</v>
      </c>
      <c r="CF24" s="29" t="n">
        <f aca="false">BV24-CE24</f>
        <v>0</v>
      </c>
      <c r="CG24" s="30" t="n">
        <f aca="false">CB24+CC24-CD24-CE24</f>
        <v>0</v>
      </c>
      <c r="CH24" s="30" t="n">
        <f aca="false">CK23</f>
        <v>0</v>
      </c>
      <c r="CI24" s="30" t="n">
        <f aca="false">CH24*$CB$5/12</f>
        <v>0</v>
      </c>
      <c r="CJ24" s="30" t="n">
        <f aca="false">MIN($CB$6,CH24+CI24)</f>
        <v>0</v>
      </c>
      <c r="CK24" s="30" t="n">
        <f aca="false">CH24+CI24-CJ24</f>
        <v>0</v>
      </c>
    </row>
    <row r="25" customFormat="false" ht="15" hidden="false" customHeight="false" outlineLevel="0" collapsed="false">
      <c r="A25" s="0" t="n">
        <v>17</v>
      </c>
      <c r="B25" s="29" t="n">
        <f aca="false">'1 Your debts'!$B$16-(L25+V25+AF25+AP25+AZ25+BJ25+BT25+CD25)</f>
        <v>200</v>
      </c>
      <c r="C25" s="34" t="n">
        <f aca="false">O25+Y25+AI25+AS25+BC25+BM25+BW25+CG25</f>
        <v>16622.3113757948</v>
      </c>
      <c r="D25" s="34" t="n">
        <f aca="false">K25+U25+AE25+AO25+AY25+BI25+BS25+CC25</f>
        <v>108.825921035011</v>
      </c>
      <c r="F25" s="34" t="n">
        <f aca="false">S25+AC25+AM25+AW25+BG25+BQ25+CA25+CK25</f>
        <v>20652.2736735688</v>
      </c>
      <c r="G25" s="34" t="n">
        <f aca="false">Q25+AA25+AK25+AU25+BE25+BO25+BY25+CI25</f>
        <v>186.957789720772</v>
      </c>
      <c r="J25" s="34" t="n">
        <f aca="false">O24</f>
        <v>119.227838041531</v>
      </c>
      <c r="K25" s="34" t="n">
        <f aca="false">J25*$J$5/12</f>
        <v>2.48291972721488</v>
      </c>
      <c r="L25" s="29" t="n">
        <f aca="false">MIN($J$6,J25+K25)</f>
        <v>105</v>
      </c>
      <c r="M25" s="30" t="n">
        <f aca="false">MAX(0,MIN($B25,J25+K25-L25))</f>
        <v>16.7107577687456</v>
      </c>
      <c r="N25" s="29" t="n">
        <f aca="false">$B25-M25</f>
        <v>183.289242231254</v>
      </c>
      <c r="O25" s="34" t="n">
        <f aca="false">J25+K25-L25-M25</f>
        <v>0</v>
      </c>
      <c r="P25" s="34" t="n">
        <f aca="false">S24</f>
        <v>3871.0582671297</v>
      </c>
      <c r="Q25" s="34" t="n">
        <f aca="false">P25*$J$5/12</f>
        <v>80.6147884129759</v>
      </c>
      <c r="R25" s="29" t="n">
        <f aca="false">MIN($J$6,P25+Q25)</f>
        <v>105</v>
      </c>
      <c r="S25" s="34" t="n">
        <f aca="false">P25+Q25-R25</f>
        <v>3846.67305554267</v>
      </c>
      <c r="T25" s="34" t="n">
        <f aca="false">Y24</f>
        <v>1527.28014933483</v>
      </c>
      <c r="U25" s="34" t="n">
        <f aca="false">T25*$T$5/12</f>
        <v>25.4419418210027</v>
      </c>
      <c r="V25" s="29" t="n">
        <f aca="false">MIN($T$6,T25+U25)</f>
        <v>45</v>
      </c>
      <c r="W25" s="30" t="n">
        <f aca="false">MAX(0,MIN(N25,T25+U25-V25))</f>
        <v>183.289242231254</v>
      </c>
      <c r="X25" s="29" t="n">
        <f aca="false">N25-W25</f>
        <v>0</v>
      </c>
      <c r="Y25" s="34" t="n">
        <f aca="false">T25+U25-V25-W25</f>
        <v>1324.43284892458</v>
      </c>
      <c r="Z25" s="34" t="n">
        <f aca="false">AC24</f>
        <v>1527.28014933483</v>
      </c>
      <c r="AA25" s="34" t="n">
        <f aca="false">Z25*$T$5/12</f>
        <v>25.4419418210027</v>
      </c>
      <c r="AB25" s="29" t="n">
        <f aca="false">MIN($T$6,Z25+AA25)</f>
        <v>45</v>
      </c>
      <c r="AC25" s="34" t="n">
        <f aca="false">Z25+AA25-AB25</f>
        <v>1507.72209115583</v>
      </c>
      <c r="AD25" s="34" t="n">
        <f aca="false">AI24</f>
        <v>4799.12304730969</v>
      </c>
      <c r="AE25" s="34" t="n">
        <f aca="false">AD25*$AD$5/12</f>
        <v>31.5942267281221</v>
      </c>
      <c r="AF25" s="29" t="n">
        <f aca="false">MIN($AD$6,AD25+AE25)</f>
        <v>210</v>
      </c>
      <c r="AG25" s="30" t="n">
        <f aca="false">MAX(0,MIN(X25,AD25+AE25-AF25))</f>
        <v>0</v>
      </c>
      <c r="AH25" s="29" t="n">
        <f aca="false">X25-AG25</f>
        <v>0</v>
      </c>
      <c r="AI25" s="34" t="n">
        <f aca="false">AD25+AE25-AF25-AG25</f>
        <v>4620.71727403781</v>
      </c>
      <c r="AJ25" s="34" t="n">
        <f aca="false">AM24</f>
        <v>4799.12304730969</v>
      </c>
      <c r="AK25" s="34" t="n">
        <f aca="false">AJ25*$AD$5/12</f>
        <v>31.5942267281221</v>
      </c>
      <c r="AL25" s="29" t="n">
        <f aca="false">MIN($AD$6,AJ25+AK25)</f>
        <v>210</v>
      </c>
      <c r="AM25" s="34" t="n">
        <f aca="false">AJ25+AK25-AL25</f>
        <v>4620.71727403781</v>
      </c>
      <c r="AN25" s="34" t="n">
        <f aca="false">AS24</f>
        <v>10757.8544200738</v>
      </c>
      <c r="AO25" s="34" t="n">
        <f aca="false">AN25*$AN$5/12</f>
        <v>49.3068327586715</v>
      </c>
      <c r="AP25" s="29" t="n">
        <f aca="false">MIN($AN$6,AN25+AO25)</f>
        <v>130</v>
      </c>
      <c r="AQ25" s="30" t="n">
        <f aca="false">MAX(0,MIN(AH25,AN25+AO25-AP25))</f>
        <v>0</v>
      </c>
      <c r="AR25" s="29" t="n">
        <f aca="false">AH25-AQ25</f>
        <v>0</v>
      </c>
      <c r="AS25" s="34" t="n">
        <f aca="false">AN25+AO25-AP25-AQ25</f>
        <v>10677.1612528325</v>
      </c>
      <c r="AT25" s="34" t="n">
        <f aca="false">AW24</f>
        <v>10757.8544200738</v>
      </c>
      <c r="AU25" s="34" t="n">
        <f aca="false">AT25*$AN$5/12</f>
        <v>49.3068327586715</v>
      </c>
      <c r="AV25" s="29" t="n">
        <f aca="false">MIN($AN$6,AT25+AU25)</f>
        <v>130</v>
      </c>
      <c r="AW25" s="34" t="n">
        <f aca="false">AT25+AU25-AV25</f>
        <v>10677.1612528325</v>
      </c>
      <c r="AX25" s="30" t="n">
        <f aca="false">BC24</f>
        <v>0</v>
      </c>
      <c r="AY25" s="30" t="n">
        <f aca="false">AX25*$AX$5/12</f>
        <v>0</v>
      </c>
      <c r="AZ25" s="30" t="n">
        <f aca="false">MIN($AX$6,AX25+AY25)</f>
        <v>0</v>
      </c>
      <c r="BA25" s="30" t="n">
        <f aca="false">MAX(0,MIN(AR25,AX25+AY25-AZ25))</f>
        <v>0</v>
      </c>
      <c r="BB25" s="29" t="n">
        <f aca="false">AR25-BA25</f>
        <v>0</v>
      </c>
      <c r="BC25" s="30" t="n">
        <f aca="false">AX25+AY25-AZ25-BA25</f>
        <v>0</v>
      </c>
      <c r="BD25" s="30" t="n">
        <f aca="false">BG24</f>
        <v>0</v>
      </c>
      <c r="BE25" s="30" t="n">
        <f aca="false">BD25*$AX$5/12</f>
        <v>0</v>
      </c>
      <c r="BF25" s="30" t="n">
        <f aca="false">MIN($AX$6,BD25+BE25)</f>
        <v>0</v>
      </c>
      <c r="BG25" s="30" t="n">
        <f aca="false">BD25+BE25-BF25</f>
        <v>0</v>
      </c>
      <c r="BH25" s="30" t="n">
        <f aca="false">BM24</f>
        <v>0</v>
      </c>
      <c r="BI25" s="30" t="n">
        <f aca="false">BH25*$BH$5/12</f>
        <v>0</v>
      </c>
      <c r="BJ25" s="30" t="n">
        <f aca="false">MIN($BH$6,BH25+BI25)</f>
        <v>0</v>
      </c>
      <c r="BK25" s="30" t="n">
        <f aca="false">MAX(0,MIN(BB25,BH25+BI25-BJ25))</f>
        <v>0</v>
      </c>
      <c r="BL25" s="29" t="n">
        <f aca="false">BB25-BK25</f>
        <v>0</v>
      </c>
      <c r="BM25" s="30" t="n">
        <f aca="false">BH25+BI25-BJ25-BK25</f>
        <v>0</v>
      </c>
      <c r="BN25" s="30" t="n">
        <f aca="false">BQ24</f>
        <v>0</v>
      </c>
      <c r="BO25" s="30" t="n">
        <f aca="false">BN25*$BH$5/12</f>
        <v>0</v>
      </c>
      <c r="BP25" s="30" t="n">
        <f aca="false">MIN($BH$6,BN25+BO25)</f>
        <v>0</v>
      </c>
      <c r="BQ25" s="30" t="n">
        <f aca="false">BN25+BO25-BP25</f>
        <v>0</v>
      </c>
      <c r="BR25" s="30" t="n">
        <f aca="false">BW24</f>
        <v>0</v>
      </c>
      <c r="BS25" s="30" t="n">
        <f aca="false">BR25*$BR$5/12</f>
        <v>0</v>
      </c>
      <c r="BT25" s="30" t="n">
        <f aca="false">MIN($BR$6,BR25+BS25)</f>
        <v>0</v>
      </c>
      <c r="BU25" s="30" t="n">
        <f aca="false">MAX(0,MIN(BL25,BR25+BS25-BT25))</f>
        <v>0</v>
      </c>
      <c r="BV25" s="29" t="n">
        <f aca="false">BL25-BU25</f>
        <v>0</v>
      </c>
      <c r="BW25" s="30" t="n">
        <f aca="false">BR25+BS25-BT25-BU25</f>
        <v>0</v>
      </c>
      <c r="BX25" s="30" t="n">
        <f aca="false">CA24</f>
        <v>0</v>
      </c>
      <c r="BY25" s="30" t="n">
        <f aca="false">BX25*$BR$5/12</f>
        <v>0</v>
      </c>
      <c r="BZ25" s="30" t="n">
        <f aca="false">MIN($BR$6,BX25+BY25)</f>
        <v>0</v>
      </c>
      <c r="CA25" s="30" t="n">
        <f aca="false">BX25+BY25-BZ25</f>
        <v>0</v>
      </c>
      <c r="CB25" s="30" t="n">
        <f aca="false">CG24</f>
        <v>0</v>
      </c>
      <c r="CC25" s="30" t="n">
        <f aca="false">CB25*$CB$5/12</f>
        <v>0</v>
      </c>
      <c r="CD25" s="30" t="n">
        <f aca="false">MIN($CB$6,CB25+CC25)</f>
        <v>0</v>
      </c>
      <c r="CE25" s="30" t="n">
        <f aca="false">MAX(0,MIN(BV25,CB25+CC25-CD25))</f>
        <v>0</v>
      </c>
      <c r="CF25" s="29" t="n">
        <f aca="false">BV25-CE25</f>
        <v>0</v>
      </c>
      <c r="CG25" s="30" t="n">
        <f aca="false">CB25+CC25-CD25-CE25</f>
        <v>0</v>
      </c>
      <c r="CH25" s="30" t="n">
        <f aca="false">CK24</f>
        <v>0</v>
      </c>
      <c r="CI25" s="30" t="n">
        <f aca="false">CH25*$CB$5/12</f>
        <v>0</v>
      </c>
      <c r="CJ25" s="30" t="n">
        <f aca="false">MIN($CB$6,CH25+CI25)</f>
        <v>0</v>
      </c>
      <c r="CK25" s="30" t="n">
        <f aca="false">CH25+CI25-CJ25</f>
        <v>0</v>
      </c>
    </row>
    <row r="26" customFormat="false" ht="15" hidden="false" customHeight="false" outlineLevel="0" collapsed="false">
      <c r="A26" s="0" t="n">
        <v>18</v>
      </c>
      <c r="B26" s="29" t="n">
        <f aca="false">'1 Your debts'!$B$16-(L26+V26+AF26+AP26+AZ26+BJ26+BT26+CD26)</f>
        <v>305</v>
      </c>
      <c r="C26" s="34" t="n">
        <f aca="false">O26+Y26+AI26+AS26+BC26+BM26+BW26+CG26</f>
        <v>16033.7309307994</v>
      </c>
      <c r="D26" s="34" t="n">
        <f aca="false">K26+U26+AE26+AO26+AY26+BI26+BS26+CC26</f>
        <v>101.419555004566</v>
      </c>
      <c r="F26" s="34" t="n">
        <f aca="false">S26+AC26+AM26+AW26+BG26+BQ26+CA26+CK26</f>
        <v>20346.8534882485</v>
      </c>
      <c r="G26" s="34" t="n">
        <f aca="false">Q26+AA26+AK26+AU26+BE26+BO26+BY26+CI26</f>
        <v>184.579814679745</v>
      </c>
      <c r="J26" s="34" t="n">
        <f aca="false">O25</f>
        <v>0</v>
      </c>
      <c r="K26" s="34" t="n">
        <f aca="false">J26*$J$5/12</f>
        <v>0</v>
      </c>
      <c r="L26" s="29" t="n">
        <f aca="false">MIN($J$6,J26+K26)</f>
        <v>0</v>
      </c>
      <c r="M26" s="30" t="n">
        <f aca="false">MAX(0,MIN($B26,J26+K26-L26))</f>
        <v>0</v>
      </c>
      <c r="N26" s="29" t="n">
        <f aca="false">$B26-M26</f>
        <v>305</v>
      </c>
      <c r="O26" s="34" t="n">
        <f aca="false">J26+K26-L26-M26</f>
        <v>0</v>
      </c>
      <c r="P26" s="34" t="n">
        <f aca="false">S25</f>
        <v>3846.67305554267</v>
      </c>
      <c r="Q26" s="34" t="n">
        <f aca="false">P26*$J$5/12</f>
        <v>80.1069663816762</v>
      </c>
      <c r="R26" s="29" t="n">
        <f aca="false">MIN($J$6,P26+Q26)</f>
        <v>105</v>
      </c>
      <c r="S26" s="34" t="n">
        <f aca="false">P26+Q26-R26</f>
        <v>3821.78002192435</v>
      </c>
      <c r="T26" s="34" t="n">
        <f aca="false">Y25</f>
        <v>1324.43284892458</v>
      </c>
      <c r="U26" s="34" t="n">
        <f aca="false">T26*$T$5/12</f>
        <v>22.0628438750019</v>
      </c>
      <c r="V26" s="29" t="n">
        <f aca="false">MIN($T$6,T26+U26)</f>
        <v>45</v>
      </c>
      <c r="W26" s="30" t="n">
        <f aca="false">MAX(0,MIN(N26,T26+U26-V26))</f>
        <v>305</v>
      </c>
      <c r="X26" s="29" t="n">
        <f aca="false">N26-W26</f>
        <v>0</v>
      </c>
      <c r="Y26" s="34" t="n">
        <f aca="false">T26+U26-V26-W26</f>
        <v>996.495692799578</v>
      </c>
      <c r="Z26" s="34" t="n">
        <f aca="false">AC25</f>
        <v>1507.72209115583</v>
      </c>
      <c r="AA26" s="34" t="n">
        <f aca="false">Z26*$T$5/12</f>
        <v>25.1161371685042</v>
      </c>
      <c r="AB26" s="29" t="n">
        <f aca="false">MIN($T$6,Z26+AA26)</f>
        <v>45</v>
      </c>
      <c r="AC26" s="34" t="n">
        <f aca="false">Z26+AA26-AB26</f>
        <v>1487.83822832433</v>
      </c>
      <c r="AD26" s="34" t="n">
        <f aca="false">AI25</f>
        <v>4620.71727403781</v>
      </c>
      <c r="AE26" s="34" t="n">
        <f aca="false">AD26*$AD$5/12</f>
        <v>30.4197220540822</v>
      </c>
      <c r="AF26" s="29" t="n">
        <f aca="false">MIN($AD$6,AD26+AE26)</f>
        <v>210</v>
      </c>
      <c r="AG26" s="30" t="n">
        <f aca="false">MAX(0,MIN(X26,AD26+AE26-AF26))</f>
        <v>0</v>
      </c>
      <c r="AH26" s="29" t="n">
        <f aca="false">X26-AG26</f>
        <v>0</v>
      </c>
      <c r="AI26" s="34" t="n">
        <f aca="false">AD26+AE26-AF26-AG26</f>
        <v>4441.13699609189</v>
      </c>
      <c r="AJ26" s="34" t="n">
        <f aca="false">AM25</f>
        <v>4620.71727403781</v>
      </c>
      <c r="AK26" s="34" t="n">
        <f aca="false">AJ26*$AD$5/12</f>
        <v>30.4197220540822</v>
      </c>
      <c r="AL26" s="29" t="n">
        <f aca="false">MIN($AD$6,AJ26+AK26)</f>
        <v>210</v>
      </c>
      <c r="AM26" s="34" t="n">
        <f aca="false">AJ26+AK26-AL26</f>
        <v>4441.13699609189</v>
      </c>
      <c r="AN26" s="34" t="n">
        <f aca="false">AS25</f>
        <v>10677.1612528325</v>
      </c>
      <c r="AO26" s="34" t="n">
        <f aca="false">AN26*$AN$5/12</f>
        <v>48.9369890754821</v>
      </c>
      <c r="AP26" s="29" t="n">
        <f aca="false">MIN($AN$6,AN26+AO26)</f>
        <v>130</v>
      </c>
      <c r="AQ26" s="30" t="n">
        <f aca="false">MAX(0,MIN(AH26,AN26+AO26-AP26))</f>
        <v>0</v>
      </c>
      <c r="AR26" s="29" t="n">
        <f aca="false">AH26-AQ26</f>
        <v>0</v>
      </c>
      <c r="AS26" s="34" t="n">
        <f aca="false">AN26+AO26-AP26-AQ26</f>
        <v>10596.0982419079</v>
      </c>
      <c r="AT26" s="34" t="n">
        <f aca="false">AW25</f>
        <v>10677.1612528325</v>
      </c>
      <c r="AU26" s="34" t="n">
        <f aca="false">AT26*$AN$5/12</f>
        <v>48.9369890754821</v>
      </c>
      <c r="AV26" s="29" t="n">
        <f aca="false">MIN($AN$6,AT26+AU26)</f>
        <v>130</v>
      </c>
      <c r="AW26" s="34" t="n">
        <f aca="false">AT26+AU26-AV26</f>
        <v>10596.0982419079</v>
      </c>
      <c r="AX26" s="30" t="n">
        <f aca="false">BC25</f>
        <v>0</v>
      </c>
      <c r="AY26" s="30" t="n">
        <f aca="false">AX26*$AX$5/12</f>
        <v>0</v>
      </c>
      <c r="AZ26" s="30" t="n">
        <f aca="false">MIN($AX$6,AX26+AY26)</f>
        <v>0</v>
      </c>
      <c r="BA26" s="30" t="n">
        <f aca="false">MAX(0,MIN(AR26,AX26+AY26-AZ26))</f>
        <v>0</v>
      </c>
      <c r="BB26" s="29" t="n">
        <f aca="false">AR26-BA26</f>
        <v>0</v>
      </c>
      <c r="BC26" s="30" t="n">
        <f aca="false">AX26+AY26-AZ26-BA26</f>
        <v>0</v>
      </c>
      <c r="BD26" s="30" t="n">
        <f aca="false">BG25</f>
        <v>0</v>
      </c>
      <c r="BE26" s="30" t="n">
        <f aca="false">BD26*$AX$5/12</f>
        <v>0</v>
      </c>
      <c r="BF26" s="30" t="n">
        <f aca="false">MIN($AX$6,BD26+BE26)</f>
        <v>0</v>
      </c>
      <c r="BG26" s="30" t="n">
        <f aca="false">BD26+BE26-BF26</f>
        <v>0</v>
      </c>
      <c r="BH26" s="30" t="n">
        <f aca="false">BM25</f>
        <v>0</v>
      </c>
      <c r="BI26" s="30" t="n">
        <f aca="false">BH26*$BH$5/12</f>
        <v>0</v>
      </c>
      <c r="BJ26" s="30" t="n">
        <f aca="false">MIN($BH$6,BH26+BI26)</f>
        <v>0</v>
      </c>
      <c r="BK26" s="30" t="n">
        <f aca="false">MAX(0,MIN(BB26,BH26+BI26-BJ26))</f>
        <v>0</v>
      </c>
      <c r="BL26" s="29" t="n">
        <f aca="false">BB26-BK26</f>
        <v>0</v>
      </c>
      <c r="BM26" s="30" t="n">
        <f aca="false">BH26+BI26-BJ26-BK26</f>
        <v>0</v>
      </c>
      <c r="BN26" s="30" t="n">
        <f aca="false">BQ25</f>
        <v>0</v>
      </c>
      <c r="BO26" s="30" t="n">
        <f aca="false">BN26*$BH$5/12</f>
        <v>0</v>
      </c>
      <c r="BP26" s="30" t="n">
        <f aca="false">MIN($BH$6,BN26+BO26)</f>
        <v>0</v>
      </c>
      <c r="BQ26" s="30" t="n">
        <f aca="false">BN26+BO26-BP26</f>
        <v>0</v>
      </c>
      <c r="BR26" s="30" t="n">
        <f aca="false">BW25</f>
        <v>0</v>
      </c>
      <c r="BS26" s="30" t="n">
        <f aca="false">BR26*$BR$5/12</f>
        <v>0</v>
      </c>
      <c r="BT26" s="30" t="n">
        <f aca="false">MIN($BR$6,BR26+BS26)</f>
        <v>0</v>
      </c>
      <c r="BU26" s="30" t="n">
        <f aca="false">MAX(0,MIN(BL26,BR26+BS26-BT26))</f>
        <v>0</v>
      </c>
      <c r="BV26" s="29" t="n">
        <f aca="false">BL26-BU26</f>
        <v>0</v>
      </c>
      <c r="BW26" s="30" t="n">
        <f aca="false">BR26+BS26-BT26-BU26</f>
        <v>0</v>
      </c>
      <c r="BX26" s="30" t="n">
        <f aca="false">CA25</f>
        <v>0</v>
      </c>
      <c r="BY26" s="30" t="n">
        <f aca="false">BX26*$BR$5/12</f>
        <v>0</v>
      </c>
      <c r="BZ26" s="30" t="n">
        <f aca="false">MIN($BR$6,BX26+BY26)</f>
        <v>0</v>
      </c>
      <c r="CA26" s="30" t="n">
        <f aca="false">BX26+BY26-BZ26</f>
        <v>0</v>
      </c>
      <c r="CB26" s="30" t="n">
        <f aca="false">CG25</f>
        <v>0</v>
      </c>
      <c r="CC26" s="30" t="n">
        <f aca="false">CB26*$CB$5/12</f>
        <v>0</v>
      </c>
      <c r="CD26" s="30" t="n">
        <f aca="false">MIN($CB$6,CB26+CC26)</f>
        <v>0</v>
      </c>
      <c r="CE26" s="30" t="n">
        <f aca="false">MAX(0,MIN(BV26,CB26+CC26-CD26))</f>
        <v>0</v>
      </c>
      <c r="CF26" s="29" t="n">
        <f aca="false">BV26-CE26</f>
        <v>0</v>
      </c>
      <c r="CG26" s="30" t="n">
        <f aca="false">CB26+CC26-CD26-CE26</f>
        <v>0</v>
      </c>
      <c r="CH26" s="30" t="n">
        <f aca="false">CK25</f>
        <v>0</v>
      </c>
      <c r="CI26" s="30" t="n">
        <f aca="false">CH26*$CB$5/12</f>
        <v>0</v>
      </c>
      <c r="CJ26" s="30" t="n">
        <f aca="false">MIN($CB$6,CH26+CI26)</f>
        <v>0</v>
      </c>
      <c r="CK26" s="30" t="n">
        <f aca="false">CH26+CI26-CJ26</f>
        <v>0</v>
      </c>
    </row>
    <row r="27" customFormat="false" ht="15" hidden="false" customHeight="false" outlineLevel="0" collapsed="false">
      <c r="A27" s="0" t="n">
        <v>19</v>
      </c>
      <c r="B27" s="29" t="n">
        <f aca="false">'1 Your debts'!$B$16-(L27+V27+AF27+AP27+AZ27+BJ27+BT27+CD27)</f>
        <v>305</v>
      </c>
      <c r="C27" s="34" t="n">
        <f aca="false">O27+Y27+AI27+AS27+BC27+BM27+BW27+CG27</f>
        <v>15438.133823715</v>
      </c>
      <c r="D27" s="34" t="n">
        <f aca="false">K27+U27+AE27+AO27+AY27+BI27+BS27+CC27</f>
        <v>94.4028929155693</v>
      </c>
      <c r="F27" s="34" t="n">
        <f aca="false">S27+AC27+AM27+AW27+BG27+BQ27+CA27+CK27</f>
        <v>20039.0298978583</v>
      </c>
      <c r="G27" s="34" t="n">
        <f aca="false">Q27+AA27+AK27+AU27+BE27+BO27+BY27+CI27</f>
        <v>182.17640960976</v>
      </c>
      <c r="J27" s="34" t="n">
        <f aca="false">O26</f>
        <v>0</v>
      </c>
      <c r="K27" s="34" t="n">
        <f aca="false">J27*$J$5/12</f>
        <v>0</v>
      </c>
      <c r="L27" s="29" t="n">
        <f aca="false">MIN($J$6,J27+K27)</f>
        <v>0</v>
      </c>
      <c r="M27" s="30" t="n">
        <f aca="false">MAX(0,MIN($B27,J27+K27-L27))</f>
        <v>0</v>
      </c>
      <c r="N27" s="29" t="n">
        <f aca="false">$B27-M27</f>
        <v>305</v>
      </c>
      <c r="O27" s="34" t="n">
        <f aca="false">J27+K27-L27-M27</f>
        <v>0</v>
      </c>
      <c r="P27" s="34" t="n">
        <f aca="false">S26</f>
        <v>3821.78002192435</v>
      </c>
      <c r="Q27" s="34" t="n">
        <f aca="false">P27*$J$5/12</f>
        <v>79.5885689565746</v>
      </c>
      <c r="R27" s="29" t="n">
        <f aca="false">MIN($J$6,P27+Q27)</f>
        <v>105</v>
      </c>
      <c r="S27" s="34" t="n">
        <f aca="false">P27+Q27-R27</f>
        <v>3796.36859088092</v>
      </c>
      <c r="T27" s="34" t="n">
        <f aca="false">Y26</f>
        <v>996.495692799578</v>
      </c>
      <c r="U27" s="34" t="n">
        <f aca="false">T27*$T$5/12</f>
        <v>16.5999574158863</v>
      </c>
      <c r="V27" s="29" t="n">
        <f aca="false">MIN($T$6,T27+U27)</f>
        <v>45</v>
      </c>
      <c r="W27" s="30" t="n">
        <f aca="false">MAX(0,MIN(N27,T27+U27-V27))</f>
        <v>305</v>
      </c>
      <c r="X27" s="29" t="n">
        <f aca="false">N27-W27</f>
        <v>0</v>
      </c>
      <c r="Y27" s="34" t="n">
        <f aca="false">T27+U27-V27-W27</f>
        <v>663.095650215464</v>
      </c>
      <c r="Z27" s="34" t="n">
        <f aca="false">AC26</f>
        <v>1487.83822832433</v>
      </c>
      <c r="AA27" s="34" t="n">
        <f aca="false">Z27*$T$5/12</f>
        <v>24.7849051535029</v>
      </c>
      <c r="AB27" s="29" t="n">
        <f aca="false">MIN($T$6,Z27+AA27)</f>
        <v>45</v>
      </c>
      <c r="AC27" s="34" t="n">
        <f aca="false">Z27+AA27-AB27</f>
        <v>1467.62313347784</v>
      </c>
      <c r="AD27" s="34" t="n">
        <f aca="false">AI26</f>
        <v>4441.13699609189</v>
      </c>
      <c r="AE27" s="34" t="n">
        <f aca="false">AD27*$AD$5/12</f>
        <v>29.2374852242716</v>
      </c>
      <c r="AF27" s="29" t="n">
        <f aca="false">MIN($AD$6,AD27+AE27)</f>
        <v>210</v>
      </c>
      <c r="AG27" s="30" t="n">
        <f aca="false">MAX(0,MIN(X27,AD27+AE27-AF27))</f>
        <v>0</v>
      </c>
      <c r="AH27" s="29" t="n">
        <f aca="false">X27-AG27</f>
        <v>0</v>
      </c>
      <c r="AI27" s="34" t="n">
        <f aca="false">AD27+AE27-AF27-AG27</f>
        <v>4260.37448131616</v>
      </c>
      <c r="AJ27" s="34" t="n">
        <f aca="false">AM26</f>
        <v>4441.13699609189</v>
      </c>
      <c r="AK27" s="34" t="n">
        <f aca="false">AJ27*$AD$5/12</f>
        <v>29.2374852242716</v>
      </c>
      <c r="AL27" s="29" t="n">
        <f aca="false">MIN($AD$6,AJ27+AK27)</f>
        <v>210</v>
      </c>
      <c r="AM27" s="34" t="n">
        <f aca="false">AJ27+AK27-AL27</f>
        <v>4260.37448131616</v>
      </c>
      <c r="AN27" s="34" t="n">
        <f aca="false">AS26</f>
        <v>10596.0982419079</v>
      </c>
      <c r="AO27" s="34" t="n">
        <f aca="false">AN27*$AN$5/12</f>
        <v>48.5654502754114</v>
      </c>
      <c r="AP27" s="29" t="n">
        <f aca="false">MIN($AN$6,AN27+AO27)</f>
        <v>130</v>
      </c>
      <c r="AQ27" s="30" t="n">
        <f aca="false">MAX(0,MIN(AH27,AN27+AO27-AP27))</f>
        <v>0</v>
      </c>
      <c r="AR27" s="29" t="n">
        <f aca="false">AH27-AQ27</f>
        <v>0</v>
      </c>
      <c r="AS27" s="34" t="n">
        <f aca="false">AN27+AO27-AP27-AQ27</f>
        <v>10514.6636921834</v>
      </c>
      <c r="AT27" s="34" t="n">
        <f aca="false">AW26</f>
        <v>10596.0982419079</v>
      </c>
      <c r="AU27" s="34" t="n">
        <f aca="false">AT27*$AN$5/12</f>
        <v>48.5654502754114</v>
      </c>
      <c r="AV27" s="29" t="n">
        <f aca="false">MIN($AN$6,AT27+AU27)</f>
        <v>130</v>
      </c>
      <c r="AW27" s="34" t="n">
        <f aca="false">AT27+AU27-AV27</f>
        <v>10514.6636921834</v>
      </c>
      <c r="AX27" s="30" t="n">
        <f aca="false">BC26</f>
        <v>0</v>
      </c>
      <c r="AY27" s="30" t="n">
        <f aca="false">AX27*$AX$5/12</f>
        <v>0</v>
      </c>
      <c r="AZ27" s="30" t="n">
        <f aca="false">MIN($AX$6,AX27+AY27)</f>
        <v>0</v>
      </c>
      <c r="BA27" s="30" t="n">
        <f aca="false">MAX(0,MIN(AR27,AX27+AY27-AZ27))</f>
        <v>0</v>
      </c>
      <c r="BB27" s="29" t="n">
        <f aca="false">AR27-BA27</f>
        <v>0</v>
      </c>
      <c r="BC27" s="30" t="n">
        <f aca="false">AX27+AY27-AZ27-BA27</f>
        <v>0</v>
      </c>
      <c r="BD27" s="30" t="n">
        <f aca="false">BG26</f>
        <v>0</v>
      </c>
      <c r="BE27" s="30" t="n">
        <f aca="false">BD27*$AX$5/12</f>
        <v>0</v>
      </c>
      <c r="BF27" s="30" t="n">
        <f aca="false">MIN($AX$6,BD27+BE27)</f>
        <v>0</v>
      </c>
      <c r="BG27" s="30" t="n">
        <f aca="false">BD27+BE27-BF27</f>
        <v>0</v>
      </c>
      <c r="BH27" s="30" t="n">
        <f aca="false">BM26</f>
        <v>0</v>
      </c>
      <c r="BI27" s="30" t="n">
        <f aca="false">BH27*$BH$5/12</f>
        <v>0</v>
      </c>
      <c r="BJ27" s="30" t="n">
        <f aca="false">MIN($BH$6,BH27+BI27)</f>
        <v>0</v>
      </c>
      <c r="BK27" s="30" t="n">
        <f aca="false">MAX(0,MIN(BB27,BH27+BI27-BJ27))</f>
        <v>0</v>
      </c>
      <c r="BL27" s="29" t="n">
        <f aca="false">BB27-BK27</f>
        <v>0</v>
      </c>
      <c r="BM27" s="30" t="n">
        <f aca="false">BH27+BI27-BJ27-BK27</f>
        <v>0</v>
      </c>
      <c r="BN27" s="30" t="n">
        <f aca="false">BQ26</f>
        <v>0</v>
      </c>
      <c r="BO27" s="30" t="n">
        <f aca="false">BN27*$BH$5/12</f>
        <v>0</v>
      </c>
      <c r="BP27" s="30" t="n">
        <f aca="false">MIN($BH$6,BN27+BO27)</f>
        <v>0</v>
      </c>
      <c r="BQ27" s="30" t="n">
        <f aca="false">BN27+BO27-BP27</f>
        <v>0</v>
      </c>
      <c r="BR27" s="30" t="n">
        <f aca="false">BW26</f>
        <v>0</v>
      </c>
      <c r="BS27" s="30" t="n">
        <f aca="false">BR27*$BR$5/12</f>
        <v>0</v>
      </c>
      <c r="BT27" s="30" t="n">
        <f aca="false">MIN($BR$6,BR27+BS27)</f>
        <v>0</v>
      </c>
      <c r="BU27" s="30" t="n">
        <f aca="false">MAX(0,MIN(BL27,BR27+BS27-BT27))</f>
        <v>0</v>
      </c>
      <c r="BV27" s="29" t="n">
        <f aca="false">BL27-BU27</f>
        <v>0</v>
      </c>
      <c r="BW27" s="30" t="n">
        <f aca="false">BR27+BS27-BT27-BU27</f>
        <v>0</v>
      </c>
      <c r="BX27" s="30" t="n">
        <f aca="false">CA26</f>
        <v>0</v>
      </c>
      <c r="BY27" s="30" t="n">
        <f aca="false">BX27*$BR$5/12</f>
        <v>0</v>
      </c>
      <c r="BZ27" s="30" t="n">
        <f aca="false">MIN($BR$6,BX27+BY27)</f>
        <v>0</v>
      </c>
      <c r="CA27" s="30" t="n">
        <f aca="false">BX27+BY27-BZ27</f>
        <v>0</v>
      </c>
      <c r="CB27" s="30" t="n">
        <f aca="false">CG26</f>
        <v>0</v>
      </c>
      <c r="CC27" s="30" t="n">
        <f aca="false">CB27*$CB$5/12</f>
        <v>0</v>
      </c>
      <c r="CD27" s="30" t="n">
        <f aca="false">MIN($CB$6,CB27+CC27)</f>
        <v>0</v>
      </c>
      <c r="CE27" s="30" t="n">
        <f aca="false">MAX(0,MIN(BV27,CB27+CC27-CD27))</f>
        <v>0</v>
      </c>
      <c r="CF27" s="29" t="n">
        <f aca="false">BV27-CE27</f>
        <v>0</v>
      </c>
      <c r="CG27" s="30" t="n">
        <f aca="false">CB27+CC27-CD27-CE27</f>
        <v>0</v>
      </c>
      <c r="CH27" s="30" t="n">
        <f aca="false">CK26</f>
        <v>0</v>
      </c>
      <c r="CI27" s="30" t="n">
        <f aca="false">CH27*$CB$5/12</f>
        <v>0</v>
      </c>
      <c r="CJ27" s="30" t="n">
        <f aca="false">MIN($CB$6,CH27+CI27)</f>
        <v>0</v>
      </c>
      <c r="CK27" s="30" t="n">
        <f aca="false">CH27+CI27-CJ27</f>
        <v>0</v>
      </c>
    </row>
    <row r="28" customFormat="false" ht="15" hidden="false" customHeight="false" outlineLevel="0" collapsed="false">
      <c r="A28" s="0" t="n">
        <v>20</v>
      </c>
      <c r="B28" s="29" t="n">
        <f aca="false">'1 Your debts'!$B$16-(L28+V28+AF28+AP28+AZ28+BJ28+BT28+CD28)</f>
        <v>305</v>
      </c>
      <c r="C28" s="34" t="n">
        <f aca="false">O28+Y28+AI28+AS28+BC28+BM28+BW28+CG28</f>
        <v>14835.4195660127</v>
      </c>
      <c r="D28" s="34" t="n">
        <f aca="false">K28+U28+AE28+AO28+AY28+BI28+BS28+CC28</f>
        <v>87.2857422976777</v>
      </c>
      <c r="F28" s="34" t="n">
        <f aca="false">S28+AC28+AM28+AW28+BG28+BQ28+CA28+CK28</f>
        <v>19728.7771030531</v>
      </c>
      <c r="G28" s="34" t="n">
        <f aca="false">Q28+AA28+AK28+AU28+BE28+BO28+BY28+CI28</f>
        <v>179.747205194785</v>
      </c>
      <c r="J28" s="34" t="n">
        <f aca="false">O27</f>
        <v>0</v>
      </c>
      <c r="K28" s="34" t="n">
        <f aca="false">J28*$J$5/12</f>
        <v>0</v>
      </c>
      <c r="L28" s="29" t="n">
        <f aca="false">MIN($J$6,J28+K28)</f>
        <v>0</v>
      </c>
      <c r="M28" s="30" t="n">
        <f aca="false">MAX(0,MIN($B28,J28+K28-L28))</f>
        <v>0</v>
      </c>
      <c r="N28" s="29" t="n">
        <f aca="false">$B28-M28</f>
        <v>305</v>
      </c>
      <c r="O28" s="34" t="n">
        <f aca="false">J28+K28-L28-M28</f>
        <v>0</v>
      </c>
      <c r="P28" s="34" t="n">
        <f aca="false">S27</f>
        <v>3796.36859088092</v>
      </c>
      <c r="Q28" s="34" t="n">
        <f aca="false">P28*$J$5/12</f>
        <v>79.0593759050952</v>
      </c>
      <c r="R28" s="29" t="n">
        <f aca="false">MIN($J$6,P28+Q28)</f>
        <v>105</v>
      </c>
      <c r="S28" s="34" t="n">
        <f aca="false">P28+Q28-R28</f>
        <v>3770.42796678602</v>
      </c>
      <c r="T28" s="34" t="n">
        <f aca="false">Y27</f>
        <v>663.095650215464</v>
      </c>
      <c r="U28" s="34" t="n">
        <f aca="false">T28*$T$5/12</f>
        <v>11.0460683731726</v>
      </c>
      <c r="V28" s="29" t="n">
        <f aca="false">MIN($T$6,T28+U28)</f>
        <v>45</v>
      </c>
      <c r="W28" s="30" t="n">
        <f aca="false">MAX(0,MIN(N28,T28+U28-V28))</f>
        <v>305</v>
      </c>
      <c r="X28" s="29" t="n">
        <f aca="false">N28-W28</f>
        <v>0</v>
      </c>
      <c r="Y28" s="34" t="n">
        <f aca="false">T28+U28-V28-W28</f>
        <v>324.141718588636</v>
      </c>
      <c r="Z28" s="34" t="n">
        <f aca="false">AC27</f>
        <v>1467.62313347784</v>
      </c>
      <c r="AA28" s="34" t="n">
        <f aca="false">Z28*$T$5/12</f>
        <v>24.448155365185</v>
      </c>
      <c r="AB28" s="29" t="n">
        <f aca="false">MIN($T$6,Z28+AA28)</f>
        <v>45</v>
      </c>
      <c r="AC28" s="34" t="n">
        <f aca="false">Z28+AA28-AB28</f>
        <v>1447.07128884302</v>
      </c>
      <c r="AD28" s="34" t="n">
        <f aca="false">AI27</f>
        <v>4260.37448131616</v>
      </c>
      <c r="AE28" s="34" t="n">
        <f aca="false">AD28*$AD$5/12</f>
        <v>28.0474653353314</v>
      </c>
      <c r="AF28" s="29" t="n">
        <f aca="false">MIN($AD$6,AD28+AE28)</f>
        <v>210</v>
      </c>
      <c r="AG28" s="30" t="n">
        <f aca="false">MAX(0,MIN(X28,AD28+AE28-AF28))</f>
        <v>0</v>
      </c>
      <c r="AH28" s="29" t="n">
        <f aca="false">X28-AG28</f>
        <v>0</v>
      </c>
      <c r="AI28" s="34" t="n">
        <f aca="false">AD28+AE28-AF28-AG28</f>
        <v>4078.42194665149</v>
      </c>
      <c r="AJ28" s="34" t="n">
        <f aca="false">AM27</f>
        <v>4260.37448131616</v>
      </c>
      <c r="AK28" s="34" t="n">
        <f aca="false">AJ28*$AD$5/12</f>
        <v>28.0474653353314</v>
      </c>
      <c r="AL28" s="29" t="n">
        <f aca="false">MIN($AD$6,AJ28+AK28)</f>
        <v>210</v>
      </c>
      <c r="AM28" s="34" t="n">
        <f aca="false">AJ28+AK28-AL28</f>
        <v>4078.42194665149</v>
      </c>
      <c r="AN28" s="34" t="n">
        <f aca="false">AS27</f>
        <v>10514.6636921834</v>
      </c>
      <c r="AO28" s="34" t="n">
        <f aca="false">AN28*$AN$5/12</f>
        <v>48.1922085891737</v>
      </c>
      <c r="AP28" s="29" t="n">
        <f aca="false">MIN($AN$6,AN28+AO28)</f>
        <v>130</v>
      </c>
      <c r="AQ28" s="30" t="n">
        <f aca="false">MAX(0,MIN(AH28,AN28+AO28-AP28))</f>
        <v>0</v>
      </c>
      <c r="AR28" s="29" t="n">
        <f aca="false">AH28-AQ28</f>
        <v>0</v>
      </c>
      <c r="AS28" s="34" t="n">
        <f aca="false">AN28+AO28-AP28-AQ28</f>
        <v>10432.8559007725</v>
      </c>
      <c r="AT28" s="34" t="n">
        <f aca="false">AW27</f>
        <v>10514.6636921834</v>
      </c>
      <c r="AU28" s="34" t="n">
        <f aca="false">AT28*$AN$5/12</f>
        <v>48.1922085891737</v>
      </c>
      <c r="AV28" s="29" t="n">
        <f aca="false">MIN($AN$6,AT28+AU28)</f>
        <v>130</v>
      </c>
      <c r="AW28" s="34" t="n">
        <f aca="false">AT28+AU28-AV28</f>
        <v>10432.8559007725</v>
      </c>
      <c r="AX28" s="30" t="n">
        <f aca="false">BC27</f>
        <v>0</v>
      </c>
      <c r="AY28" s="30" t="n">
        <f aca="false">AX28*$AX$5/12</f>
        <v>0</v>
      </c>
      <c r="AZ28" s="30" t="n">
        <f aca="false">MIN($AX$6,AX28+AY28)</f>
        <v>0</v>
      </c>
      <c r="BA28" s="30" t="n">
        <f aca="false">MAX(0,MIN(AR28,AX28+AY28-AZ28))</f>
        <v>0</v>
      </c>
      <c r="BB28" s="29" t="n">
        <f aca="false">AR28-BA28</f>
        <v>0</v>
      </c>
      <c r="BC28" s="30" t="n">
        <f aca="false">AX28+AY28-AZ28-BA28</f>
        <v>0</v>
      </c>
      <c r="BD28" s="30" t="n">
        <f aca="false">BG27</f>
        <v>0</v>
      </c>
      <c r="BE28" s="30" t="n">
        <f aca="false">BD28*$AX$5/12</f>
        <v>0</v>
      </c>
      <c r="BF28" s="30" t="n">
        <f aca="false">MIN($AX$6,BD28+BE28)</f>
        <v>0</v>
      </c>
      <c r="BG28" s="30" t="n">
        <f aca="false">BD28+BE28-BF28</f>
        <v>0</v>
      </c>
      <c r="BH28" s="30" t="n">
        <f aca="false">BM27</f>
        <v>0</v>
      </c>
      <c r="BI28" s="30" t="n">
        <f aca="false">BH28*$BH$5/12</f>
        <v>0</v>
      </c>
      <c r="BJ28" s="30" t="n">
        <f aca="false">MIN($BH$6,BH28+BI28)</f>
        <v>0</v>
      </c>
      <c r="BK28" s="30" t="n">
        <f aca="false">MAX(0,MIN(BB28,BH28+BI28-BJ28))</f>
        <v>0</v>
      </c>
      <c r="BL28" s="29" t="n">
        <f aca="false">BB28-BK28</f>
        <v>0</v>
      </c>
      <c r="BM28" s="30" t="n">
        <f aca="false">BH28+BI28-BJ28-BK28</f>
        <v>0</v>
      </c>
      <c r="BN28" s="30" t="n">
        <f aca="false">BQ27</f>
        <v>0</v>
      </c>
      <c r="BO28" s="30" t="n">
        <f aca="false">BN28*$BH$5/12</f>
        <v>0</v>
      </c>
      <c r="BP28" s="30" t="n">
        <f aca="false">MIN($BH$6,BN28+BO28)</f>
        <v>0</v>
      </c>
      <c r="BQ28" s="30" t="n">
        <f aca="false">BN28+BO28-BP28</f>
        <v>0</v>
      </c>
      <c r="BR28" s="30" t="n">
        <f aca="false">BW27</f>
        <v>0</v>
      </c>
      <c r="BS28" s="30" t="n">
        <f aca="false">BR28*$BR$5/12</f>
        <v>0</v>
      </c>
      <c r="BT28" s="30" t="n">
        <f aca="false">MIN($BR$6,BR28+BS28)</f>
        <v>0</v>
      </c>
      <c r="BU28" s="30" t="n">
        <f aca="false">MAX(0,MIN(BL28,BR28+BS28-BT28))</f>
        <v>0</v>
      </c>
      <c r="BV28" s="29" t="n">
        <f aca="false">BL28-BU28</f>
        <v>0</v>
      </c>
      <c r="BW28" s="30" t="n">
        <f aca="false">BR28+BS28-BT28-BU28</f>
        <v>0</v>
      </c>
      <c r="BX28" s="30" t="n">
        <f aca="false">CA27</f>
        <v>0</v>
      </c>
      <c r="BY28" s="30" t="n">
        <f aca="false">BX28*$BR$5/12</f>
        <v>0</v>
      </c>
      <c r="BZ28" s="30" t="n">
        <f aca="false">MIN($BR$6,BX28+BY28)</f>
        <v>0</v>
      </c>
      <c r="CA28" s="30" t="n">
        <f aca="false">BX28+BY28-BZ28</f>
        <v>0</v>
      </c>
      <c r="CB28" s="30" t="n">
        <f aca="false">CG27</f>
        <v>0</v>
      </c>
      <c r="CC28" s="30" t="n">
        <f aca="false">CB28*$CB$5/12</f>
        <v>0</v>
      </c>
      <c r="CD28" s="30" t="n">
        <f aca="false">MIN($CB$6,CB28+CC28)</f>
        <v>0</v>
      </c>
      <c r="CE28" s="30" t="n">
        <f aca="false">MAX(0,MIN(BV28,CB28+CC28-CD28))</f>
        <v>0</v>
      </c>
      <c r="CF28" s="29" t="n">
        <f aca="false">BV28-CE28</f>
        <v>0</v>
      </c>
      <c r="CG28" s="30" t="n">
        <f aca="false">CB28+CC28-CD28-CE28</f>
        <v>0</v>
      </c>
      <c r="CH28" s="30" t="n">
        <f aca="false">CK27</f>
        <v>0</v>
      </c>
      <c r="CI28" s="30" t="n">
        <f aca="false">CH28*$CB$5/12</f>
        <v>0</v>
      </c>
      <c r="CJ28" s="30" t="n">
        <f aca="false">MIN($CB$6,CH28+CI28)</f>
        <v>0</v>
      </c>
      <c r="CK28" s="30" t="n">
        <f aca="false">CH28+CI28-CJ28</f>
        <v>0</v>
      </c>
    </row>
    <row r="29" customFormat="false" ht="15" hidden="false" customHeight="false" outlineLevel="0" collapsed="false">
      <c r="A29" s="0" t="n">
        <v>21</v>
      </c>
      <c r="B29" s="29" t="n">
        <f aca="false">'1 Your debts'!$B$16-(L29+V29+AF29+AP29+AZ29+BJ29+BT29+CD29)</f>
        <v>305</v>
      </c>
      <c r="C29" s="34" t="n">
        <f aca="false">O29+Y29+AI29+AS29+BC29+BM29+BW29+CG29</f>
        <v>14225.4860941688</v>
      </c>
      <c r="D29" s="34" t="n">
        <f aca="false">K29+U29+AE29+AO29+AY29+BI29+BS29+CC29</f>
        <v>80.0665281561521</v>
      </c>
      <c r="F29" s="34" t="n">
        <f aca="false">S29+AC29+AM29+AW29+BG29+BQ29+CA29+CK29</f>
        <v>19416.0689287087</v>
      </c>
      <c r="G29" s="34" t="n">
        <f aca="false">Q29+AA29+AK29+AU29+BE29+BO29+BY29+CI29</f>
        <v>177.291825655625</v>
      </c>
      <c r="J29" s="34" t="n">
        <f aca="false">O28</f>
        <v>0</v>
      </c>
      <c r="K29" s="34" t="n">
        <f aca="false">J29*$J$5/12</f>
        <v>0</v>
      </c>
      <c r="L29" s="29" t="n">
        <f aca="false">MIN($J$6,J29+K29)</f>
        <v>0</v>
      </c>
      <c r="M29" s="30" t="n">
        <f aca="false">MAX(0,MIN($B29,J29+K29-L29))</f>
        <v>0</v>
      </c>
      <c r="N29" s="29" t="n">
        <f aca="false">$B29-M29</f>
        <v>305</v>
      </c>
      <c r="O29" s="34" t="n">
        <f aca="false">J29+K29-L29-M29</f>
        <v>0</v>
      </c>
      <c r="P29" s="34" t="n">
        <f aca="false">S28</f>
        <v>3770.42796678602</v>
      </c>
      <c r="Q29" s="34" t="n">
        <f aca="false">P29*$J$5/12</f>
        <v>78.5191624083189</v>
      </c>
      <c r="R29" s="29" t="n">
        <f aca="false">MIN($J$6,P29+Q29)</f>
        <v>105</v>
      </c>
      <c r="S29" s="34" t="n">
        <f aca="false">P29+Q29-R29</f>
        <v>3743.94712919434</v>
      </c>
      <c r="T29" s="34" t="n">
        <f aca="false">Y28</f>
        <v>324.141718588636</v>
      </c>
      <c r="U29" s="34" t="n">
        <f aca="false">T29*$T$5/12</f>
        <v>5.39966079548903</v>
      </c>
      <c r="V29" s="29" t="n">
        <f aca="false">MIN($T$6,T29+U29)</f>
        <v>45</v>
      </c>
      <c r="W29" s="30" t="n">
        <f aca="false">MAX(0,MIN(N29,T29+U29-V29))</f>
        <v>284.541379384125</v>
      </c>
      <c r="X29" s="29" t="n">
        <f aca="false">N29-W29</f>
        <v>20.4586206158747</v>
      </c>
      <c r="Y29" s="34" t="n">
        <f aca="false">T29+U29-V29-W29</f>
        <v>0</v>
      </c>
      <c r="Z29" s="34" t="n">
        <f aca="false">AC28</f>
        <v>1447.07128884302</v>
      </c>
      <c r="AA29" s="34" t="n">
        <f aca="false">Z29*$T$5/12</f>
        <v>24.1057958866433</v>
      </c>
      <c r="AB29" s="29" t="n">
        <f aca="false">MIN($T$6,Z29+AA29)</f>
        <v>45</v>
      </c>
      <c r="AC29" s="34" t="n">
        <f aca="false">Z29+AA29-AB29</f>
        <v>1426.17708472967</v>
      </c>
      <c r="AD29" s="34" t="n">
        <f aca="false">AI28</f>
        <v>4078.42194665149</v>
      </c>
      <c r="AE29" s="34" t="n">
        <f aca="false">AD29*$AD$5/12</f>
        <v>26.849611148789</v>
      </c>
      <c r="AF29" s="29" t="n">
        <f aca="false">MIN($AD$6,AD29+AE29)</f>
        <v>210</v>
      </c>
      <c r="AG29" s="30" t="n">
        <f aca="false">MAX(0,MIN(X29,AD29+AE29-AF29))</f>
        <v>20.4586206158747</v>
      </c>
      <c r="AH29" s="29" t="n">
        <f aca="false">X29-AG29</f>
        <v>0</v>
      </c>
      <c r="AI29" s="34" t="n">
        <f aca="false">AD29+AE29-AF29-AG29</f>
        <v>3874.81293718441</v>
      </c>
      <c r="AJ29" s="34" t="n">
        <f aca="false">AM28</f>
        <v>4078.42194665149</v>
      </c>
      <c r="AK29" s="34" t="n">
        <f aca="false">AJ29*$AD$5/12</f>
        <v>26.849611148789</v>
      </c>
      <c r="AL29" s="29" t="n">
        <f aca="false">MIN($AD$6,AJ29+AK29)</f>
        <v>210</v>
      </c>
      <c r="AM29" s="34" t="n">
        <f aca="false">AJ29+AK29-AL29</f>
        <v>3895.27155780028</v>
      </c>
      <c r="AN29" s="34" t="n">
        <f aca="false">AS28</f>
        <v>10432.8559007725</v>
      </c>
      <c r="AO29" s="34" t="n">
        <f aca="false">AN29*$AN$5/12</f>
        <v>47.8172562118741</v>
      </c>
      <c r="AP29" s="29" t="n">
        <f aca="false">MIN($AN$6,AN29+AO29)</f>
        <v>130</v>
      </c>
      <c r="AQ29" s="30" t="n">
        <f aca="false">MAX(0,MIN(AH29,AN29+AO29-AP29))</f>
        <v>0</v>
      </c>
      <c r="AR29" s="29" t="n">
        <f aca="false">AH29-AQ29</f>
        <v>0</v>
      </c>
      <c r="AS29" s="34" t="n">
        <f aca="false">AN29+AO29-AP29-AQ29</f>
        <v>10350.6731569844</v>
      </c>
      <c r="AT29" s="34" t="n">
        <f aca="false">AW28</f>
        <v>10432.8559007725</v>
      </c>
      <c r="AU29" s="34" t="n">
        <f aca="false">AT29*$AN$5/12</f>
        <v>47.8172562118741</v>
      </c>
      <c r="AV29" s="29" t="n">
        <f aca="false">MIN($AN$6,AT29+AU29)</f>
        <v>130</v>
      </c>
      <c r="AW29" s="34" t="n">
        <f aca="false">AT29+AU29-AV29</f>
        <v>10350.6731569844</v>
      </c>
      <c r="AX29" s="30" t="n">
        <f aca="false">BC28</f>
        <v>0</v>
      </c>
      <c r="AY29" s="30" t="n">
        <f aca="false">AX29*$AX$5/12</f>
        <v>0</v>
      </c>
      <c r="AZ29" s="30" t="n">
        <f aca="false">MIN($AX$6,AX29+AY29)</f>
        <v>0</v>
      </c>
      <c r="BA29" s="30" t="n">
        <f aca="false">MAX(0,MIN(AR29,AX29+AY29-AZ29))</f>
        <v>0</v>
      </c>
      <c r="BB29" s="29" t="n">
        <f aca="false">AR29-BA29</f>
        <v>0</v>
      </c>
      <c r="BC29" s="30" t="n">
        <f aca="false">AX29+AY29-AZ29-BA29</f>
        <v>0</v>
      </c>
      <c r="BD29" s="30" t="n">
        <f aca="false">BG28</f>
        <v>0</v>
      </c>
      <c r="BE29" s="30" t="n">
        <f aca="false">BD29*$AX$5/12</f>
        <v>0</v>
      </c>
      <c r="BF29" s="30" t="n">
        <f aca="false">MIN($AX$6,BD29+BE29)</f>
        <v>0</v>
      </c>
      <c r="BG29" s="30" t="n">
        <f aca="false">BD29+BE29-BF29</f>
        <v>0</v>
      </c>
      <c r="BH29" s="30" t="n">
        <f aca="false">BM28</f>
        <v>0</v>
      </c>
      <c r="BI29" s="30" t="n">
        <f aca="false">BH29*$BH$5/12</f>
        <v>0</v>
      </c>
      <c r="BJ29" s="30" t="n">
        <f aca="false">MIN($BH$6,BH29+BI29)</f>
        <v>0</v>
      </c>
      <c r="BK29" s="30" t="n">
        <f aca="false">MAX(0,MIN(BB29,BH29+BI29-BJ29))</f>
        <v>0</v>
      </c>
      <c r="BL29" s="29" t="n">
        <f aca="false">BB29-BK29</f>
        <v>0</v>
      </c>
      <c r="BM29" s="30" t="n">
        <f aca="false">BH29+BI29-BJ29-BK29</f>
        <v>0</v>
      </c>
      <c r="BN29" s="30" t="n">
        <f aca="false">BQ28</f>
        <v>0</v>
      </c>
      <c r="BO29" s="30" t="n">
        <f aca="false">BN29*$BH$5/12</f>
        <v>0</v>
      </c>
      <c r="BP29" s="30" t="n">
        <f aca="false">MIN($BH$6,BN29+BO29)</f>
        <v>0</v>
      </c>
      <c r="BQ29" s="30" t="n">
        <f aca="false">BN29+BO29-BP29</f>
        <v>0</v>
      </c>
      <c r="BR29" s="30" t="n">
        <f aca="false">BW28</f>
        <v>0</v>
      </c>
      <c r="BS29" s="30" t="n">
        <f aca="false">BR29*$BR$5/12</f>
        <v>0</v>
      </c>
      <c r="BT29" s="30" t="n">
        <f aca="false">MIN($BR$6,BR29+BS29)</f>
        <v>0</v>
      </c>
      <c r="BU29" s="30" t="n">
        <f aca="false">MAX(0,MIN(BL29,BR29+BS29-BT29))</f>
        <v>0</v>
      </c>
      <c r="BV29" s="29" t="n">
        <f aca="false">BL29-BU29</f>
        <v>0</v>
      </c>
      <c r="BW29" s="30" t="n">
        <f aca="false">BR29+BS29-BT29-BU29</f>
        <v>0</v>
      </c>
      <c r="BX29" s="30" t="n">
        <f aca="false">CA28</f>
        <v>0</v>
      </c>
      <c r="BY29" s="30" t="n">
        <f aca="false">BX29*$BR$5/12</f>
        <v>0</v>
      </c>
      <c r="BZ29" s="30" t="n">
        <f aca="false">MIN($BR$6,BX29+BY29)</f>
        <v>0</v>
      </c>
      <c r="CA29" s="30" t="n">
        <f aca="false">BX29+BY29-BZ29</f>
        <v>0</v>
      </c>
      <c r="CB29" s="30" t="n">
        <f aca="false">CG28</f>
        <v>0</v>
      </c>
      <c r="CC29" s="30" t="n">
        <f aca="false">CB29*$CB$5/12</f>
        <v>0</v>
      </c>
      <c r="CD29" s="30" t="n">
        <f aca="false">MIN($CB$6,CB29+CC29)</f>
        <v>0</v>
      </c>
      <c r="CE29" s="30" t="n">
        <f aca="false">MAX(0,MIN(BV29,CB29+CC29-CD29))</f>
        <v>0</v>
      </c>
      <c r="CF29" s="29" t="n">
        <f aca="false">BV29-CE29</f>
        <v>0</v>
      </c>
      <c r="CG29" s="30" t="n">
        <f aca="false">CB29+CC29-CD29-CE29</f>
        <v>0</v>
      </c>
      <c r="CH29" s="30" t="n">
        <f aca="false">CK28</f>
        <v>0</v>
      </c>
      <c r="CI29" s="30" t="n">
        <f aca="false">CH29*$CB$5/12</f>
        <v>0</v>
      </c>
      <c r="CJ29" s="30" t="n">
        <f aca="false">MIN($CB$6,CH29+CI29)</f>
        <v>0</v>
      </c>
      <c r="CK29" s="30" t="n">
        <f aca="false">CH29+CI29-CJ29</f>
        <v>0</v>
      </c>
    </row>
    <row r="30" customFormat="false" ht="15" hidden="false" customHeight="false" outlineLevel="0" collapsed="false">
      <c r="A30" s="0" t="n">
        <v>22</v>
      </c>
      <c r="B30" s="29" t="n">
        <f aca="false">'1 Your debts'!$B$16-(L30+V30+AF30+AP30+AZ30+BJ30+BT30+CD30)</f>
        <v>350</v>
      </c>
      <c r="C30" s="34" t="n">
        <f aca="false">O30+Y30+AI30+AS30+BC30+BM30+BW30+CG30</f>
        <v>13608.4358646415</v>
      </c>
      <c r="D30" s="34" t="n">
        <f aca="false">K30+U30+AE30+AO30+AY30+BI30+BS30+CC30</f>
        <v>72.9497704726425</v>
      </c>
      <c r="F30" s="34" t="n">
        <f aca="false">S30+AC30+AM30+AW30+BG30+BQ30+CA30+CK30</f>
        <v>19100.8788173356</v>
      </c>
      <c r="G30" s="34" t="n">
        <f aca="false">Q30+AA30+AK30+AU30+BE30+BO30+BY30+CI30</f>
        <v>174.809888626957</v>
      </c>
      <c r="J30" s="34" t="n">
        <f aca="false">O29</f>
        <v>0</v>
      </c>
      <c r="K30" s="34" t="n">
        <f aca="false">J30*$J$5/12</f>
        <v>0</v>
      </c>
      <c r="L30" s="29" t="n">
        <f aca="false">MIN($J$6,J30+K30)</f>
        <v>0</v>
      </c>
      <c r="M30" s="30" t="n">
        <f aca="false">MAX(0,MIN($B30,J30+K30-L30))</f>
        <v>0</v>
      </c>
      <c r="N30" s="29" t="n">
        <f aca="false">$B30-M30</f>
        <v>350</v>
      </c>
      <c r="O30" s="34" t="n">
        <f aca="false">J30+K30-L30-M30</f>
        <v>0</v>
      </c>
      <c r="P30" s="34" t="n">
        <f aca="false">S29</f>
        <v>3743.94712919434</v>
      </c>
      <c r="Q30" s="34" t="n">
        <f aca="false">P30*$J$5/12</f>
        <v>77.9676989654721</v>
      </c>
      <c r="R30" s="29" t="n">
        <f aca="false">MIN($J$6,P30+Q30)</f>
        <v>105</v>
      </c>
      <c r="S30" s="34" t="n">
        <f aca="false">P30+Q30-R30</f>
        <v>3716.91482815981</v>
      </c>
      <c r="T30" s="34" t="n">
        <f aca="false">Y29</f>
        <v>0</v>
      </c>
      <c r="U30" s="34" t="n">
        <f aca="false">T30*$T$5/12</f>
        <v>0</v>
      </c>
      <c r="V30" s="29" t="n">
        <f aca="false">MIN($T$6,T30+U30)</f>
        <v>0</v>
      </c>
      <c r="W30" s="30" t="n">
        <f aca="false">MAX(0,MIN(N30,T30+U30-V30))</f>
        <v>0</v>
      </c>
      <c r="X30" s="29" t="n">
        <f aca="false">N30-W30</f>
        <v>350</v>
      </c>
      <c r="Y30" s="34" t="n">
        <f aca="false">T30+U30-V30-W30</f>
        <v>0</v>
      </c>
      <c r="Z30" s="34" t="n">
        <f aca="false">AC29</f>
        <v>1426.17708472967</v>
      </c>
      <c r="AA30" s="34" t="n">
        <f aca="false">Z30*$T$5/12</f>
        <v>23.7577332697883</v>
      </c>
      <c r="AB30" s="29" t="n">
        <f aca="false">MIN($T$6,Z30+AA30)</f>
        <v>45</v>
      </c>
      <c r="AC30" s="34" t="n">
        <f aca="false">Z30+AA30-AB30</f>
        <v>1404.93481799945</v>
      </c>
      <c r="AD30" s="34" t="n">
        <f aca="false">AI29</f>
        <v>3874.81293718441</v>
      </c>
      <c r="AE30" s="34" t="n">
        <f aca="false">AD30*$AD$5/12</f>
        <v>25.5091851697974</v>
      </c>
      <c r="AF30" s="29" t="n">
        <f aca="false">MIN($AD$6,AD30+AE30)</f>
        <v>210</v>
      </c>
      <c r="AG30" s="30" t="n">
        <f aca="false">MAX(0,MIN(X30,AD30+AE30-AF30))</f>
        <v>350</v>
      </c>
      <c r="AH30" s="29" t="n">
        <f aca="false">X30-AG30</f>
        <v>0</v>
      </c>
      <c r="AI30" s="34" t="n">
        <f aca="false">AD30+AE30-AF30-AG30</f>
        <v>3340.32212235421</v>
      </c>
      <c r="AJ30" s="34" t="n">
        <f aca="false">AM29</f>
        <v>3895.27155780028</v>
      </c>
      <c r="AK30" s="34" t="n">
        <f aca="false">AJ30*$AD$5/12</f>
        <v>25.6438710888519</v>
      </c>
      <c r="AL30" s="29" t="n">
        <f aca="false">MIN($AD$6,AJ30+AK30)</f>
        <v>210</v>
      </c>
      <c r="AM30" s="34" t="n">
        <f aca="false">AJ30+AK30-AL30</f>
        <v>3710.91542888914</v>
      </c>
      <c r="AN30" s="34" t="n">
        <f aca="false">AS29</f>
        <v>10350.6731569844</v>
      </c>
      <c r="AO30" s="34" t="n">
        <f aca="false">AN30*$AN$5/12</f>
        <v>47.4405853028452</v>
      </c>
      <c r="AP30" s="29" t="n">
        <f aca="false">MIN($AN$6,AN30+AO30)</f>
        <v>130</v>
      </c>
      <c r="AQ30" s="30" t="n">
        <f aca="false">MAX(0,MIN(AH30,AN30+AO30-AP30))</f>
        <v>0</v>
      </c>
      <c r="AR30" s="29" t="n">
        <f aca="false">AH30-AQ30</f>
        <v>0</v>
      </c>
      <c r="AS30" s="34" t="n">
        <f aca="false">AN30+AO30-AP30-AQ30</f>
        <v>10268.1137422872</v>
      </c>
      <c r="AT30" s="34" t="n">
        <f aca="false">AW29</f>
        <v>10350.6731569844</v>
      </c>
      <c r="AU30" s="34" t="n">
        <f aca="false">AT30*$AN$5/12</f>
        <v>47.4405853028452</v>
      </c>
      <c r="AV30" s="29" t="n">
        <f aca="false">MIN($AN$6,AT30+AU30)</f>
        <v>130</v>
      </c>
      <c r="AW30" s="34" t="n">
        <f aca="false">AT30+AU30-AV30</f>
        <v>10268.1137422872</v>
      </c>
      <c r="AX30" s="30" t="n">
        <f aca="false">BC29</f>
        <v>0</v>
      </c>
      <c r="AY30" s="30" t="n">
        <f aca="false">AX30*$AX$5/12</f>
        <v>0</v>
      </c>
      <c r="AZ30" s="30" t="n">
        <f aca="false">MIN($AX$6,AX30+AY30)</f>
        <v>0</v>
      </c>
      <c r="BA30" s="30" t="n">
        <f aca="false">MAX(0,MIN(AR30,AX30+AY30-AZ30))</f>
        <v>0</v>
      </c>
      <c r="BB30" s="29" t="n">
        <f aca="false">AR30-BA30</f>
        <v>0</v>
      </c>
      <c r="BC30" s="30" t="n">
        <f aca="false">AX30+AY30-AZ30-BA30</f>
        <v>0</v>
      </c>
      <c r="BD30" s="30" t="n">
        <f aca="false">BG29</f>
        <v>0</v>
      </c>
      <c r="BE30" s="30" t="n">
        <f aca="false">BD30*$AX$5/12</f>
        <v>0</v>
      </c>
      <c r="BF30" s="30" t="n">
        <f aca="false">MIN($AX$6,BD30+BE30)</f>
        <v>0</v>
      </c>
      <c r="BG30" s="30" t="n">
        <f aca="false">BD30+BE30-BF30</f>
        <v>0</v>
      </c>
      <c r="BH30" s="30" t="n">
        <f aca="false">BM29</f>
        <v>0</v>
      </c>
      <c r="BI30" s="30" t="n">
        <f aca="false">BH30*$BH$5/12</f>
        <v>0</v>
      </c>
      <c r="BJ30" s="30" t="n">
        <f aca="false">MIN($BH$6,BH30+BI30)</f>
        <v>0</v>
      </c>
      <c r="BK30" s="30" t="n">
        <f aca="false">MAX(0,MIN(BB30,BH30+BI30-BJ30))</f>
        <v>0</v>
      </c>
      <c r="BL30" s="29" t="n">
        <f aca="false">BB30-BK30</f>
        <v>0</v>
      </c>
      <c r="BM30" s="30" t="n">
        <f aca="false">BH30+BI30-BJ30-BK30</f>
        <v>0</v>
      </c>
      <c r="BN30" s="30" t="n">
        <f aca="false">BQ29</f>
        <v>0</v>
      </c>
      <c r="BO30" s="30" t="n">
        <f aca="false">BN30*$BH$5/12</f>
        <v>0</v>
      </c>
      <c r="BP30" s="30" t="n">
        <f aca="false">MIN($BH$6,BN30+BO30)</f>
        <v>0</v>
      </c>
      <c r="BQ30" s="30" t="n">
        <f aca="false">BN30+BO30-BP30</f>
        <v>0</v>
      </c>
      <c r="BR30" s="30" t="n">
        <f aca="false">BW29</f>
        <v>0</v>
      </c>
      <c r="BS30" s="30" t="n">
        <f aca="false">BR30*$BR$5/12</f>
        <v>0</v>
      </c>
      <c r="BT30" s="30" t="n">
        <f aca="false">MIN($BR$6,BR30+BS30)</f>
        <v>0</v>
      </c>
      <c r="BU30" s="30" t="n">
        <f aca="false">MAX(0,MIN(BL30,BR30+BS30-BT30))</f>
        <v>0</v>
      </c>
      <c r="BV30" s="29" t="n">
        <f aca="false">BL30-BU30</f>
        <v>0</v>
      </c>
      <c r="BW30" s="30" t="n">
        <f aca="false">BR30+BS30-BT30-BU30</f>
        <v>0</v>
      </c>
      <c r="BX30" s="30" t="n">
        <f aca="false">CA29</f>
        <v>0</v>
      </c>
      <c r="BY30" s="30" t="n">
        <f aca="false">BX30*$BR$5/12</f>
        <v>0</v>
      </c>
      <c r="BZ30" s="30" t="n">
        <f aca="false">MIN($BR$6,BX30+BY30)</f>
        <v>0</v>
      </c>
      <c r="CA30" s="30" t="n">
        <f aca="false">BX30+BY30-BZ30</f>
        <v>0</v>
      </c>
      <c r="CB30" s="30" t="n">
        <f aca="false">CG29</f>
        <v>0</v>
      </c>
      <c r="CC30" s="30" t="n">
        <f aca="false">CB30*$CB$5/12</f>
        <v>0</v>
      </c>
      <c r="CD30" s="30" t="n">
        <f aca="false">MIN($CB$6,CB30+CC30)</f>
        <v>0</v>
      </c>
      <c r="CE30" s="30" t="n">
        <f aca="false">MAX(0,MIN(BV30,CB30+CC30-CD30))</f>
        <v>0</v>
      </c>
      <c r="CF30" s="29" t="n">
        <f aca="false">BV30-CE30</f>
        <v>0</v>
      </c>
      <c r="CG30" s="30" t="n">
        <f aca="false">CB30+CC30-CD30-CE30</f>
        <v>0</v>
      </c>
      <c r="CH30" s="30" t="n">
        <f aca="false">CK29</f>
        <v>0</v>
      </c>
      <c r="CI30" s="30" t="n">
        <f aca="false">CH30*$CB$5/12</f>
        <v>0</v>
      </c>
      <c r="CJ30" s="30" t="n">
        <f aca="false">MIN($CB$6,CH30+CI30)</f>
        <v>0</v>
      </c>
      <c r="CK30" s="30" t="n">
        <f aca="false">CH30+CI30-CJ30</f>
        <v>0</v>
      </c>
    </row>
    <row r="31" customFormat="false" ht="15" hidden="false" customHeight="false" outlineLevel="0" collapsed="false">
      <c r="A31" s="0" t="n">
        <v>23</v>
      </c>
      <c r="B31" s="29" t="n">
        <f aca="false">'1 Your debts'!$B$16-(L31+V31+AF31+AP31+AZ31+BJ31+BT31+CD31)</f>
        <v>350</v>
      </c>
      <c r="C31" s="34" t="n">
        <f aca="false">O31+Y31+AI31+AS31+BC31+BM31+BW31+CG31</f>
        <v>12987.4885065991</v>
      </c>
      <c r="D31" s="34" t="n">
        <f aca="false">K31+U31+AE31+AO31+AY31+BI31+BS31+CC31</f>
        <v>69.0526419576484</v>
      </c>
      <c r="F31" s="34" t="n">
        <f aca="false">S31+AC31+AM31+AW31+BG31+BQ31+CA31+CK31</f>
        <v>18783.1798223676</v>
      </c>
      <c r="G31" s="34" t="n">
        <f aca="false">Q31+AA31+AK31+AU31+BE31+BO31+BY31+CI31</f>
        <v>172.301005031939</v>
      </c>
      <c r="J31" s="34" t="n">
        <f aca="false">O30</f>
        <v>0</v>
      </c>
      <c r="K31" s="34" t="n">
        <f aca="false">J31*$J$5/12</f>
        <v>0</v>
      </c>
      <c r="L31" s="29" t="n">
        <f aca="false">MIN($J$6,J31+K31)</f>
        <v>0</v>
      </c>
      <c r="M31" s="30" t="n">
        <f aca="false">MAX(0,MIN($B31,J31+K31-L31))</f>
        <v>0</v>
      </c>
      <c r="N31" s="29" t="n">
        <f aca="false">$B31-M31</f>
        <v>350</v>
      </c>
      <c r="O31" s="34" t="n">
        <f aca="false">J31+K31-L31-M31</f>
        <v>0</v>
      </c>
      <c r="P31" s="34" t="n">
        <f aca="false">S30</f>
        <v>3716.91482815981</v>
      </c>
      <c r="Q31" s="34" t="n">
        <f aca="false">P31*$J$5/12</f>
        <v>77.4047512964281</v>
      </c>
      <c r="R31" s="29" t="n">
        <f aca="false">MIN($J$6,P31+Q31)</f>
        <v>105</v>
      </c>
      <c r="S31" s="34" t="n">
        <f aca="false">P31+Q31-R31</f>
        <v>3689.31957945624</v>
      </c>
      <c r="T31" s="34" t="n">
        <f aca="false">Y30</f>
        <v>0</v>
      </c>
      <c r="U31" s="34" t="n">
        <f aca="false">T31*$T$5/12</f>
        <v>0</v>
      </c>
      <c r="V31" s="29" t="n">
        <f aca="false">MIN($T$6,T31+U31)</f>
        <v>0</v>
      </c>
      <c r="W31" s="30" t="n">
        <f aca="false">MAX(0,MIN(N31,T31+U31-V31))</f>
        <v>0</v>
      </c>
      <c r="X31" s="29" t="n">
        <f aca="false">N31-W31</f>
        <v>350</v>
      </c>
      <c r="Y31" s="34" t="n">
        <f aca="false">T31+U31-V31-W31</f>
        <v>0</v>
      </c>
      <c r="Z31" s="34" t="n">
        <f aca="false">AC30</f>
        <v>1404.93481799945</v>
      </c>
      <c r="AA31" s="34" t="n">
        <f aca="false">Z31*$T$5/12</f>
        <v>23.4038725098409</v>
      </c>
      <c r="AB31" s="29" t="n">
        <f aca="false">MIN($T$6,Z31+AA31)</f>
        <v>45</v>
      </c>
      <c r="AC31" s="34" t="n">
        <f aca="false">Z31+AA31-AB31</f>
        <v>1383.33869050929</v>
      </c>
      <c r="AD31" s="34" t="n">
        <f aca="false">AI30</f>
        <v>3340.32212235421</v>
      </c>
      <c r="AE31" s="34" t="n">
        <f aca="false">AD31*$AD$5/12</f>
        <v>21.9904539721652</v>
      </c>
      <c r="AF31" s="29" t="n">
        <f aca="false">MIN($AD$6,AD31+AE31)</f>
        <v>210</v>
      </c>
      <c r="AG31" s="30" t="n">
        <f aca="false">MAX(0,MIN(X31,AD31+AE31-AF31))</f>
        <v>350</v>
      </c>
      <c r="AH31" s="29" t="n">
        <f aca="false">X31-AG31</f>
        <v>0</v>
      </c>
      <c r="AI31" s="34" t="n">
        <f aca="false">AD31+AE31-AF31-AG31</f>
        <v>2802.31257632637</v>
      </c>
      <c r="AJ31" s="34" t="n">
        <f aca="false">AM30</f>
        <v>3710.91542888914</v>
      </c>
      <c r="AK31" s="34" t="n">
        <f aca="false">AJ31*$AD$5/12</f>
        <v>24.4301932401868</v>
      </c>
      <c r="AL31" s="29" t="n">
        <f aca="false">MIN($AD$6,AJ31+AK31)</f>
        <v>210</v>
      </c>
      <c r="AM31" s="34" t="n">
        <f aca="false">AJ31+AK31-AL31</f>
        <v>3525.34562212932</v>
      </c>
      <c r="AN31" s="34" t="n">
        <f aca="false">AS30</f>
        <v>10268.1137422872</v>
      </c>
      <c r="AO31" s="34" t="n">
        <f aca="false">AN31*$AN$5/12</f>
        <v>47.0621879854832</v>
      </c>
      <c r="AP31" s="29" t="n">
        <f aca="false">MIN($AN$6,AN31+AO31)</f>
        <v>130</v>
      </c>
      <c r="AQ31" s="30" t="n">
        <f aca="false">MAX(0,MIN(AH31,AN31+AO31-AP31))</f>
        <v>0</v>
      </c>
      <c r="AR31" s="29" t="n">
        <f aca="false">AH31-AQ31</f>
        <v>0</v>
      </c>
      <c r="AS31" s="34" t="n">
        <f aca="false">AN31+AO31-AP31-AQ31</f>
        <v>10185.1759302727</v>
      </c>
      <c r="AT31" s="34" t="n">
        <f aca="false">AW30</f>
        <v>10268.1137422872</v>
      </c>
      <c r="AU31" s="34" t="n">
        <f aca="false">AT31*$AN$5/12</f>
        <v>47.0621879854832</v>
      </c>
      <c r="AV31" s="29" t="n">
        <f aca="false">MIN($AN$6,AT31+AU31)</f>
        <v>130</v>
      </c>
      <c r="AW31" s="34" t="n">
        <f aca="false">AT31+AU31-AV31</f>
        <v>10185.1759302727</v>
      </c>
      <c r="AX31" s="30" t="n">
        <f aca="false">BC30</f>
        <v>0</v>
      </c>
      <c r="AY31" s="30" t="n">
        <f aca="false">AX31*$AX$5/12</f>
        <v>0</v>
      </c>
      <c r="AZ31" s="30" t="n">
        <f aca="false">MIN($AX$6,AX31+AY31)</f>
        <v>0</v>
      </c>
      <c r="BA31" s="30" t="n">
        <f aca="false">MAX(0,MIN(AR31,AX31+AY31-AZ31))</f>
        <v>0</v>
      </c>
      <c r="BB31" s="29" t="n">
        <f aca="false">AR31-BA31</f>
        <v>0</v>
      </c>
      <c r="BC31" s="30" t="n">
        <f aca="false">AX31+AY31-AZ31-BA31</f>
        <v>0</v>
      </c>
      <c r="BD31" s="30" t="n">
        <f aca="false">BG30</f>
        <v>0</v>
      </c>
      <c r="BE31" s="30" t="n">
        <f aca="false">BD31*$AX$5/12</f>
        <v>0</v>
      </c>
      <c r="BF31" s="30" t="n">
        <f aca="false">MIN($AX$6,BD31+BE31)</f>
        <v>0</v>
      </c>
      <c r="BG31" s="30" t="n">
        <f aca="false">BD31+BE31-BF31</f>
        <v>0</v>
      </c>
      <c r="BH31" s="30" t="n">
        <f aca="false">BM30</f>
        <v>0</v>
      </c>
      <c r="BI31" s="30" t="n">
        <f aca="false">BH31*$BH$5/12</f>
        <v>0</v>
      </c>
      <c r="BJ31" s="30" t="n">
        <f aca="false">MIN($BH$6,BH31+BI31)</f>
        <v>0</v>
      </c>
      <c r="BK31" s="30" t="n">
        <f aca="false">MAX(0,MIN(BB31,BH31+BI31-BJ31))</f>
        <v>0</v>
      </c>
      <c r="BL31" s="29" t="n">
        <f aca="false">BB31-BK31</f>
        <v>0</v>
      </c>
      <c r="BM31" s="30" t="n">
        <f aca="false">BH31+BI31-BJ31-BK31</f>
        <v>0</v>
      </c>
      <c r="BN31" s="30" t="n">
        <f aca="false">BQ30</f>
        <v>0</v>
      </c>
      <c r="BO31" s="30" t="n">
        <f aca="false">BN31*$BH$5/12</f>
        <v>0</v>
      </c>
      <c r="BP31" s="30" t="n">
        <f aca="false">MIN($BH$6,BN31+BO31)</f>
        <v>0</v>
      </c>
      <c r="BQ31" s="30" t="n">
        <f aca="false">BN31+BO31-BP31</f>
        <v>0</v>
      </c>
      <c r="BR31" s="30" t="n">
        <f aca="false">BW30</f>
        <v>0</v>
      </c>
      <c r="BS31" s="30" t="n">
        <f aca="false">BR31*$BR$5/12</f>
        <v>0</v>
      </c>
      <c r="BT31" s="30" t="n">
        <f aca="false">MIN($BR$6,BR31+BS31)</f>
        <v>0</v>
      </c>
      <c r="BU31" s="30" t="n">
        <f aca="false">MAX(0,MIN(BL31,BR31+BS31-BT31))</f>
        <v>0</v>
      </c>
      <c r="BV31" s="29" t="n">
        <f aca="false">BL31-BU31</f>
        <v>0</v>
      </c>
      <c r="BW31" s="30" t="n">
        <f aca="false">BR31+BS31-BT31-BU31</f>
        <v>0</v>
      </c>
      <c r="BX31" s="30" t="n">
        <f aca="false">CA30</f>
        <v>0</v>
      </c>
      <c r="BY31" s="30" t="n">
        <f aca="false">BX31*$BR$5/12</f>
        <v>0</v>
      </c>
      <c r="BZ31" s="30" t="n">
        <f aca="false">MIN($BR$6,BX31+BY31)</f>
        <v>0</v>
      </c>
      <c r="CA31" s="30" t="n">
        <f aca="false">BX31+BY31-BZ31</f>
        <v>0</v>
      </c>
      <c r="CB31" s="30" t="n">
        <f aca="false">CG30</f>
        <v>0</v>
      </c>
      <c r="CC31" s="30" t="n">
        <f aca="false">CB31*$CB$5/12</f>
        <v>0</v>
      </c>
      <c r="CD31" s="30" t="n">
        <f aca="false">MIN($CB$6,CB31+CC31)</f>
        <v>0</v>
      </c>
      <c r="CE31" s="30" t="n">
        <f aca="false">MAX(0,MIN(BV31,CB31+CC31-CD31))</f>
        <v>0</v>
      </c>
      <c r="CF31" s="29" t="n">
        <f aca="false">BV31-CE31</f>
        <v>0</v>
      </c>
      <c r="CG31" s="30" t="n">
        <f aca="false">CB31+CC31-CD31-CE31</f>
        <v>0</v>
      </c>
      <c r="CH31" s="30" t="n">
        <f aca="false">CK30</f>
        <v>0</v>
      </c>
      <c r="CI31" s="30" t="n">
        <f aca="false">CH31*$CB$5/12</f>
        <v>0</v>
      </c>
      <c r="CJ31" s="30" t="n">
        <f aca="false">MIN($CB$6,CH31+CI31)</f>
        <v>0</v>
      </c>
      <c r="CK31" s="30" t="n">
        <f aca="false">CH31+CI31-CJ31</f>
        <v>0</v>
      </c>
    </row>
    <row r="32" customFormat="false" ht="15" hidden="false" customHeight="false" outlineLevel="0" collapsed="false">
      <c r="A32" s="0" t="n">
        <v>24</v>
      </c>
      <c r="B32" s="29" t="n">
        <f aca="false">'1 Your debts'!$B$16-(L32+V32+AF32+AP32+AZ32+BJ32+BT32+CD32)</f>
        <v>350</v>
      </c>
      <c r="C32" s="34" t="n">
        <f aca="false">O32+Y32+AI32+AS32+BC32+BM32+BW32+CG32</f>
        <v>12362.6191207403</v>
      </c>
      <c r="D32" s="34" t="n">
        <f aca="false">K32+U32+AE32+AO32+AY32+BI32+BS32+CC32</f>
        <v>65.130614141232</v>
      </c>
      <c r="F32" s="34" t="n">
        <f aca="false">S32+AC32+AM32+AW32+BG32+BQ32+CA32+CK32</f>
        <v>18462.9446013219</v>
      </c>
      <c r="G32" s="34" t="n">
        <f aca="false">Q32+AA32+AK32+AU32+BE32+BO32+BY32+CI32</f>
        <v>169.764778954345</v>
      </c>
      <c r="J32" s="34" t="n">
        <f aca="false">O31</f>
        <v>0</v>
      </c>
      <c r="K32" s="34" t="n">
        <f aca="false">J32*$J$5/12</f>
        <v>0</v>
      </c>
      <c r="L32" s="29" t="n">
        <f aca="false">MIN($J$6,J32+K32)</f>
        <v>0</v>
      </c>
      <c r="M32" s="30" t="n">
        <f aca="false">MAX(0,MIN($B32,J32+K32-L32))</f>
        <v>0</v>
      </c>
      <c r="N32" s="29" t="n">
        <f aca="false">$B32-M32</f>
        <v>350</v>
      </c>
      <c r="O32" s="34" t="n">
        <f aca="false">J32+K32-L32-M32</f>
        <v>0</v>
      </c>
      <c r="P32" s="34" t="n">
        <f aca="false">S31</f>
        <v>3689.31957945624</v>
      </c>
      <c r="Q32" s="34" t="n">
        <f aca="false">P32*$J$5/12</f>
        <v>76.8300802421762</v>
      </c>
      <c r="R32" s="29" t="n">
        <f aca="false">MIN($J$6,P32+Q32)</f>
        <v>105</v>
      </c>
      <c r="S32" s="34" t="n">
        <f aca="false">P32+Q32-R32</f>
        <v>3661.14965969841</v>
      </c>
      <c r="T32" s="34" t="n">
        <f aca="false">Y31</f>
        <v>0</v>
      </c>
      <c r="U32" s="34" t="n">
        <f aca="false">T32*$T$5/12</f>
        <v>0</v>
      </c>
      <c r="V32" s="29" t="n">
        <f aca="false">MIN($T$6,T32+U32)</f>
        <v>0</v>
      </c>
      <c r="W32" s="30" t="n">
        <f aca="false">MAX(0,MIN(N32,T32+U32-V32))</f>
        <v>0</v>
      </c>
      <c r="X32" s="29" t="n">
        <f aca="false">N32-W32</f>
        <v>350</v>
      </c>
      <c r="Y32" s="34" t="n">
        <f aca="false">T32+U32-V32-W32</f>
        <v>0</v>
      </c>
      <c r="Z32" s="34" t="n">
        <f aca="false">AC31</f>
        <v>1383.33869050929</v>
      </c>
      <c r="AA32" s="34" t="n">
        <f aca="false">Z32*$T$5/12</f>
        <v>23.0441170194007</v>
      </c>
      <c r="AB32" s="29" t="n">
        <f aca="false">MIN($T$6,Z32+AA32)</f>
        <v>45</v>
      </c>
      <c r="AC32" s="34" t="n">
        <f aca="false">Z32+AA32-AB32</f>
        <v>1361.3828075287</v>
      </c>
      <c r="AD32" s="34" t="n">
        <f aca="false">AI31</f>
        <v>2802.31257632637</v>
      </c>
      <c r="AE32" s="34" t="n">
        <f aca="false">AD32*$AD$5/12</f>
        <v>18.4485577941486</v>
      </c>
      <c r="AF32" s="29" t="n">
        <f aca="false">MIN($AD$6,AD32+AE32)</f>
        <v>210</v>
      </c>
      <c r="AG32" s="30" t="n">
        <f aca="false">MAX(0,MIN(X32,AD32+AE32-AF32))</f>
        <v>350</v>
      </c>
      <c r="AH32" s="29" t="n">
        <f aca="false">X32-AG32</f>
        <v>0</v>
      </c>
      <c r="AI32" s="34" t="n">
        <f aca="false">AD32+AE32-AF32-AG32</f>
        <v>2260.76113412052</v>
      </c>
      <c r="AJ32" s="34" t="n">
        <f aca="false">AM31</f>
        <v>3525.34562212932</v>
      </c>
      <c r="AK32" s="34" t="n">
        <f aca="false">AJ32*$AD$5/12</f>
        <v>23.2085253456847</v>
      </c>
      <c r="AL32" s="29" t="n">
        <f aca="false">MIN($AD$6,AJ32+AK32)</f>
        <v>210</v>
      </c>
      <c r="AM32" s="34" t="n">
        <f aca="false">AJ32+AK32-AL32</f>
        <v>3338.55414747501</v>
      </c>
      <c r="AN32" s="34" t="n">
        <f aca="false">AS31</f>
        <v>10185.1759302727</v>
      </c>
      <c r="AO32" s="34" t="n">
        <f aca="false">AN32*$AN$5/12</f>
        <v>46.6820563470834</v>
      </c>
      <c r="AP32" s="29" t="n">
        <f aca="false">MIN($AN$6,AN32+AO32)</f>
        <v>130</v>
      </c>
      <c r="AQ32" s="30" t="n">
        <f aca="false">MAX(0,MIN(AH32,AN32+AO32-AP32))</f>
        <v>0</v>
      </c>
      <c r="AR32" s="29" t="n">
        <f aca="false">AH32-AQ32</f>
        <v>0</v>
      </c>
      <c r="AS32" s="34" t="n">
        <f aca="false">AN32+AO32-AP32-AQ32</f>
        <v>10101.8579866198</v>
      </c>
      <c r="AT32" s="34" t="n">
        <f aca="false">AW31</f>
        <v>10185.1759302727</v>
      </c>
      <c r="AU32" s="34" t="n">
        <f aca="false">AT32*$AN$5/12</f>
        <v>46.6820563470834</v>
      </c>
      <c r="AV32" s="29" t="n">
        <f aca="false">MIN($AN$6,AT32+AU32)</f>
        <v>130</v>
      </c>
      <c r="AW32" s="34" t="n">
        <f aca="false">AT32+AU32-AV32</f>
        <v>10101.8579866198</v>
      </c>
      <c r="AX32" s="30" t="n">
        <f aca="false">BC31</f>
        <v>0</v>
      </c>
      <c r="AY32" s="30" t="n">
        <f aca="false">AX32*$AX$5/12</f>
        <v>0</v>
      </c>
      <c r="AZ32" s="30" t="n">
        <f aca="false">MIN($AX$6,AX32+AY32)</f>
        <v>0</v>
      </c>
      <c r="BA32" s="30" t="n">
        <f aca="false">MAX(0,MIN(AR32,AX32+AY32-AZ32))</f>
        <v>0</v>
      </c>
      <c r="BB32" s="29" t="n">
        <f aca="false">AR32-BA32</f>
        <v>0</v>
      </c>
      <c r="BC32" s="30" t="n">
        <f aca="false">AX32+AY32-AZ32-BA32</f>
        <v>0</v>
      </c>
      <c r="BD32" s="30" t="n">
        <f aca="false">BG31</f>
        <v>0</v>
      </c>
      <c r="BE32" s="30" t="n">
        <f aca="false">BD32*$AX$5/12</f>
        <v>0</v>
      </c>
      <c r="BF32" s="30" t="n">
        <f aca="false">MIN($AX$6,BD32+BE32)</f>
        <v>0</v>
      </c>
      <c r="BG32" s="30" t="n">
        <f aca="false">BD32+BE32-BF32</f>
        <v>0</v>
      </c>
      <c r="BH32" s="30" t="n">
        <f aca="false">BM31</f>
        <v>0</v>
      </c>
      <c r="BI32" s="30" t="n">
        <f aca="false">BH32*$BH$5/12</f>
        <v>0</v>
      </c>
      <c r="BJ32" s="30" t="n">
        <f aca="false">MIN($BH$6,BH32+BI32)</f>
        <v>0</v>
      </c>
      <c r="BK32" s="30" t="n">
        <f aca="false">MAX(0,MIN(BB32,BH32+BI32-BJ32))</f>
        <v>0</v>
      </c>
      <c r="BL32" s="29" t="n">
        <f aca="false">BB32-BK32</f>
        <v>0</v>
      </c>
      <c r="BM32" s="30" t="n">
        <f aca="false">BH32+BI32-BJ32-BK32</f>
        <v>0</v>
      </c>
      <c r="BN32" s="30" t="n">
        <f aca="false">BQ31</f>
        <v>0</v>
      </c>
      <c r="BO32" s="30" t="n">
        <f aca="false">BN32*$BH$5/12</f>
        <v>0</v>
      </c>
      <c r="BP32" s="30" t="n">
        <f aca="false">MIN($BH$6,BN32+BO32)</f>
        <v>0</v>
      </c>
      <c r="BQ32" s="30" t="n">
        <f aca="false">BN32+BO32-BP32</f>
        <v>0</v>
      </c>
      <c r="BR32" s="30" t="n">
        <f aca="false">BW31</f>
        <v>0</v>
      </c>
      <c r="BS32" s="30" t="n">
        <f aca="false">BR32*$BR$5/12</f>
        <v>0</v>
      </c>
      <c r="BT32" s="30" t="n">
        <f aca="false">MIN($BR$6,BR32+BS32)</f>
        <v>0</v>
      </c>
      <c r="BU32" s="30" t="n">
        <f aca="false">MAX(0,MIN(BL32,BR32+BS32-BT32))</f>
        <v>0</v>
      </c>
      <c r="BV32" s="29" t="n">
        <f aca="false">BL32-BU32</f>
        <v>0</v>
      </c>
      <c r="BW32" s="30" t="n">
        <f aca="false">BR32+BS32-BT32-BU32</f>
        <v>0</v>
      </c>
      <c r="BX32" s="30" t="n">
        <f aca="false">CA31</f>
        <v>0</v>
      </c>
      <c r="BY32" s="30" t="n">
        <f aca="false">BX32*$BR$5/12</f>
        <v>0</v>
      </c>
      <c r="BZ32" s="30" t="n">
        <f aca="false">MIN($BR$6,BX32+BY32)</f>
        <v>0</v>
      </c>
      <c r="CA32" s="30" t="n">
        <f aca="false">BX32+BY32-BZ32</f>
        <v>0</v>
      </c>
      <c r="CB32" s="30" t="n">
        <f aca="false">CG31</f>
        <v>0</v>
      </c>
      <c r="CC32" s="30" t="n">
        <f aca="false">CB32*$CB$5/12</f>
        <v>0</v>
      </c>
      <c r="CD32" s="30" t="n">
        <f aca="false">MIN($CB$6,CB32+CC32)</f>
        <v>0</v>
      </c>
      <c r="CE32" s="30" t="n">
        <f aca="false">MAX(0,MIN(BV32,CB32+CC32-CD32))</f>
        <v>0</v>
      </c>
      <c r="CF32" s="29" t="n">
        <f aca="false">BV32-CE32</f>
        <v>0</v>
      </c>
      <c r="CG32" s="30" t="n">
        <f aca="false">CB32+CC32-CD32-CE32</f>
        <v>0</v>
      </c>
      <c r="CH32" s="30" t="n">
        <f aca="false">CK31</f>
        <v>0</v>
      </c>
      <c r="CI32" s="30" t="n">
        <f aca="false">CH32*$CB$5/12</f>
        <v>0</v>
      </c>
      <c r="CJ32" s="30" t="n">
        <f aca="false">MIN($CB$6,CH32+CI32)</f>
        <v>0</v>
      </c>
      <c r="CK32" s="30" t="n">
        <f aca="false">CH32+CI32-CJ32</f>
        <v>0</v>
      </c>
    </row>
    <row r="33" customFormat="false" ht="15" hidden="false" customHeight="false" outlineLevel="0" collapsed="false">
      <c r="A33" s="0" t="n">
        <v>25</v>
      </c>
      <c r="B33" s="29" t="n">
        <f aca="false">'1 Your debts'!$B$16-(L33+V33+AF33+AP33+AZ33+BJ33+BT33+CD33)</f>
        <v>350</v>
      </c>
      <c r="C33" s="34" t="n">
        <f aca="false">O33+Y33+AI33+AS33+BC33+BM33+BW33+CG33</f>
        <v>11733.802647312</v>
      </c>
      <c r="D33" s="34" t="n">
        <f aca="false">K33+U33+AE33+AO33+AY33+BI33+BS33+CC33</f>
        <v>61.1835265716342</v>
      </c>
      <c r="F33" s="34" t="n">
        <f aca="false">S33+AC33+AM33+AW33+BG33+BQ33+CA33+CK33</f>
        <v>18140.1454088301</v>
      </c>
      <c r="G33" s="34" t="n">
        <f aca="false">Q33+AA33+AK33+AU33+BE33+BO33+BY33+CI33</f>
        <v>167.200807508186</v>
      </c>
      <c r="J33" s="34" t="n">
        <f aca="false">O32</f>
        <v>0</v>
      </c>
      <c r="K33" s="34" t="n">
        <f aca="false">J33*$J$5/12</f>
        <v>0</v>
      </c>
      <c r="L33" s="29" t="n">
        <f aca="false">MIN($J$6,J33+K33)</f>
        <v>0</v>
      </c>
      <c r="M33" s="30" t="n">
        <f aca="false">MAX(0,MIN($B33,J33+K33-L33))</f>
        <v>0</v>
      </c>
      <c r="N33" s="29" t="n">
        <f aca="false">$B33-M33</f>
        <v>350</v>
      </c>
      <c r="O33" s="34" t="n">
        <f aca="false">J33+K33-L33-M33</f>
        <v>0</v>
      </c>
      <c r="P33" s="34" t="n">
        <f aca="false">S32</f>
        <v>3661.14965969841</v>
      </c>
      <c r="Q33" s="34" t="n">
        <f aca="false">P33*$J$5/12</f>
        <v>76.2434416632195</v>
      </c>
      <c r="R33" s="29" t="n">
        <f aca="false">MIN($J$6,P33+Q33)</f>
        <v>105</v>
      </c>
      <c r="S33" s="34" t="n">
        <f aca="false">P33+Q33-R33</f>
        <v>3632.39310136163</v>
      </c>
      <c r="T33" s="34" t="n">
        <f aca="false">Y32</f>
        <v>0</v>
      </c>
      <c r="U33" s="34" t="n">
        <f aca="false">T33*$T$5/12</f>
        <v>0</v>
      </c>
      <c r="V33" s="29" t="n">
        <f aca="false">MIN($T$6,T33+U33)</f>
        <v>0</v>
      </c>
      <c r="W33" s="30" t="n">
        <f aca="false">MAX(0,MIN(N33,T33+U33-V33))</f>
        <v>0</v>
      </c>
      <c r="X33" s="29" t="n">
        <f aca="false">N33-W33</f>
        <v>350</v>
      </c>
      <c r="Y33" s="34" t="n">
        <f aca="false">T33+U33-V33-W33</f>
        <v>0</v>
      </c>
      <c r="Z33" s="34" t="n">
        <f aca="false">AC32</f>
        <v>1361.3828075287</v>
      </c>
      <c r="AA33" s="34" t="n">
        <f aca="false">Z33*$T$5/12</f>
        <v>22.6783686020822</v>
      </c>
      <c r="AB33" s="29" t="n">
        <f aca="false">MIN($T$6,Z33+AA33)</f>
        <v>45</v>
      </c>
      <c r="AC33" s="34" t="n">
        <f aca="false">Z33+AA33-AB33</f>
        <v>1339.06117613078</v>
      </c>
      <c r="AD33" s="34" t="n">
        <f aca="false">AI32</f>
        <v>2260.76113412052</v>
      </c>
      <c r="AE33" s="34" t="n">
        <f aca="false">AD33*$AD$5/12</f>
        <v>14.8833441329601</v>
      </c>
      <c r="AF33" s="29" t="n">
        <f aca="false">MIN($AD$6,AD33+AE33)</f>
        <v>210</v>
      </c>
      <c r="AG33" s="30" t="n">
        <f aca="false">MAX(0,MIN(X33,AD33+AE33-AF33))</f>
        <v>350</v>
      </c>
      <c r="AH33" s="29" t="n">
        <f aca="false">X33-AG33</f>
        <v>0</v>
      </c>
      <c r="AI33" s="34" t="n">
        <f aca="false">AD33+AE33-AF33-AG33</f>
        <v>1715.64447825348</v>
      </c>
      <c r="AJ33" s="34" t="n">
        <f aca="false">AM32</f>
        <v>3338.55414747501</v>
      </c>
      <c r="AK33" s="34" t="n">
        <f aca="false">AJ33*$AD$5/12</f>
        <v>21.9788148042105</v>
      </c>
      <c r="AL33" s="29" t="n">
        <f aca="false">MIN($AD$6,AJ33+AK33)</f>
        <v>210</v>
      </c>
      <c r="AM33" s="34" t="n">
        <f aca="false">AJ33+AK33-AL33</f>
        <v>3150.53296227922</v>
      </c>
      <c r="AN33" s="34" t="n">
        <f aca="false">AS32</f>
        <v>10101.8579866198</v>
      </c>
      <c r="AO33" s="34" t="n">
        <f aca="false">AN33*$AN$5/12</f>
        <v>46.3001824386742</v>
      </c>
      <c r="AP33" s="29" t="n">
        <f aca="false">MIN($AN$6,AN33+AO33)</f>
        <v>130</v>
      </c>
      <c r="AQ33" s="30" t="n">
        <f aca="false">MAX(0,MIN(AH33,AN33+AO33-AP33))</f>
        <v>0</v>
      </c>
      <c r="AR33" s="29" t="n">
        <f aca="false">AH33-AQ33</f>
        <v>0</v>
      </c>
      <c r="AS33" s="34" t="n">
        <f aca="false">AN33+AO33-AP33-AQ33</f>
        <v>10018.1581690585</v>
      </c>
      <c r="AT33" s="34" t="n">
        <f aca="false">AW32</f>
        <v>10101.8579866198</v>
      </c>
      <c r="AU33" s="34" t="n">
        <f aca="false">AT33*$AN$5/12</f>
        <v>46.3001824386742</v>
      </c>
      <c r="AV33" s="29" t="n">
        <f aca="false">MIN($AN$6,AT33+AU33)</f>
        <v>130</v>
      </c>
      <c r="AW33" s="34" t="n">
        <f aca="false">AT33+AU33-AV33</f>
        <v>10018.1581690585</v>
      </c>
      <c r="AX33" s="30" t="n">
        <f aca="false">BC32</f>
        <v>0</v>
      </c>
      <c r="AY33" s="30" t="n">
        <f aca="false">AX33*$AX$5/12</f>
        <v>0</v>
      </c>
      <c r="AZ33" s="30" t="n">
        <f aca="false">MIN($AX$6,AX33+AY33)</f>
        <v>0</v>
      </c>
      <c r="BA33" s="30" t="n">
        <f aca="false">MAX(0,MIN(AR33,AX33+AY33-AZ33))</f>
        <v>0</v>
      </c>
      <c r="BB33" s="29" t="n">
        <f aca="false">AR33-BA33</f>
        <v>0</v>
      </c>
      <c r="BC33" s="30" t="n">
        <f aca="false">AX33+AY33-AZ33-BA33</f>
        <v>0</v>
      </c>
      <c r="BD33" s="30" t="n">
        <f aca="false">BG32</f>
        <v>0</v>
      </c>
      <c r="BE33" s="30" t="n">
        <f aca="false">BD33*$AX$5/12</f>
        <v>0</v>
      </c>
      <c r="BF33" s="30" t="n">
        <f aca="false">MIN($AX$6,BD33+BE33)</f>
        <v>0</v>
      </c>
      <c r="BG33" s="30" t="n">
        <f aca="false">BD33+BE33-BF33</f>
        <v>0</v>
      </c>
      <c r="BH33" s="30" t="n">
        <f aca="false">BM32</f>
        <v>0</v>
      </c>
      <c r="BI33" s="30" t="n">
        <f aca="false">BH33*$BH$5/12</f>
        <v>0</v>
      </c>
      <c r="BJ33" s="30" t="n">
        <f aca="false">MIN($BH$6,BH33+BI33)</f>
        <v>0</v>
      </c>
      <c r="BK33" s="30" t="n">
        <f aca="false">MAX(0,MIN(BB33,BH33+BI33-BJ33))</f>
        <v>0</v>
      </c>
      <c r="BL33" s="29" t="n">
        <f aca="false">BB33-BK33</f>
        <v>0</v>
      </c>
      <c r="BM33" s="30" t="n">
        <f aca="false">BH33+BI33-BJ33-BK33</f>
        <v>0</v>
      </c>
      <c r="BN33" s="30" t="n">
        <f aca="false">BQ32</f>
        <v>0</v>
      </c>
      <c r="BO33" s="30" t="n">
        <f aca="false">BN33*$BH$5/12</f>
        <v>0</v>
      </c>
      <c r="BP33" s="30" t="n">
        <f aca="false">MIN($BH$6,BN33+BO33)</f>
        <v>0</v>
      </c>
      <c r="BQ33" s="30" t="n">
        <f aca="false">BN33+BO33-BP33</f>
        <v>0</v>
      </c>
      <c r="BR33" s="30" t="n">
        <f aca="false">BW32</f>
        <v>0</v>
      </c>
      <c r="BS33" s="30" t="n">
        <f aca="false">BR33*$BR$5/12</f>
        <v>0</v>
      </c>
      <c r="BT33" s="30" t="n">
        <f aca="false">MIN($BR$6,BR33+BS33)</f>
        <v>0</v>
      </c>
      <c r="BU33" s="30" t="n">
        <f aca="false">MAX(0,MIN(BL33,BR33+BS33-BT33))</f>
        <v>0</v>
      </c>
      <c r="BV33" s="29" t="n">
        <f aca="false">BL33-BU33</f>
        <v>0</v>
      </c>
      <c r="BW33" s="30" t="n">
        <f aca="false">BR33+BS33-BT33-BU33</f>
        <v>0</v>
      </c>
      <c r="BX33" s="30" t="n">
        <f aca="false">CA32</f>
        <v>0</v>
      </c>
      <c r="BY33" s="30" t="n">
        <f aca="false">BX33*$BR$5/12</f>
        <v>0</v>
      </c>
      <c r="BZ33" s="30" t="n">
        <f aca="false">MIN($BR$6,BX33+BY33)</f>
        <v>0</v>
      </c>
      <c r="CA33" s="30" t="n">
        <f aca="false">BX33+BY33-BZ33</f>
        <v>0</v>
      </c>
      <c r="CB33" s="30" t="n">
        <f aca="false">CG32</f>
        <v>0</v>
      </c>
      <c r="CC33" s="30" t="n">
        <f aca="false">CB33*$CB$5/12</f>
        <v>0</v>
      </c>
      <c r="CD33" s="30" t="n">
        <f aca="false">MIN($CB$6,CB33+CC33)</f>
        <v>0</v>
      </c>
      <c r="CE33" s="30" t="n">
        <f aca="false">MAX(0,MIN(BV33,CB33+CC33-CD33))</f>
        <v>0</v>
      </c>
      <c r="CF33" s="29" t="n">
        <f aca="false">BV33-CE33</f>
        <v>0</v>
      </c>
      <c r="CG33" s="30" t="n">
        <f aca="false">CB33+CC33-CD33-CE33</f>
        <v>0</v>
      </c>
      <c r="CH33" s="30" t="n">
        <f aca="false">CK32</f>
        <v>0</v>
      </c>
      <c r="CI33" s="30" t="n">
        <f aca="false">CH33*$CB$5/12</f>
        <v>0</v>
      </c>
      <c r="CJ33" s="30" t="n">
        <f aca="false">MIN($CB$6,CH33+CI33)</f>
        <v>0</v>
      </c>
      <c r="CK33" s="30" t="n">
        <f aca="false">CH33+CI33-CJ33</f>
        <v>0</v>
      </c>
    </row>
    <row r="34" customFormat="false" ht="15" hidden="false" customHeight="false" outlineLevel="0" collapsed="false">
      <c r="A34" s="0" t="n">
        <v>26</v>
      </c>
      <c r="B34" s="29" t="n">
        <f aca="false">'1 Your debts'!$B$16-(L34+V34+AF34+AP34+AZ34+BJ34+BT34+CD34)</f>
        <v>350</v>
      </c>
      <c r="C34" s="34" t="n">
        <f aca="false">O34+Y34+AI34+AS34+BC34+BM34+BW34+CG34</f>
        <v>11101.0138650687</v>
      </c>
      <c r="D34" s="34" t="n">
        <f aca="false">K34+U34+AE34+AO34+AY34+BI34+BS34+CC34</f>
        <v>57.2112177566868</v>
      </c>
      <c r="F34" s="34" t="n">
        <f aca="false">S34+AC34+AM34+AW34+BG34+BQ34+CA34+CK34</f>
        <v>17814.7540895349</v>
      </c>
      <c r="G34" s="34" t="n">
        <f aca="false">Q34+AA34+AK34+AU34+BE34+BO34+BY34+CI34</f>
        <v>164.608680704758</v>
      </c>
      <c r="J34" s="34" t="n">
        <f aca="false">O33</f>
        <v>0</v>
      </c>
      <c r="K34" s="34" t="n">
        <f aca="false">J34*$J$5/12</f>
        <v>0</v>
      </c>
      <c r="L34" s="29" t="n">
        <f aca="false">MIN($J$6,J34+K34)</f>
        <v>0</v>
      </c>
      <c r="M34" s="30" t="n">
        <f aca="false">MAX(0,MIN($B34,J34+K34-L34))</f>
        <v>0</v>
      </c>
      <c r="N34" s="29" t="n">
        <f aca="false">$B34-M34</f>
        <v>350</v>
      </c>
      <c r="O34" s="34" t="n">
        <f aca="false">J34+K34-L34-M34</f>
        <v>0</v>
      </c>
      <c r="P34" s="34" t="n">
        <f aca="false">S33</f>
        <v>3632.39310136163</v>
      </c>
      <c r="Q34" s="34" t="n">
        <f aca="false">P34*$J$5/12</f>
        <v>75.644586335856</v>
      </c>
      <c r="R34" s="29" t="n">
        <f aca="false">MIN($J$6,P34+Q34)</f>
        <v>105</v>
      </c>
      <c r="S34" s="34" t="n">
        <f aca="false">P34+Q34-R34</f>
        <v>3603.03768769749</v>
      </c>
      <c r="T34" s="34" t="n">
        <f aca="false">Y33</f>
        <v>0</v>
      </c>
      <c r="U34" s="34" t="n">
        <f aca="false">T34*$T$5/12</f>
        <v>0</v>
      </c>
      <c r="V34" s="29" t="n">
        <f aca="false">MIN($T$6,T34+U34)</f>
        <v>0</v>
      </c>
      <c r="W34" s="30" t="n">
        <f aca="false">MAX(0,MIN(N34,T34+U34-V34))</f>
        <v>0</v>
      </c>
      <c r="X34" s="29" t="n">
        <f aca="false">N34-W34</f>
        <v>350</v>
      </c>
      <c r="Y34" s="34" t="n">
        <f aca="false">T34+U34-V34-W34</f>
        <v>0</v>
      </c>
      <c r="Z34" s="34" t="n">
        <f aca="false">AC33</f>
        <v>1339.06117613078</v>
      </c>
      <c r="AA34" s="34" t="n">
        <f aca="false">Z34*$T$5/12</f>
        <v>22.3065274257119</v>
      </c>
      <c r="AB34" s="29" t="n">
        <f aca="false">MIN($T$6,Z34+AA34)</f>
        <v>45</v>
      </c>
      <c r="AC34" s="34" t="n">
        <f aca="false">Z34+AA34-AB34</f>
        <v>1316.36770355649</v>
      </c>
      <c r="AD34" s="34" t="n">
        <f aca="false">AI33</f>
        <v>1715.64447825348</v>
      </c>
      <c r="AE34" s="34" t="n">
        <f aca="false">AD34*$AD$5/12</f>
        <v>11.2946594818354</v>
      </c>
      <c r="AF34" s="29" t="n">
        <f aca="false">MIN($AD$6,AD34+AE34)</f>
        <v>210</v>
      </c>
      <c r="AG34" s="30" t="n">
        <f aca="false">MAX(0,MIN(X34,AD34+AE34-AF34))</f>
        <v>350</v>
      </c>
      <c r="AH34" s="29" t="n">
        <f aca="false">X34-AG34</f>
        <v>0</v>
      </c>
      <c r="AI34" s="34" t="n">
        <f aca="false">AD34+AE34-AF34-AG34</f>
        <v>1166.93913773532</v>
      </c>
      <c r="AJ34" s="34" t="n">
        <f aca="false">AM33</f>
        <v>3150.53296227922</v>
      </c>
      <c r="AK34" s="34" t="n">
        <f aca="false">AJ34*$AD$5/12</f>
        <v>20.7410086683382</v>
      </c>
      <c r="AL34" s="29" t="n">
        <f aca="false">MIN($AD$6,AJ34+AK34)</f>
        <v>210</v>
      </c>
      <c r="AM34" s="34" t="n">
        <f aca="false">AJ34+AK34-AL34</f>
        <v>2961.27397094756</v>
      </c>
      <c r="AN34" s="34" t="n">
        <f aca="false">AS33</f>
        <v>10018.1581690585</v>
      </c>
      <c r="AO34" s="34" t="n">
        <f aca="false">AN34*$AN$5/12</f>
        <v>45.9165582748514</v>
      </c>
      <c r="AP34" s="29" t="n">
        <f aca="false">MIN($AN$6,AN34+AO34)</f>
        <v>130</v>
      </c>
      <c r="AQ34" s="30" t="n">
        <f aca="false">MAX(0,MIN(AH34,AN34+AO34-AP34))</f>
        <v>0</v>
      </c>
      <c r="AR34" s="29" t="n">
        <f aca="false">AH34-AQ34</f>
        <v>0</v>
      </c>
      <c r="AS34" s="34" t="n">
        <f aca="false">AN34+AO34-AP34-AQ34</f>
        <v>9934.07472733334</v>
      </c>
      <c r="AT34" s="34" t="n">
        <f aca="false">AW33</f>
        <v>10018.1581690585</v>
      </c>
      <c r="AU34" s="34" t="n">
        <f aca="false">AT34*$AN$5/12</f>
        <v>45.9165582748514</v>
      </c>
      <c r="AV34" s="29" t="n">
        <f aca="false">MIN($AN$6,AT34+AU34)</f>
        <v>130</v>
      </c>
      <c r="AW34" s="34" t="n">
        <f aca="false">AT34+AU34-AV34</f>
        <v>9934.07472733334</v>
      </c>
      <c r="AX34" s="30" t="n">
        <f aca="false">BC33</f>
        <v>0</v>
      </c>
      <c r="AY34" s="30" t="n">
        <f aca="false">AX34*$AX$5/12</f>
        <v>0</v>
      </c>
      <c r="AZ34" s="30" t="n">
        <f aca="false">MIN($AX$6,AX34+AY34)</f>
        <v>0</v>
      </c>
      <c r="BA34" s="30" t="n">
        <f aca="false">MAX(0,MIN(AR34,AX34+AY34-AZ34))</f>
        <v>0</v>
      </c>
      <c r="BB34" s="29" t="n">
        <f aca="false">AR34-BA34</f>
        <v>0</v>
      </c>
      <c r="BC34" s="30" t="n">
        <f aca="false">AX34+AY34-AZ34-BA34</f>
        <v>0</v>
      </c>
      <c r="BD34" s="30" t="n">
        <f aca="false">BG33</f>
        <v>0</v>
      </c>
      <c r="BE34" s="30" t="n">
        <f aca="false">BD34*$AX$5/12</f>
        <v>0</v>
      </c>
      <c r="BF34" s="30" t="n">
        <f aca="false">MIN($AX$6,BD34+BE34)</f>
        <v>0</v>
      </c>
      <c r="BG34" s="30" t="n">
        <f aca="false">BD34+BE34-BF34</f>
        <v>0</v>
      </c>
      <c r="BH34" s="30" t="n">
        <f aca="false">BM33</f>
        <v>0</v>
      </c>
      <c r="BI34" s="30" t="n">
        <f aca="false">BH34*$BH$5/12</f>
        <v>0</v>
      </c>
      <c r="BJ34" s="30" t="n">
        <f aca="false">MIN($BH$6,BH34+BI34)</f>
        <v>0</v>
      </c>
      <c r="BK34" s="30" t="n">
        <f aca="false">MAX(0,MIN(BB34,BH34+BI34-BJ34))</f>
        <v>0</v>
      </c>
      <c r="BL34" s="29" t="n">
        <f aca="false">BB34-BK34</f>
        <v>0</v>
      </c>
      <c r="BM34" s="30" t="n">
        <f aca="false">BH34+BI34-BJ34-BK34</f>
        <v>0</v>
      </c>
      <c r="BN34" s="30" t="n">
        <f aca="false">BQ33</f>
        <v>0</v>
      </c>
      <c r="BO34" s="30" t="n">
        <f aca="false">BN34*$BH$5/12</f>
        <v>0</v>
      </c>
      <c r="BP34" s="30" t="n">
        <f aca="false">MIN($BH$6,BN34+BO34)</f>
        <v>0</v>
      </c>
      <c r="BQ34" s="30" t="n">
        <f aca="false">BN34+BO34-BP34</f>
        <v>0</v>
      </c>
      <c r="BR34" s="30" t="n">
        <f aca="false">BW33</f>
        <v>0</v>
      </c>
      <c r="BS34" s="30" t="n">
        <f aca="false">BR34*$BR$5/12</f>
        <v>0</v>
      </c>
      <c r="BT34" s="30" t="n">
        <f aca="false">MIN($BR$6,BR34+BS34)</f>
        <v>0</v>
      </c>
      <c r="BU34" s="30" t="n">
        <f aca="false">MAX(0,MIN(BL34,BR34+BS34-BT34))</f>
        <v>0</v>
      </c>
      <c r="BV34" s="29" t="n">
        <f aca="false">BL34-BU34</f>
        <v>0</v>
      </c>
      <c r="BW34" s="30" t="n">
        <f aca="false">BR34+BS34-BT34-BU34</f>
        <v>0</v>
      </c>
      <c r="BX34" s="30" t="n">
        <f aca="false">CA33</f>
        <v>0</v>
      </c>
      <c r="BY34" s="30" t="n">
        <f aca="false">BX34*$BR$5/12</f>
        <v>0</v>
      </c>
      <c r="BZ34" s="30" t="n">
        <f aca="false">MIN($BR$6,BX34+BY34)</f>
        <v>0</v>
      </c>
      <c r="CA34" s="30" t="n">
        <f aca="false">BX34+BY34-BZ34</f>
        <v>0</v>
      </c>
      <c r="CB34" s="30" t="n">
        <f aca="false">CG33</f>
        <v>0</v>
      </c>
      <c r="CC34" s="30" t="n">
        <f aca="false">CB34*$CB$5/12</f>
        <v>0</v>
      </c>
      <c r="CD34" s="30" t="n">
        <f aca="false">MIN($CB$6,CB34+CC34)</f>
        <v>0</v>
      </c>
      <c r="CE34" s="30" t="n">
        <f aca="false">MAX(0,MIN(BV34,CB34+CC34-CD34))</f>
        <v>0</v>
      </c>
      <c r="CF34" s="29" t="n">
        <f aca="false">BV34-CE34</f>
        <v>0</v>
      </c>
      <c r="CG34" s="30" t="n">
        <f aca="false">CB34+CC34-CD34-CE34</f>
        <v>0</v>
      </c>
      <c r="CH34" s="30" t="n">
        <f aca="false">CK33</f>
        <v>0</v>
      </c>
      <c r="CI34" s="30" t="n">
        <f aca="false">CH34*$CB$5/12</f>
        <v>0</v>
      </c>
      <c r="CJ34" s="30" t="n">
        <f aca="false">MIN($CB$6,CH34+CI34)</f>
        <v>0</v>
      </c>
      <c r="CK34" s="30" t="n">
        <f aca="false">CH34+CI34-CJ34</f>
        <v>0</v>
      </c>
    </row>
    <row r="35" customFormat="false" ht="15" hidden="false" customHeight="false" outlineLevel="0" collapsed="false">
      <c r="A35" s="0" t="n">
        <v>27</v>
      </c>
      <c r="B35" s="29" t="n">
        <f aca="false">'1 Your debts'!$B$16-(L35+V35+AF35+AP35+AZ35+BJ35+BT35+CD35)</f>
        <v>350</v>
      </c>
      <c r="C35" s="34" t="n">
        <f aca="false">O35+Y35+AI35+AS35+BC35+BM35+BW35+CG35</f>
        <v>10464.2273902257</v>
      </c>
      <c r="D35" s="34" t="n">
        <f aca="false">K35+U35+AE35+AO35+AY35+BI35+BS35+CC35</f>
        <v>53.2135251570353</v>
      </c>
      <c r="F35" s="34" t="n">
        <f aca="false">S35+AC35+AM35+AW35+BG35+BQ35+CA35+CK35</f>
        <v>17486.7420708519</v>
      </c>
      <c r="G35" s="34" t="n">
        <f aca="false">Q35+AA35+AK35+AU35+BE35+BO35+BY35+CI35</f>
        <v>161.987981317061</v>
      </c>
      <c r="J35" s="34" t="n">
        <f aca="false">O34</f>
        <v>0</v>
      </c>
      <c r="K35" s="34" t="n">
        <f aca="false">J35*$J$5/12</f>
        <v>0</v>
      </c>
      <c r="L35" s="29" t="n">
        <f aca="false">MIN($J$6,J35+K35)</f>
        <v>0</v>
      </c>
      <c r="M35" s="30" t="n">
        <f aca="false">MAX(0,MIN($B35,J35+K35-L35))</f>
        <v>0</v>
      </c>
      <c r="N35" s="29" t="n">
        <f aca="false">$B35-M35</f>
        <v>350</v>
      </c>
      <c r="O35" s="34" t="n">
        <f aca="false">J35+K35-L35-M35</f>
        <v>0</v>
      </c>
      <c r="P35" s="34" t="n">
        <f aca="false">S34</f>
        <v>3603.03768769749</v>
      </c>
      <c r="Q35" s="34" t="n">
        <f aca="false">P35*$J$5/12</f>
        <v>75.0332598463002</v>
      </c>
      <c r="R35" s="29" t="n">
        <f aca="false">MIN($J$6,P35+Q35)</f>
        <v>105</v>
      </c>
      <c r="S35" s="34" t="n">
        <f aca="false">P35+Q35-R35</f>
        <v>3573.07094754379</v>
      </c>
      <c r="T35" s="34" t="n">
        <f aca="false">Y34</f>
        <v>0</v>
      </c>
      <c r="U35" s="34" t="n">
        <f aca="false">T35*$T$5/12</f>
        <v>0</v>
      </c>
      <c r="V35" s="29" t="n">
        <f aca="false">MIN($T$6,T35+U35)</f>
        <v>0</v>
      </c>
      <c r="W35" s="30" t="n">
        <f aca="false">MAX(0,MIN(N35,T35+U35-V35))</f>
        <v>0</v>
      </c>
      <c r="X35" s="29" t="n">
        <f aca="false">N35-W35</f>
        <v>350</v>
      </c>
      <c r="Y35" s="34" t="n">
        <f aca="false">T35+U35-V35-W35</f>
        <v>0</v>
      </c>
      <c r="Z35" s="34" t="n">
        <f aca="false">AC34</f>
        <v>1316.36770355649</v>
      </c>
      <c r="AA35" s="34" t="n">
        <f aca="false">Z35*$T$5/12</f>
        <v>21.9284919950785</v>
      </c>
      <c r="AB35" s="29" t="n">
        <f aca="false">MIN($T$6,Z35+AA35)</f>
        <v>45</v>
      </c>
      <c r="AC35" s="34" t="n">
        <f aca="false">Z35+AA35-AB35</f>
        <v>1293.29619555157</v>
      </c>
      <c r="AD35" s="34" t="n">
        <f aca="false">AI34</f>
        <v>1166.93913773532</v>
      </c>
      <c r="AE35" s="34" t="n">
        <f aca="false">AD35*$AD$5/12</f>
        <v>7.68234932342416</v>
      </c>
      <c r="AF35" s="29" t="n">
        <f aca="false">MIN($AD$6,AD35+AE35)</f>
        <v>210</v>
      </c>
      <c r="AG35" s="30" t="n">
        <f aca="false">MAX(0,MIN(X35,AD35+AE35-AF35))</f>
        <v>350</v>
      </c>
      <c r="AH35" s="29" t="n">
        <f aca="false">X35-AG35</f>
        <v>0</v>
      </c>
      <c r="AI35" s="34" t="n">
        <f aca="false">AD35+AE35-AF35-AG35</f>
        <v>614.62148705874</v>
      </c>
      <c r="AJ35" s="34" t="n">
        <f aca="false">AM34</f>
        <v>2961.27397094756</v>
      </c>
      <c r="AK35" s="34" t="n">
        <f aca="false">AJ35*$AD$5/12</f>
        <v>19.4950536420714</v>
      </c>
      <c r="AL35" s="29" t="n">
        <f aca="false">MIN($AD$6,AJ35+AK35)</f>
        <v>210</v>
      </c>
      <c r="AM35" s="34" t="n">
        <f aca="false">AJ35+AK35-AL35</f>
        <v>2770.76902458963</v>
      </c>
      <c r="AN35" s="34" t="n">
        <f aca="false">AS34</f>
        <v>9934.07472733334</v>
      </c>
      <c r="AO35" s="34" t="n">
        <f aca="false">AN35*$AN$5/12</f>
        <v>45.5311758336111</v>
      </c>
      <c r="AP35" s="29" t="n">
        <f aca="false">MIN($AN$6,AN35+AO35)</f>
        <v>130</v>
      </c>
      <c r="AQ35" s="30" t="n">
        <f aca="false">MAX(0,MIN(AH35,AN35+AO35-AP35))</f>
        <v>0</v>
      </c>
      <c r="AR35" s="29" t="n">
        <f aca="false">AH35-AQ35</f>
        <v>0</v>
      </c>
      <c r="AS35" s="34" t="n">
        <f aca="false">AN35+AO35-AP35-AQ35</f>
        <v>9849.60590316695</v>
      </c>
      <c r="AT35" s="34" t="n">
        <f aca="false">AW34</f>
        <v>9934.07472733334</v>
      </c>
      <c r="AU35" s="34" t="n">
        <f aca="false">AT35*$AN$5/12</f>
        <v>45.5311758336111</v>
      </c>
      <c r="AV35" s="29" t="n">
        <f aca="false">MIN($AN$6,AT35+AU35)</f>
        <v>130</v>
      </c>
      <c r="AW35" s="34" t="n">
        <f aca="false">AT35+AU35-AV35</f>
        <v>9849.60590316695</v>
      </c>
      <c r="AX35" s="30" t="n">
        <f aca="false">BC34</f>
        <v>0</v>
      </c>
      <c r="AY35" s="30" t="n">
        <f aca="false">AX35*$AX$5/12</f>
        <v>0</v>
      </c>
      <c r="AZ35" s="30" t="n">
        <f aca="false">MIN($AX$6,AX35+AY35)</f>
        <v>0</v>
      </c>
      <c r="BA35" s="30" t="n">
        <f aca="false">MAX(0,MIN(AR35,AX35+AY35-AZ35))</f>
        <v>0</v>
      </c>
      <c r="BB35" s="29" t="n">
        <f aca="false">AR35-BA35</f>
        <v>0</v>
      </c>
      <c r="BC35" s="30" t="n">
        <f aca="false">AX35+AY35-AZ35-BA35</f>
        <v>0</v>
      </c>
      <c r="BD35" s="30" t="n">
        <f aca="false">BG34</f>
        <v>0</v>
      </c>
      <c r="BE35" s="30" t="n">
        <f aca="false">BD35*$AX$5/12</f>
        <v>0</v>
      </c>
      <c r="BF35" s="30" t="n">
        <f aca="false">MIN($AX$6,BD35+BE35)</f>
        <v>0</v>
      </c>
      <c r="BG35" s="30" t="n">
        <f aca="false">BD35+BE35-BF35</f>
        <v>0</v>
      </c>
      <c r="BH35" s="30" t="n">
        <f aca="false">BM34</f>
        <v>0</v>
      </c>
      <c r="BI35" s="30" t="n">
        <f aca="false">BH35*$BH$5/12</f>
        <v>0</v>
      </c>
      <c r="BJ35" s="30" t="n">
        <f aca="false">MIN($BH$6,BH35+BI35)</f>
        <v>0</v>
      </c>
      <c r="BK35" s="30" t="n">
        <f aca="false">MAX(0,MIN(BB35,BH35+BI35-BJ35))</f>
        <v>0</v>
      </c>
      <c r="BL35" s="29" t="n">
        <f aca="false">BB35-BK35</f>
        <v>0</v>
      </c>
      <c r="BM35" s="30" t="n">
        <f aca="false">BH35+BI35-BJ35-BK35</f>
        <v>0</v>
      </c>
      <c r="BN35" s="30" t="n">
        <f aca="false">BQ34</f>
        <v>0</v>
      </c>
      <c r="BO35" s="30" t="n">
        <f aca="false">BN35*$BH$5/12</f>
        <v>0</v>
      </c>
      <c r="BP35" s="30" t="n">
        <f aca="false">MIN($BH$6,BN35+BO35)</f>
        <v>0</v>
      </c>
      <c r="BQ35" s="30" t="n">
        <f aca="false">BN35+BO35-BP35</f>
        <v>0</v>
      </c>
      <c r="BR35" s="30" t="n">
        <f aca="false">BW34</f>
        <v>0</v>
      </c>
      <c r="BS35" s="30" t="n">
        <f aca="false">BR35*$BR$5/12</f>
        <v>0</v>
      </c>
      <c r="BT35" s="30" t="n">
        <f aca="false">MIN($BR$6,BR35+BS35)</f>
        <v>0</v>
      </c>
      <c r="BU35" s="30" t="n">
        <f aca="false">MAX(0,MIN(BL35,BR35+BS35-BT35))</f>
        <v>0</v>
      </c>
      <c r="BV35" s="29" t="n">
        <f aca="false">BL35-BU35</f>
        <v>0</v>
      </c>
      <c r="BW35" s="30" t="n">
        <f aca="false">BR35+BS35-BT35-BU35</f>
        <v>0</v>
      </c>
      <c r="BX35" s="30" t="n">
        <f aca="false">CA34</f>
        <v>0</v>
      </c>
      <c r="BY35" s="30" t="n">
        <f aca="false">BX35*$BR$5/12</f>
        <v>0</v>
      </c>
      <c r="BZ35" s="30" t="n">
        <f aca="false">MIN($BR$6,BX35+BY35)</f>
        <v>0</v>
      </c>
      <c r="CA35" s="30" t="n">
        <f aca="false">BX35+BY35-BZ35</f>
        <v>0</v>
      </c>
      <c r="CB35" s="30" t="n">
        <f aca="false">CG34</f>
        <v>0</v>
      </c>
      <c r="CC35" s="30" t="n">
        <f aca="false">CB35*$CB$5/12</f>
        <v>0</v>
      </c>
      <c r="CD35" s="30" t="n">
        <f aca="false">MIN($CB$6,CB35+CC35)</f>
        <v>0</v>
      </c>
      <c r="CE35" s="30" t="n">
        <f aca="false">MAX(0,MIN(BV35,CB35+CC35-CD35))</f>
        <v>0</v>
      </c>
      <c r="CF35" s="29" t="n">
        <f aca="false">BV35-CE35</f>
        <v>0</v>
      </c>
      <c r="CG35" s="30" t="n">
        <f aca="false">CB35+CC35-CD35-CE35</f>
        <v>0</v>
      </c>
      <c r="CH35" s="30" t="n">
        <f aca="false">CK34</f>
        <v>0</v>
      </c>
      <c r="CI35" s="30" t="n">
        <f aca="false">CH35*$CB$5/12</f>
        <v>0</v>
      </c>
      <c r="CJ35" s="30" t="n">
        <f aca="false">MIN($CB$6,CH35+CI35)</f>
        <v>0</v>
      </c>
      <c r="CK35" s="30" t="n">
        <f aca="false">CH35+CI35-CJ35</f>
        <v>0</v>
      </c>
    </row>
    <row r="36" customFormat="false" ht="15" hidden="false" customHeight="false" outlineLevel="0" collapsed="false">
      <c r="A36" s="0" t="n">
        <v>28</v>
      </c>
      <c r="B36" s="29" t="n">
        <f aca="false">'1 Your debts'!$B$16-(L36+V36+AF36+AP36+AZ36+BJ36+BT36+CD36)</f>
        <v>350</v>
      </c>
      <c r="C36" s="34" t="n">
        <f aca="false">O36+Y36+AI36+AS36+BC36+BM36+BW36+CG36</f>
        <v>9823.41767540501</v>
      </c>
      <c r="D36" s="34" t="n">
        <f aca="false">K36+U36+AE36+AO36+AY36+BI36+BS36+CC36</f>
        <v>49.1902851793186</v>
      </c>
      <c r="F36" s="34" t="n">
        <f aca="false">S36+AC36+AM36+AW36+BG36+BQ36+CA36+CK36</f>
        <v>17156.0803555935</v>
      </c>
      <c r="G36" s="34" t="n">
        <f aca="false">Q36+AA36+AK36+AU36+BE36+BO36+BY36+CI36</f>
        <v>159.33828474156</v>
      </c>
      <c r="J36" s="34" t="n">
        <f aca="false">O35</f>
        <v>0</v>
      </c>
      <c r="K36" s="34" t="n">
        <f aca="false">J36*$J$5/12</f>
        <v>0</v>
      </c>
      <c r="L36" s="29" t="n">
        <f aca="false">MIN($J$6,J36+K36)</f>
        <v>0</v>
      </c>
      <c r="M36" s="30" t="n">
        <f aca="false">MAX(0,MIN($B36,J36+K36-L36))</f>
        <v>0</v>
      </c>
      <c r="N36" s="29" t="n">
        <f aca="false">$B36-M36</f>
        <v>350</v>
      </c>
      <c r="O36" s="34" t="n">
        <f aca="false">J36+K36-L36-M36</f>
        <v>0</v>
      </c>
      <c r="P36" s="34" t="n">
        <f aca="false">S35</f>
        <v>3573.07094754379</v>
      </c>
      <c r="Q36" s="34" t="n">
        <f aca="false">P36*$J$5/12</f>
        <v>74.4092024825994</v>
      </c>
      <c r="R36" s="29" t="n">
        <f aca="false">MIN($J$6,P36+Q36)</f>
        <v>105</v>
      </c>
      <c r="S36" s="34" t="n">
        <f aca="false">P36+Q36-R36</f>
        <v>3542.48015002639</v>
      </c>
      <c r="T36" s="34" t="n">
        <f aca="false">Y35</f>
        <v>0</v>
      </c>
      <c r="U36" s="34" t="n">
        <f aca="false">T36*$T$5/12</f>
        <v>0</v>
      </c>
      <c r="V36" s="29" t="n">
        <f aca="false">MIN($T$6,T36+U36)</f>
        <v>0</v>
      </c>
      <c r="W36" s="30" t="n">
        <f aca="false">MAX(0,MIN(N36,T36+U36-V36))</f>
        <v>0</v>
      </c>
      <c r="X36" s="29" t="n">
        <f aca="false">N36-W36</f>
        <v>350</v>
      </c>
      <c r="Y36" s="34" t="n">
        <f aca="false">T36+U36-V36-W36</f>
        <v>0</v>
      </c>
      <c r="Z36" s="34" t="n">
        <f aca="false">AC35</f>
        <v>1293.29619555157</v>
      </c>
      <c r="AA36" s="34" t="n">
        <f aca="false">Z36*$T$5/12</f>
        <v>21.5441591242299</v>
      </c>
      <c r="AB36" s="29" t="n">
        <f aca="false">MIN($T$6,Z36+AA36)</f>
        <v>45</v>
      </c>
      <c r="AC36" s="34" t="n">
        <f aca="false">Z36+AA36-AB36</f>
        <v>1269.8403546758</v>
      </c>
      <c r="AD36" s="34" t="n">
        <f aca="false">AI35</f>
        <v>614.62148705874</v>
      </c>
      <c r="AE36" s="34" t="n">
        <f aca="false">AD36*$AD$5/12</f>
        <v>4.04625812313671</v>
      </c>
      <c r="AF36" s="29" t="n">
        <f aca="false">MIN($AD$6,AD36+AE36)</f>
        <v>210</v>
      </c>
      <c r="AG36" s="30" t="n">
        <f aca="false">MAX(0,MIN(X36,AD36+AE36-AF36))</f>
        <v>350</v>
      </c>
      <c r="AH36" s="29" t="n">
        <f aca="false">X36-AG36</f>
        <v>0</v>
      </c>
      <c r="AI36" s="34" t="n">
        <f aca="false">AD36+AE36-AF36-AG36</f>
        <v>58.6677451818767</v>
      </c>
      <c r="AJ36" s="34" t="n">
        <f aca="false">AM35</f>
        <v>2770.76902458963</v>
      </c>
      <c r="AK36" s="34" t="n">
        <f aca="false">AJ36*$AD$5/12</f>
        <v>18.2408960785484</v>
      </c>
      <c r="AL36" s="29" t="n">
        <f aca="false">MIN($AD$6,AJ36+AK36)</f>
        <v>210</v>
      </c>
      <c r="AM36" s="34" t="n">
        <f aca="false">AJ36+AK36-AL36</f>
        <v>2579.00992066818</v>
      </c>
      <c r="AN36" s="34" t="n">
        <f aca="false">AS35</f>
        <v>9849.60590316695</v>
      </c>
      <c r="AO36" s="34" t="n">
        <f aca="false">AN36*$AN$5/12</f>
        <v>45.1440270561819</v>
      </c>
      <c r="AP36" s="29" t="n">
        <f aca="false">MIN($AN$6,AN36+AO36)</f>
        <v>130</v>
      </c>
      <c r="AQ36" s="30" t="n">
        <f aca="false">MAX(0,MIN(AH36,AN36+AO36-AP36))</f>
        <v>0</v>
      </c>
      <c r="AR36" s="29" t="n">
        <f aca="false">AH36-AQ36</f>
        <v>0</v>
      </c>
      <c r="AS36" s="34" t="n">
        <f aca="false">AN36+AO36-AP36-AQ36</f>
        <v>9764.74993022313</v>
      </c>
      <c r="AT36" s="34" t="n">
        <f aca="false">AW35</f>
        <v>9849.60590316695</v>
      </c>
      <c r="AU36" s="34" t="n">
        <f aca="false">AT36*$AN$5/12</f>
        <v>45.1440270561819</v>
      </c>
      <c r="AV36" s="29" t="n">
        <f aca="false">MIN($AN$6,AT36+AU36)</f>
        <v>130</v>
      </c>
      <c r="AW36" s="34" t="n">
        <f aca="false">AT36+AU36-AV36</f>
        <v>9764.74993022313</v>
      </c>
      <c r="AX36" s="30" t="n">
        <f aca="false">BC35</f>
        <v>0</v>
      </c>
      <c r="AY36" s="30" t="n">
        <f aca="false">AX36*$AX$5/12</f>
        <v>0</v>
      </c>
      <c r="AZ36" s="30" t="n">
        <f aca="false">MIN($AX$6,AX36+AY36)</f>
        <v>0</v>
      </c>
      <c r="BA36" s="30" t="n">
        <f aca="false">MAX(0,MIN(AR36,AX36+AY36-AZ36))</f>
        <v>0</v>
      </c>
      <c r="BB36" s="29" t="n">
        <f aca="false">AR36-BA36</f>
        <v>0</v>
      </c>
      <c r="BC36" s="30" t="n">
        <f aca="false">AX36+AY36-AZ36-BA36</f>
        <v>0</v>
      </c>
      <c r="BD36" s="30" t="n">
        <f aca="false">BG35</f>
        <v>0</v>
      </c>
      <c r="BE36" s="30" t="n">
        <f aca="false">BD36*$AX$5/12</f>
        <v>0</v>
      </c>
      <c r="BF36" s="30" t="n">
        <f aca="false">MIN($AX$6,BD36+BE36)</f>
        <v>0</v>
      </c>
      <c r="BG36" s="30" t="n">
        <f aca="false">BD36+BE36-BF36</f>
        <v>0</v>
      </c>
      <c r="BH36" s="30" t="n">
        <f aca="false">BM35</f>
        <v>0</v>
      </c>
      <c r="BI36" s="30" t="n">
        <f aca="false">BH36*$BH$5/12</f>
        <v>0</v>
      </c>
      <c r="BJ36" s="30" t="n">
        <f aca="false">MIN($BH$6,BH36+BI36)</f>
        <v>0</v>
      </c>
      <c r="BK36" s="30" t="n">
        <f aca="false">MAX(0,MIN(BB36,BH36+BI36-BJ36))</f>
        <v>0</v>
      </c>
      <c r="BL36" s="29" t="n">
        <f aca="false">BB36-BK36</f>
        <v>0</v>
      </c>
      <c r="BM36" s="30" t="n">
        <f aca="false">BH36+BI36-BJ36-BK36</f>
        <v>0</v>
      </c>
      <c r="BN36" s="30" t="n">
        <f aca="false">BQ35</f>
        <v>0</v>
      </c>
      <c r="BO36" s="30" t="n">
        <f aca="false">BN36*$BH$5/12</f>
        <v>0</v>
      </c>
      <c r="BP36" s="30" t="n">
        <f aca="false">MIN($BH$6,BN36+BO36)</f>
        <v>0</v>
      </c>
      <c r="BQ36" s="30" t="n">
        <f aca="false">BN36+BO36-BP36</f>
        <v>0</v>
      </c>
      <c r="BR36" s="30" t="n">
        <f aca="false">BW35</f>
        <v>0</v>
      </c>
      <c r="BS36" s="30" t="n">
        <f aca="false">BR36*$BR$5/12</f>
        <v>0</v>
      </c>
      <c r="BT36" s="30" t="n">
        <f aca="false">MIN($BR$6,BR36+BS36)</f>
        <v>0</v>
      </c>
      <c r="BU36" s="30" t="n">
        <f aca="false">MAX(0,MIN(BL36,BR36+BS36-BT36))</f>
        <v>0</v>
      </c>
      <c r="BV36" s="29" t="n">
        <f aca="false">BL36-BU36</f>
        <v>0</v>
      </c>
      <c r="BW36" s="30" t="n">
        <f aca="false">BR36+BS36-BT36-BU36</f>
        <v>0</v>
      </c>
      <c r="BX36" s="30" t="n">
        <f aca="false">CA35</f>
        <v>0</v>
      </c>
      <c r="BY36" s="30" t="n">
        <f aca="false">BX36*$BR$5/12</f>
        <v>0</v>
      </c>
      <c r="BZ36" s="30" t="n">
        <f aca="false">MIN($BR$6,BX36+BY36)</f>
        <v>0</v>
      </c>
      <c r="CA36" s="30" t="n">
        <f aca="false">BX36+BY36-BZ36</f>
        <v>0</v>
      </c>
      <c r="CB36" s="30" t="n">
        <f aca="false">CG35</f>
        <v>0</v>
      </c>
      <c r="CC36" s="30" t="n">
        <f aca="false">CB36*$CB$5/12</f>
        <v>0</v>
      </c>
      <c r="CD36" s="30" t="n">
        <f aca="false">MIN($CB$6,CB36+CC36)</f>
        <v>0</v>
      </c>
      <c r="CE36" s="30" t="n">
        <f aca="false">MAX(0,MIN(BV36,CB36+CC36-CD36))</f>
        <v>0</v>
      </c>
      <c r="CF36" s="29" t="n">
        <f aca="false">BV36-CE36</f>
        <v>0</v>
      </c>
      <c r="CG36" s="30" t="n">
        <f aca="false">CB36+CC36-CD36-CE36</f>
        <v>0</v>
      </c>
      <c r="CH36" s="30" t="n">
        <f aca="false">CK35</f>
        <v>0</v>
      </c>
      <c r="CI36" s="30" t="n">
        <f aca="false">CH36*$CB$5/12</f>
        <v>0</v>
      </c>
      <c r="CJ36" s="30" t="n">
        <f aca="false">MIN($CB$6,CH36+CI36)</f>
        <v>0</v>
      </c>
      <c r="CK36" s="30" t="n">
        <f aca="false">CH36+CI36-CJ36</f>
        <v>0</v>
      </c>
    </row>
    <row r="37" customFormat="false" ht="15" hidden="false" customHeight="false" outlineLevel="0" collapsed="false">
      <c r="A37" s="0" t="n">
        <v>29</v>
      </c>
      <c r="B37" s="29" t="n">
        <f aca="false">'1 Your debts'!$B$16-(L37+V37+AF37+AP37+AZ37+BJ37+BT37+CD37)</f>
        <v>500.946025495676</v>
      </c>
      <c r="C37" s="34" t="n">
        <f aca="false">O37+Y37+AI37+AS37+BC37+BM37+BW37+CG37</f>
        <v>9178.55900857431</v>
      </c>
      <c r="D37" s="34" t="n">
        <f aca="false">K37+U37+AE37+AO37+AY37+BI37+BS37+CC37</f>
        <v>45.1413331693034</v>
      </c>
      <c r="F37" s="34" t="n">
        <f aca="false">S37+AC37+AM37+AW37+BG37+BQ37+CA37+CK37</f>
        <v>16822.7395144507</v>
      </c>
      <c r="G37" s="34" t="n">
        <f aca="false">Q37+AA37+AK37+AU37+BE37+BO37+BY37+CI37</f>
        <v>156.659158857195</v>
      </c>
      <c r="J37" s="34" t="n">
        <f aca="false">O36</f>
        <v>0</v>
      </c>
      <c r="K37" s="34" t="n">
        <f aca="false">J37*$J$5/12</f>
        <v>0</v>
      </c>
      <c r="L37" s="29" t="n">
        <f aca="false">MIN($J$6,J37+K37)</f>
        <v>0</v>
      </c>
      <c r="M37" s="30" t="n">
        <f aca="false">MAX(0,MIN($B37,J37+K37-L37))</f>
        <v>0</v>
      </c>
      <c r="N37" s="29" t="n">
        <f aca="false">$B37-M37</f>
        <v>500.946025495676</v>
      </c>
      <c r="O37" s="34" t="n">
        <f aca="false">J37+K37-L37-M37</f>
        <v>0</v>
      </c>
      <c r="P37" s="34" t="n">
        <f aca="false">S36</f>
        <v>3542.48015002639</v>
      </c>
      <c r="Q37" s="34" t="n">
        <f aca="false">P37*$J$5/12</f>
        <v>73.7721491242996</v>
      </c>
      <c r="R37" s="29" t="n">
        <f aca="false">MIN($J$6,P37+Q37)</f>
        <v>105</v>
      </c>
      <c r="S37" s="34" t="n">
        <f aca="false">P37+Q37-R37</f>
        <v>3511.25229915069</v>
      </c>
      <c r="T37" s="34" t="n">
        <f aca="false">Y36</f>
        <v>0</v>
      </c>
      <c r="U37" s="34" t="n">
        <f aca="false">T37*$T$5/12</f>
        <v>0</v>
      </c>
      <c r="V37" s="29" t="n">
        <f aca="false">MIN($T$6,T37+U37)</f>
        <v>0</v>
      </c>
      <c r="W37" s="30" t="n">
        <f aca="false">MAX(0,MIN(N37,T37+U37-V37))</f>
        <v>0</v>
      </c>
      <c r="X37" s="29" t="n">
        <f aca="false">N37-W37</f>
        <v>500.946025495676</v>
      </c>
      <c r="Y37" s="34" t="n">
        <f aca="false">T37+U37-V37-W37</f>
        <v>0</v>
      </c>
      <c r="Z37" s="34" t="n">
        <f aca="false">AC36</f>
        <v>1269.8403546758</v>
      </c>
      <c r="AA37" s="34" t="n">
        <f aca="false">Z37*$T$5/12</f>
        <v>21.1534239083077</v>
      </c>
      <c r="AB37" s="29" t="n">
        <f aca="false">MIN($T$6,Z37+AA37)</f>
        <v>45</v>
      </c>
      <c r="AC37" s="34" t="n">
        <f aca="false">Z37+AA37-AB37</f>
        <v>1245.99377858411</v>
      </c>
      <c r="AD37" s="34" t="n">
        <f aca="false">AI36</f>
        <v>58.6677451818767</v>
      </c>
      <c r="AE37" s="34" t="n">
        <f aca="false">AD37*$AD$5/12</f>
        <v>0.386229322447355</v>
      </c>
      <c r="AF37" s="29" t="n">
        <f aca="false">MIN($AD$6,AD37+AE37)</f>
        <v>59.0539745043241</v>
      </c>
      <c r="AG37" s="30" t="n">
        <f aca="false">MAX(0,MIN(X37,AD37+AE37-AF37))</f>
        <v>0</v>
      </c>
      <c r="AH37" s="29" t="n">
        <f aca="false">X37-AG37</f>
        <v>500.946025495676</v>
      </c>
      <c r="AI37" s="34" t="n">
        <f aca="false">AD37+AE37-AF37-AG37</f>
        <v>0</v>
      </c>
      <c r="AJ37" s="34" t="n">
        <f aca="false">AM36</f>
        <v>2579.00992066818</v>
      </c>
      <c r="AK37" s="34" t="n">
        <f aca="false">AJ37*$AD$5/12</f>
        <v>16.9784819777322</v>
      </c>
      <c r="AL37" s="29" t="n">
        <f aca="false">MIN($AD$6,AJ37+AK37)</f>
        <v>210</v>
      </c>
      <c r="AM37" s="34" t="n">
        <f aca="false">AJ37+AK37-AL37</f>
        <v>2385.98840264591</v>
      </c>
      <c r="AN37" s="34" t="n">
        <f aca="false">AS36</f>
        <v>9764.74993022313</v>
      </c>
      <c r="AO37" s="34" t="n">
        <f aca="false">AN37*$AN$5/12</f>
        <v>44.755103846856</v>
      </c>
      <c r="AP37" s="29" t="n">
        <f aca="false">MIN($AN$6,AN37+AO37)</f>
        <v>130</v>
      </c>
      <c r="AQ37" s="30" t="n">
        <f aca="false">MAX(0,MIN(AH37,AN37+AO37-AP37))</f>
        <v>500.946025495676</v>
      </c>
      <c r="AR37" s="29" t="n">
        <f aca="false">AH37-AQ37</f>
        <v>0</v>
      </c>
      <c r="AS37" s="34" t="n">
        <f aca="false">AN37+AO37-AP37-AQ37</f>
        <v>9178.55900857431</v>
      </c>
      <c r="AT37" s="34" t="n">
        <f aca="false">AW36</f>
        <v>9764.74993022313</v>
      </c>
      <c r="AU37" s="34" t="n">
        <f aca="false">AT37*$AN$5/12</f>
        <v>44.755103846856</v>
      </c>
      <c r="AV37" s="29" t="n">
        <f aca="false">MIN($AN$6,AT37+AU37)</f>
        <v>130</v>
      </c>
      <c r="AW37" s="34" t="n">
        <f aca="false">AT37+AU37-AV37</f>
        <v>9679.50503406999</v>
      </c>
      <c r="AX37" s="30" t="n">
        <f aca="false">BC36</f>
        <v>0</v>
      </c>
      <c r="AY37" s="30" t="n">
        <f aca="false">AX37*$AX$5/12</f>
        <v>0</v>
      </c>
      <c r="AZ37" s="30" t="n">
        <f aca="false">MIN($AX$6,AX37+AY37)</f>
        <v>0</v>
      </c>
      <c r="BA37" s="30" t="n">
        <f aca="false">MAX(0,MIN(AR37,AX37+AY37-AZ37))</f>
        <v>0</v>
      </c>
      <c r="BB37" s="29" t="n">
        <f aca="false">AR37-BA37</f>
        <v>0</v>
      </c>
      <c r="BC37" s="30" t="n">
        <f aca="false">AX37+AY37-AZ37-BA37</f>
        <v>0</v>
      </c>
      <c r="BD37" s="30" t="n">
        <f aca="false">BG36</f>
        <v>0</v>
      </c>
      <c r="BE37" s="30" t="n">
        <f aca="false">BD37*$AX$5/12</f>
        <v>0</v>
      </c>
      <c r="BF37" s="30" t="n">
        <f aca="false">MIN($AX$6,BD37+BE37)</f>
        <v>0</v>
      </c>
      <c r="BG37" s="30" t="n">
        <f aca="false">BD37+BE37-BF37</f>
        <v>0</v>
      </c>
      <c r="BH37" s="30" t="n">
        <f aca="false">BM36</f>
        <v>0</v>
      </c>
      <c r="BI37" s="30" t="n">
        <f aca="false">BH37*$BH$5/12</f>
        <v>0</v>
      </c>
      <c r="BJ37" s="30" t="n">
        <f aca="false">MIN($BH$6,BH37+BI37)</f>
        <v>0</v>
      </c>
      <c r="BK37" s="30" t="n">
        <f aca="false">MAX(0,MIN(BB37,BH37+BI37-BJ37))</f>
        <v>0</v>
      </c>
      <c r="BL37" s="29" t="n">
        <f aca="false">BB37-BK37</f>
        <v>0</v>
      </c>
      <c r="BM37" s="30" t="n">
        <f aca="false">BH37+BI37-BJ37-BK37</f>
        <v>0</v>
      </c>
      <c r="BN37" s="30" t="n">
        <f aca="false">BQ36</f>
        <v>0</v>
      </c>
      <c r="BO37" s="30" t="n">
        <f aca="false">BN37*$BH$5/12</f>
        <v>0</v>
      </c>
      <c r="BP37" s="30" t="n">
        <f aca="false">MIN($BH$6,BN37+BO37)</f>
        <v>0</v>
      </c>
      <c r="BQ37" s="30" t="n">
        <f aca="false">BN37+BO37-BP37</f>
        <v>0</v>
      </c>
      <c r="BR37" s="30" t="n">
        <f aca="false">BW36</f>
        <v>0</v>
      </c>
      <c r="BS37" s="30" t="n">
        <f aca="false">BR37*$BR$5/12</f>
        <v>0</v>
      </c>
      <c r="BT37" s="30" t="n">
        <f aca="false">MIN($BR$6,BR37+BS37)</f>
        <v>0</v>
      </c>
      <c r="BU37" s="30" t="n">
        <f aca="false">MAX(0,MIN(BL37,BR37+BS37-BT37))</f>
        <v>0</v>
      </c>
      <c r="BV37" s="29" t="n">
        <f aca="false">BL37-BU37</f>
        <v>0</v>
      </c>
      <c r="BW37" s="30" t="n">
        <f aca="false">BR37+BS37-BT37-BU37</f>
        <v>0</v>
      </c>
      <c r="BX37" s="30" t="n">
        <f aca="false">CA36</f>
        <v>0</v>
      </c>
      <c r="BY37" s="30" t="n">
        <f aca="false">BX37*$BR$5/12</f>
        <v>0</v>
      </c>
      <c r="BZ37" s="30" t="n">
        <f aca="false">MIN($BR$6,BX37+BY37)</f>
        <v>0</v>
      </c>
      <c r="CA37" s="30" t="n">
        <f aca="false">BX37+BY37-BZ37</f>
        <v>0</v>
      </c>
      <c r="CB37" s="30" t="n">
        <f aca="false">CG36</f>
        <v>0</v>
      </c>
      <c r="CC37" s="30" t="n">
        <f aca="false">CB37*$CB$5/12</f>
        <v>0</v>
      </c>
      <c r="CD37" s="30" t="n">
        <f aca="false">MIN($CB$6,CB37+CC37)</f>
        <v>0</v>
      </c>
      <c r="CE37" s="30" t="n">
        <f aca="false">MAX(0,MIN(BV37,CB37+CC37-CD37))</f>
        <v>0</v>
      </c>
      <c r="CF37" s="29" t="n">
        <f aca="false">BV37-CE37</f>
        <v>0</v>
      </c>
      <c r="CG37" s="30" t="n">
        <f aca="false">CB37+CC37-CD37-CE37</f>
        <v>0</v>
      </c>
      <c r="CH37" s="30" t="n">
        <f aca="false">CK36</f>
        <v>0</v>
      </c>
      <c r="CI37" s="30" t="n">
        <f aca="false">CH37*$CB$5/12</f>
        <v>0</v>
      </c>
      <c r="CJ37" s="30" t="n">
        <f aca="false">MIN($CB$6,CH37+CI37)</f>
        <v>0</v>
      </c>
      <c r="CK37" s="30" t="n">
        <f aca="false">CH37+CI37-CJ37</f>
        <v>0</v>
      </c>
    </row>
    <row r="38" customFormat="false" ht="15" hidden="false" customHeight="false" outlineLevel="0" collapsed="false">
      <c r="A38" s="0" t="n">
        <v>30</v>
      </c>
      <c r="B38" s="29" t="n">
        <f aca="false">'1 Your debts'!$B$16-(L38+V38+AF38+AP38+AZ38+BJ38+BT38+CD38)</f>
        <v>560</v>
      </c>
      <c r="C38" s="34" t="n">
        <f aca="false">O38+Y38+AI38+AS38+BC38+BM38+BW38+CG38</f>
        <v>8530.62740403028</v>
      </c>
      <c r="D38" s="34" t="n">
        <f aca="false">K38+U38+AE38+AO38+AY38+BI38+BS38+CC38</f>
        <v>42.0683954559656</v>
      </c>
      <c r="F38" s="34" t="n">
        <f aca="false">S38+AC38+AM38+AW38+BG38+BQ38+CA38+CK38</f>
        <v>16486.6896783323</v>
      </c>
      <c r="G38" s="34" t="n">
        <f aca="false">Q38+AA38+AK38+AU38+BE38+BO38+BY38+CI38</f>
        <v>153.950163881633</v>
      </c>
      <c r="J38" s="34" t="n">
        <f aca="false">O37</f>
        <v>0</v>
      </c>
      <c r="K38" s="34" t="n">
        <f aca="false">J38*$J$5/12</f>
        <v>0</v>
      </c>
      <c r="L38" s="29" t="n">
        <f aca="false">MIN($J$6,J38+K38)</f>
        <v>0</v>
      </c>
      <c r="M38" s="30" t="n">
        <f aca="false">MAX(0,MIN($B38,J38+K38-L38))</f>
        <v>0</v>
      </c>
      <c r="N38" s="29" t="n">
        <f aca="false">$B38-M38</f>
        <v>560</v>
      </c>
      <c r="O38" s="34" t="n">
        <f aca="false">J38+K38-L38-M38</f>
        <v>0</v>
      </c>
      <c r="P38" s="34" t="n">
        <f aca="false">S37</f>
        <v>3511.25229915069</v>
      </c>
      <c r="Q38" s="34" t="n">
        <f aca="false">P38*$J$5/12</f>
        <v>73.1218291298131</v>
      </c>
      <c r="R38" s="29" t="n">
        <f aca="false">MIN($J$6,P38+Q38)</f>
        <v>105</v>
      </c>
      <c r="S38" s="34" t="n">
        <f aca="false">P38+Q38-R38</f>
        <v>3479.3741282805</v>
      </c>
      <c r="T38" s="34" t="n">
        <f aca="false">Y37</f>
        <v>0</v>
      </c>
      <c r="U38" s="34" t="n">
        <f aca="false">T38*$T$5/12</f>
        <v>0</v>
      </c>
      <c r="V38" s="29" t="n">
        <f aca="false">MIN($T$6,T38+U38)</f>
        <v>0</v>
      </c>
      <c r="W38" s="30" t="n">
        <f aca="false">MAX(0,MIN(N38,T38+U38-V38))</f>
        <v>0</v>
      </c>
      <c r="X38" s="29" t="n">
        <f aca="false">N38-W38</f>
        <v>560</v>
      </c>
      <c r="Y38" s="34" t="n">
        <f aca="false">T38+U38-V38-W38</f>
        <v>0</v>
      </c>
      <c r="Z38" s="34" t="n">
        <f aca="false">AC37</f>
        <v>1245.99377858411</v>
      </c>
      <c r="AA38" s="34" t="n">
        <f aca="false">Z38*$T$5/12</f>
        <v>20.7561796949136</v>
      </c>
      <c r="AB38" s="29" t="n">
        <f aca="false">MIN($T$6,Z38+AA38)</f>
        <v>45</v>
      </c>
      <c r="AC38" s="34" t="n">
        <f aca="false">Z38+AA38-AB38</f>
        <v>1221.74995827902</v>
      </c>
      <c r="AD38" s="34" t="n">
        <f aca="false">AI37</f>
        <v>0</v>
      </c>
      <c r="AE38" s="34" t="n">
        <f aca="false">AD38*$AD$5/12</f>
        <v>0</v>
      </c>
      <c r="AF38" s="29" t="n">
        <f aca="false">MIN($AD$6,AD38+AE38)</f>
        <v>0</v>
      </c>
      <c r="AG38" s="30" t="n">
        <f aca="false">MAX(0,MIN(X38,AD38+AE38-AF38))</f>
        <v>0</v>
      </c>
      <c r="AH38" s="29" t="n">
        <f aca="false">X38-AG38</f>
        <v>560</v>
      </c>
      <c r="AI38" s="34" t="n">
        <f aca="false">AD38+AE38-AF38-AG38</f>
        <v>0</v>
      </c>
      <c r="AJ38" s="34" t="n">
        <f aca="false">AM37</f>
        <v>2385.98840264591</v>
      </c>
      <c r="AK38" s="34" t="n">
        <f aca="false">AJ38*$AD$5/12</f>
        <v>15.7077569840856</v>
      </c>
      <c r="AL38" s="29" t="n">
        <f aca="false">MIN($AD$6,AJ38+AK38)</f>
        <v>210</v>
      </c>
      <c r="AM38" s="34" t="n">
        <f aca="false">AJ38+AK38-AL38</f>
        <v>2191.69615962999</v>
      </c>
      <c r="AN38" s="34" t="n">
        <f aca="false">AS37</f>
        <v>9178.55900857431</v>
      </c>
      <c r="AO38" s="34" t="n">
        <f aca="false">AN38*$AN$5/12</f>
        <v>42.0683954559656</v>
      </c>
      <c r="AP38" s="29" t="n">
        <f aca="false">MIN($AN$6,AN38+AO38)</f>
        <v>130</v>
      </c>
      <c r="AQ38" s="30" t="n">
        <f aca="false">MAX(0,MIN(AH38,AN38+AO38-AP38))</f>
        <v>560</v>
      </c>
      <c r="AR38" s="29" t="n">
        <f aca="false">AH38-AQ38</f>
        <v>0</v>
      </c>
      <c r="AS38" s="34" t="n">
        <f aca="false">AN38+AO38-AP38-AQ38</f>
        <v>8530.62740403028</v>
      </c>
      <c r="AT38" s="34" t="n">
        <f aca="false">AW37</f>
        <v>9679.50503406999</v>
      </c>
      <c r="AU38" s="34" t="n">
        <f aca="false">AT38*$AN$5/12</f>
        <v>44.3643980728208</v>
      </c>
      <c r="AV38" s="29" t="n">
        <f aca="false">MIN($AN$6,AT38+AU38)</f>
        <v>130</v>
      </c>
      <c r="AW38" s="34" t="n">
        <f aca="false">AT38+AU38-AV38</f>
        <v>9593.86943214281</v>
      </c>
      <c r="AX38" s="30" t="n">
        <f aca="false">BC37</f>
        <v>0</v>
      </c>
      <c r="AY38" s="30" t="n">
        <f aca="false">AX38*$AX$5/12</f>
        <v>0</v>
      </c>
      <c r="AZ38" s="30" t="n">
        <f aca="false">MIN($AX$6,AX38+AY38)</f>
        <v>0</v>
      </c>
      <c r="BA38" s="30" t="n">
        <f aca="false">MAX(0,MIN(AR38,AX38+AY38-AZ38))</f>
        <v>0</v>
      </c>
      <c r="BB38" s="29" t="n">
        <f aca="false">AR38-BA38</f>
        <v>0</v>
      </c>
      <c r="BC38" s="30" t="n">
        <f aca="false">AX38+AY38-AZ38-BA38</f>
        <v>0</v>
      </c>
      <c r="BD38" s="30" t="n">
        <f aca="false">BG37</f>
        <v>0</v>
      </c>
      <c r="BE38" s="30" t="n">
        <f aca="false">BD38*$AX$5/12</f>
        <v>0</v>
      </c>
      <c r="BF38" s="30" t="n">
        <f aca="false">MIN($AX$6,BD38+BE38)</f>
        <v>0</v>
      </c>
      <c r="BG38" s="30" t="n">
        <f aca="false">BD38+BE38-BF38</f>
        <v>0</v>
      </c>
      <c r="BH38" s="30" t="n">
        <f aca="false">BM37</f>
        <v>0</v>
      </c>
      <c r="BI38" s="30" t="n">
        <f aca="false">BH38*$BH$5/12</f>
        <v>0</v>
      </c>
      <c r="BJ38" s="30" t="n">
        <f aca="false">MIN($BH$6,BH38+BI38)</f>
        <v>0</v>
      </c>
      <c r="BK38" s="30" t="n">
        <f aca="false">MAX(0,MIN(BB38,BH38+BI38-BJ38))</f>
        <v>0</v>
      </c>
      <c r="BL38" s="29" t="n">
        <f aca="false">BB38-BK38</f>
        <v>0</v>
      </c>
      <c r="BM38" s="30" t="n">
        <f aca="false">BH38+BI38-BJ38-BK38</f>
        <v>0</v>
      </c>
      <c r="BN38" s="30" t="n">
        <f aca="false">BQ37</f>
        <v>0</v>
      </c>
      <c r="BO38" s="30" t="n">
        <f aca="false">BN38*$BH$5/12</f>
        <v>0</v>
      </c>
      <c r="BP38" s="30" t="n">
        <f aca="false">MIN($BH$6,BN38+BO38)</f>
        <v>0</v>
      </c>
      <c r="BQ38" s="30" t="n">
        <f aca="false">BN38+BO38-BP38</f>
        <v>0</v>
      </c>
      <c r="BR38" s="30" t="n">
        <f aca="false">BW37</f>
        <v>0</v>
      </c>
      <c r="BS38" s="30" t="n">
        <f aca="false">BR38*$BR$5/12</f>
        <v>0</v>
      </c>
      <c r="BT38" s="30" t="n">
        <f aca="false">MIN($BR$6,BR38+BS38)</f>
        <v>0</v>
      </c>
      <c r="BU38" s="30" t="n">
        <f aca="false">MAX(0,MIN(BL38,BR38+BS38-BT38))</f>
        <v>0</v>
      </c>
      <c r="BV38" s="29" t="n">
        <f aca="false">BL38-BU38</f>
        <v>0</v>
      </c>
      <c r="BW38" s="30" t="n">
        <f aca="false">BR38+BS38-BT38-BU38</f>
        <v>0</v>
      </c>
      <c r="BX38" s="30" t="n">
        <f aca="false">CA37</f>
        <v>0</v>
      </c>
      <c r="BY38" s="30" t="n">
        <f aca="false">BX38*$BR$5/12</f>
        <v>0</v>
      </c>
      <c r="BZ38" s="30" t="n">
        <f aca="false">MIN($BR$6,BX38+BY38)</f>
        <v>0</v>
      </c>
      <c r="CA38" s="30" t="n">
        <f aca="false">BX38+BY38-BZ38</f>
        <v>0</v>
      </c>
      <c r="CB38" s="30" t="n">
        <f aca="false">CG37</f>
        <v>0</v>
      </c>
      <c r="CC38" s="30" t="n">
        <f aca="false">CB38*$CB$5/12</f>
        <v>0</v>
      </c>
      <c r="CD38" s="30" t="n">
        <f aca="false">MIN($CB$6,CB38+CC38)</f>
        <v>0</v>
      </c>
      <c r="CE38" s="30" t="n">
        <f aca="false">MAX(0,MIN(BV38,CB38+CC38-CD38))</f>
        <v>0</v>
      </c>
      <c r="CF38" s="29" t="n">
        <f aca="false">BV38-CE38</f>
        <v>0</v>
      </c>
      <c r="CG38" s="30" t="n">
        <f aca="false">CB38+CC38-CD38-CE38</f>
        <v>0</v>
      </c>
      <c r="CH38" s="30" t="n">
        <f aca="false">CK37</f>
        <v>0</v>
      </c>
      <c r="CI38" s="30" t="n">
        <f aca="false">CH38*$CB$5/12</f>
        <v>0</v>
      </c>
      <c r="CJ38" s="30" t="n">
        <f aca="false">MIN($CB$6,CH38+CI38)</f>
        <v>0</v>
      </c>
      <c r="CK38" s="30" t="n">
        <f aca="false">CH38+CI38-CJ38</f>
        <v>0</v>
      </c>
    </row>
    <row r="39" customFormat="false" ht="15" hidden="false" customHeight="false" outlineLevel="0" collapsed="false">
      <c r="A39" s="0" t="n">
        <v>31</v>
      </c>
      <c r="B39" s="29" t="n">
        <f aca="false">'1 Your debts'!$B$16-(L39+V39+AF39+AP39+AZ39+BJ39+BT39+CD39)</f>
        <v>560</v>
      </c>
      <c r="C39" s="34" t="n">
        <f aca="false">O39+Y39+AI39+AS39+BC39+BM39+BW39+CG39</f>
        <v>7879.72611296542</v>
      </c>
      <c r="D39" s="34" t="n">
        <f aca="false">K39+U39+AE39+AO39+AY39+BI39+BS39+CC39</f>
        <v>39.0987089351388</v>
      </c>
      <c r="F39" s="34" t="n">
        <f aca="false">S39+AC39+AM39+AW39+BG39+BQ39+CA39+CK39</f>
        <v>16147.900530557</v>
      </c>
      <c r="G39" s="34" t="n">
        <f aca="false">Q39+AA39+AK39+AU39+BE39+BO39+BY39+CI39</f>
        <v>151.210852224658</v>
      </c>
      <c r="J39" s="34" t="n">
        <f aca="false">O38</f>
        <v>0</v>
      </c>
      <c r="K39" s="34" t="n">
        <f aca="false">J39*$J$5/12</f>
        <v>0</v>
      </c>
      <c r="L39" s="29" t="n">
        <f aca="false">MIN($J$6,J39+K39)</f>
        <v>0</v>
      </c>
      <c r="M39" s="30" t="n">
        <f aca="false">MAX(0,MIN($B39,J39+K39-L39))</f>
        <v>0</v>
      </c>
      <c r="N39" s="29" t="n">
        <f aca="false">$B39-M39</f>
        <v>560</v>
      </c>
      <c r="O39" s="34" t="n">
        <f aca="false">J39+K39-L39-M39</f>
        <v>0</v>
      </c>
      <c r="P39" s="34" t="n">
        <f aca="false">S38</f>
        <v>3479.3741282805</v>
      </c>
      <c r="Q39" s="34" t="n">
        <f aca="false">P39*$J$5/12</f>
        <v>72.4579662214415</v>
      </c>
      <c r="R39" s="29" t="n">
        <f aca="false">MIN($J$6,P39+Q39)</f>
        <v>105</v>
      </c>
      <c r="S39" s="34" t="n">
        <f aca="false">P39+Q39-R39</f>
        <v>3446.83209450194</v>
      </c>
      <c r="T39" s="34" t="n">
        <f aca="false">Y38</f>
        <v>0</v>
      </c>
      <c r="U39" s="34" t="n">
        <f aca="false">T39*$T$5/12</f>
        <v>0</v>
      </c>
      <c r="V39" s="29" t="n">
        <f aca="false">MIN($T$6,T39+U39)</f>
        <v>0</v>
      </c>
      <c r="W39" s="30" t="n">
        <f aca="false">MAX(0,MIN(N39,T39+U39-V39))</f>
        <v>0</v>
      </c>
      <c r="X39" s="29" t="n">
        <f aca="false">N39-W39</f>
        <v>560</v>
      </c>
      <c r="Y39" s="34" t="n">
        <f aca="false">T39+U39-V39-W39</f>
        <v>0</v>
      </c>
      <c r="Z39" s="34" t="n">
        <f aca="false">AC38</f>
        <v>1221.74995827902</v>
      </c>
      <c r="AA39" s="34" t="n">
        <f aca="false">Z39*$T$5/12</f>
        <v>20.352318054998</v>
      </c>
      <c r="AB39" s="29" t="n">
        <f aca="false">MIN($T$6,Z39+AA39)</f>
        <v>45</v>
      </c>
      <c r="AC39" s="34" t="n">
        <f aca="false">Z39+AA39-AB39</f>
        <v>1197.10227633402</v>
      </c>
      <c r="AD39" s="34" t="n">
        <f aca="false">AI38</f>
        <v>0</v>
      </c>
      <c r="AE39" s="34" t="n">
        <f aca="false">AD39*$AD$5/12</f>
        <v>0</v>
      </c>
      <c r="AF39" s="29" t="n">
        <f aca="false">MIN($AD$6,AD39+AE39)</f>
        <v>0</v>
      </c>
      <c r="AG39" s="30" t="n">
        <f aca="false">MAX(0,MIN(X39,AD39+AE39-AF39))</f>
        <v>0</v>
      </c>
      <c r="AH39" s="29" t="n">
        <f aca="false">X39-AG39</f>
        <v>560</v>
      </c>
      <c r="AI39" s="34" t="n">
        <f aca="false">AD39+AE39-AF39-AG39</f>
        <v>0</v>
      </c>
      <c r="AJ39" s="34" t="n">
        <f aca="false">AM38</f>
        <v>2191.69615962999</v>
      </c>
      <c r="AK39" s="34" t="n">
        <f aca="false">AJ39*$AD$5/12</f>
        <v>14.4286663842308</v>
      </c>
      <c r="AL39" s="29" t="n">
        <f aca="false">MIN($AD$6,AJ39+AK39)</f>
        <v>210</v>
      </c>
      <c r="AM39" s="34" t="n">
        <f aca="false">AJ39+AK39-AL39</f>
        <v>1996.12482601422</v>
      </c>
      <c r="AN39" s="34" t="n">
        <f aca="false">AS38</f>
        <v>8530.62740403028</v>
      </c>
      <c r="AO39" s="34" t="n">
        <f aca="false">AN39*$AN$5/12</f>
        <v>39.0987089351388</v>
      </c>
      <c r="AP39" s="29" t="n">
        <f aca="false">MIN($AN$6,AN39+AO39)</f>
        <v>130</v>
      </c>
      <c r="AQ39" s="30" t="n">
        <f aca="false">MAX(0,MIN(AH39,AN39+AO39-AP39))</f>
        <v>560</v>
      </c>
      <c r="AR39" s="29" t="n">
        <f aca="false">AH39-AQ39</f>
        <v>0</v>
      </c>
      <c r="AS39" s="34" t="n">
        <f aca="false">AN39+AO39-AP39-AQ39</f>
        <v>7879.72611296542</v>
      </c>
      <c r="AT39" s="34" t="n">
        <f aca="false">AW38</f>
        <v>9593.86943214281</v>
      </c>
      <c r="AU39" s="34" t="n">
        <f aca="false">AT39*$AN$5/12</f>
        <v>43.9719015639879</v>
      </c>
      <c r="AV39" s="29" t="n">
        <f aca="false">MIN($AN$6,AT39+AU39)</f>
        <v>130</v>
      </c>
      <c r="AW39" s="34" t="n">
        <f aca="false">AT39+AU39-AV39</f>
        <v>9507.8413337068</v>
      </c>
      <c r="AX39" s="30" t="n">
        <f aca="false">BC38</f>
        <v>0</v>
      </c>
      <c r="AY39" s="30" t="n">
        <f aca="false">AX39*$AX$5/12</f>
        <v>0</v>
      </c>
      <c r="AZ39" s="30" t="n">
        <f aca="false">MIN($AX$6,AX39+AY39)</f>
        <v>0</v>
      </c>
      <c r="BA39" s="30" t="n">
        <f aca="false">MAX(0,MIN(AR39,AX39+AY39-AZ39))</f>
        <v>0</v>
      </c>
      <c r="BB39" s="29" t="n">
        <f aca="false">AR39-BA39</f>
        <v>0</v>
      </c>
      <c r="BC39" s="30" t="n">
        <f aca="false">AX39+AY39-AZ39-BA39</f>
        <v>0</v>
      </c>
      <c r="BD39" s="30" t="n">
        <f aca="false">BG38</f>
        <v>0</v>
      </c>
      <c r="BE39" s="30" t="n">
        <f aca="false">BD39*$AX$5/12</f>
        <v>0</v>
      </c>
      <c r="BF39" s="30" t="n">
        <f aca="false">MIN($AX$6,BD39+BE39)</f>
        <v>0</v>
      </c>
      <c r="BG39" s="30" t="n">
        <f aca="false">BD39+BE39-BF39</f>
        <v>0</v>
      </c>
      <c r="BH39" s="30" t="n">
        <f aca="false">BM38</f>
        <v>0</v>
      </c>
      <c r="BI39" s="30" t="n">
        <f aca="false">BH39*$BH$5/12</f>
        <v>0</v>
      </c>
      <c r="BJ39" s="30" t="n">
        <f aca="false">MIN($BH$6,BH39+BI39)</f>
        <v>0</v>
      </c>
      <c r="BK39" s="30" t="n">
        <f aca="false">MAX(0,MIN(BB39,BH39+BI39-BJ39))</f>
        <v>0</v>
      </c>
      <c r="BL39" s="29" t="n">
        <f aca="false">BB39-BK39</f>
        <v>0</v>
      </c>
      <c r="BM39" s="30" t="n">
        <f aca="false">BH39+BI39-BJ39-BK39</f>
        <v>0</v>
      </c>
      <c r="BN39" s="30" t="n">
        <f aca="false">BQ38</f>
        <v>0</v>
      </c>
      <c r="BO39" s="30" t="n">
        <f aca="false">BN39*$BH$5/12</f>
        <v>0</v>
      </c>
      <c r="BP39" s="30" t="n">
        <f aca="false">MIN($BH$6,BN39+BO39)</f>
        <v>0</v>
      </c>
      <c r="BQ39" s="30" t="n">
        <f aca="false">BN39+BO39-BP39</f>
        <v>0</v>
      </c>
      <c r="BR39" s="30" t="n">
        <f aca="false">BW38</f>
        <v>0</v>
      </c>
      <c r="BS39" s="30" t="n">
        <f aca="false">BR39*$BR$5/12</f>
        <v>0</v>
      </c>
      <c r="BT39" s="30" t="n">
        <f aca="false">MIN($BR$6,BR39+BS39)</f>
        <v>0</v>
      </c>
      <c r="BU39" s="30" t="n">
        <f aca="false">MAX(0,MIN(BL39,BR39+BS39-BT39))</f>
        <v>0</v>
      </c>
      <c r="BV39" s="29" t="n">
        <f aca="false">BL39-BU39</f>
        <v>0</v>
      </c>
      <c r="BW39" s="30" t="n">
        <f aca="false">BR39+BS39-BT39-BU39</f>
        <v>0</v>
      </c>
      <c r="BX39" s="30" t="n">
        <f aca="false">CA38</f>
        <v>0</v>
      </c>
      <c r="BY39" s="30" t="n">
        <f aca="false">BX39*$BR$5/12</f>
        <v>0</v>
      </c>
      <c r="BZ39" s="30" t="n">
        <f aca="false">MIN($BR$6,BX39+BY39)</f>
        <v>0</v>
      </c>
      <c r="CA39" s="30" t="n">
        <f aca="false">BX39+BY39-BZ39</f>
        <v>0</v>
      </c>
      <c r="CB39" s="30" t="n">
        <f aca="false">CG38</f>
        <v>0</v>
      </c>
      <c r="CC39" s="30" t="n">
        <f aca="false">CB39*$CB$5/12</f>
        <v>0</v>
      </c>
      <c r="CD39" s="30" t="n">
        <f aca="false">MIN($CB$6,CB39+CC39)</f>
        <v>0</v>
      </c>
      <c r="CE39" s="30" t="n">
        <f aca="false">MAX(0,MIN(BV39,CB39+CC39-CD39))</f>
        <v>0</v>
      </c>
      <c r="CF39" s="29" t="n">
        <f aca="false">BV39-CE39</f>
        <v>0</v>
      </c>
      <c r="CG39" s="30" t="n">
        <f aca="false">CB39+CC39-CD39-CE39</f>
        <v>0</v>
      </c>
      <c r="CH39" s="30" t="n">
        <f aca="false">CK38</f>
        <v>0</v>
      </c>
      <c r="CI39" s="30" t="n">
        <f aca="false">CH39*$CB$5/12</f>
        <v>0</v>
      </c>
      <c r="CJ39" s="30" t="n">
        <f aca="false">MIN($CB$6,CH39+CI39)</f>
        <v>0</v>
      </c>
      <c r="CK39" s="30" t="n">
        <f aca="false">CH39+CI39-CJ39</f>
        <v>0</v>
      </c>
    </row>
    <row r="40" customFormat="false" ht="15" hidden="false" customHeight="false" outlineLevel="0" collapsed="false">
      <c r="A40" s="0" t="n">
        <v>32</v>
      </c>
      <c r="B40" s="29" t="n">
        <f aca="false">'1 Your debts'!$B$16-(L40+V40+AF40+AP40+AZ40+BJ40+BT40+CD40)</f>
        <v>560</v>
      </c>
      <c r="C40" s="34" t="n">
        <f aca="false">O40+Y40+AI40+AS40+BC40+BM40+BW40+CG40</f>
        <v>7225.84152431651</v>
      </c>
      <c r="D40" s="34" t="n">
        <f aca="false">K40+U40+AE40+AO40+AY40+BI40+BS40+CC40</f>
        <v>36.1154113510915</v>
      </c>
      <c r="F40" s="34" t="n">
        <f aca="false">S40+AC40+AM40+AW40+BG40+BQ40+CA40+CK40</f>
        <v>15806.3412988957</v>
      </c>
      <c r="G40" s="34" t="n">
        <f aca="false">Q40+AA40+AK40+AU40+BE40+BO40+BY40+CI40</f>
        <v>148.440768338684</v>
      </c>
      <c r="J40" s="34" t="n">
        <f aca="false">O39</f>
        <v>0</v>
      </c>
      <c r="K40" s="34" t="n">
        <f aca="false">J40*$J$5/12</f>
        <v>0</v>
      </c>
      <c r="L40" s="29" t="n">
        <f aca="false">MIN($J$6,J40+K40)</f>
        <v>0</v>
      </c>
      <c r="M40" s="30" t="n">
        <f aca="false">MAX(0,MIN($B40,J40+K40-L40))</f>
        <v>0</v>
      </c>
      <c r="N40" s="29" t="n">
        <f aca="false">$B40-M40</f>
        <v>560</v>
      </c>
      <c r="O40" s="34" t="n">
        <f aca="false">J40+K40-L40-M40</f>
        <v>0</v>
      </c>
      <c r="P40" s="34" t="n">
        <f aca="false">S39</f>
        <v>3446.83209450194</v>
      </c>
      <c r="Q40" s="34" t="n">
        <f aca="false">P40*$J$5/12</f>
        <v>71.780278368003</v>
      </c>
      <c r="R40" s="29" t="n">
        <f aca="false">MIN($J$6,P40+Q40)</f>
        <v>105</v>
      </c>
      <c r="S40" s="34" t="n">
        <f aca="false">P40+Q40-R40</f>
        <v>3413.61237286995</v>
      </c>
      <c r="T40" s="34" t="n">
        <f aca="false">Y39</f>
        <v>0</v>
      </c>
      <c r="U40" s="34" t="n">
        <f aca="false">T40*$T$5/12</f>
        <v>0</v>
      </c>
      <c r="V40" s="29" t="n">
        <f aca="false">MIN($T$6,T40+U40)</f>
        <v>0</v>
      </c>
      <c r="W40" s="30" t="n">
        <f aca="false">MAX(0,MIN(N40,T40+U40-V40))</f>
        <v>0</v>
      </c>
      <c r="X40" s="29" t="n">
        <f aca="false">N40-W40</f>
        <v>560</v>
      </c>
      <c r="Y40" s="34" t="n">
        <f aca="false">T40+U40-V40-W40</f>
        <v>0</v>
      </c>
      <c r="Z40" s="34" t="n">
        <f aca="false">AC39</f>
        <v>1197.10227633402</v>
      </c>
      <c r="AA40" s="34" t="n">
        <f aca="false">Z40*$T$5/12</f>
        <v>19.9417287532642</v>
      </c>
      <c r="AB40" s="29" t="n">
        <f aca="false">MIN($T$6,Z40+AA40)</f>
        <v>45</v>
      </c>
      <c r="AC40" s="34" t="n">
        <f aca="false">Z40+AA40-AB40</f>
        <v>1172.04400508728</v>
      </c>
      <c r="AD40" s="34" t="n">
        <f aca="false">AI39</f>
        <v>0</v>
      </c>
      <c r="AE40" s="34" t="n">
        <f aca="false">AD40*$AD$5/12</f>
        <v>0</v>
      </c>
      <c r="AF40" s="29" t="n">
        <f aca="false">MIN($AD$6,AD40+AE40)</f>
        <v>0</v>
      </c>
      <c r="AG40" s="30" t="n">
        <f aca="false">MAX(0,MIN(X40,AD40+AE40-AF40))</f>
        <v>0</v>
      </c>
      <c r="AH40" s="29" t="n">
        <f aca="false">X40-AG40</f>
        <v>560</v>
      </c>
      <c r="AI40" s="34" t="n">
        <f aca="false">AD40+AE40-AF40-AG40</f>
        <v>0</v>
      </c>
      <c r="AJ40" s="34" t="n">
        <f aca="false">AM39</f>
        <v>1996.12482601422</v>
      </c>
      <c r="AK40" s="34" t="n">
        <f aca="false">AJ40*$AD$5/12</f>
        <v>13.1411551045936</v>
      </c>
      <c r="AL40" s="29" t="n">
        <f aca="false">MIN($AD$6,AJ40+AK40)</f>
        <v>210</v>
      </c>
      <c r="AM40" s="34" t="n">
        <f aca="false">AJ40+AK40-AL40</f>
        <v>1799.26598111882</v>
      </c>
      <c r="AN40" s="34" t="n">
        <f aca="false">AS39</f>
        <v>7879.72611296542</v>
      </c>
      <c r="AO40" s="34" t="n">
        <f aca="false">AN40*$AN$5/12</f>
        <v>36.1154113510915</v>
      </c>
      <c r="AP40" s="29" t="n">
        <f aca="false">MIN($AN$6,AN40+AO40)</f>
        <v>130</v>
      </c>
      <c r="AQ40" s="30" t="n">
        <f aca="false">MAX(0,MIN(AH40,AN40+AO40-AP40))</f>
        <v>560</v>
      </c>
      <c r="AR40" s="29" t="n">
        <f aca="false">AH40-AQ40</f>
        <v>0</v>
      </c>
      <c r="AS40" s="34" t="n">
        <f aca="false">AN40+AO40-AP40-AQ40</f>
        <v>7225.84152431651</v>
      </c>
      <c r="AT40" s="34" t="n">
        <f aca="false">AW39</f>
        <v>9507.8413337068</v>
      </c>
      <c r="AU40" s="34" t="n">
        <f aca="false">AT40*$AN$5/12</f>
        <v>43.5776061128228</v>
      </c>
      <c r="AV40" s="29" t="n">
        <f aca="false">MIN($AN$6,AT40+AU40)</f>
        <v>130</v>
      </c>
      <c r="AW40" s="34" t="n">
        <f aca="false">AT40+AU40-AV40</f>
        <v>9421.41893981962</v>
      </c>
      <c r="AX40" s="30" t="n">
        <f aca="false">BC39</f>
        <v>0</v>
      </c>
      <c r="AY40" s="30" t="n">
        <f aca="false">AX40*$AX$5/12</f>
        <v>0</v>
      </c>
      <c r="AZ40" s="30" t="n">
        <f aca="false">MIN($AX$6,AX40+AY40)</f>
        <v>0</v>
      </c>
      <c r="BA40" s="30" t="n">
        <f aca="false">MAX(0,MIN(AR40,AX40+AY40-AZ40))</f>
        <v>0</v>
      </c>
      <c r="BB40" s="29" t="n">
        <f aca="false">AR40-BA40</f>
        <v>0</v>
      </c>
      <c r="BC40" s="30" t="n">
        <f aca="false">AX40+AY40-AZ40-BA40</f>
        <v>0</v>
      </c>
      <c r="BD40" s="30" t="n">
        <f aca="false">BG39</f>
        <v>0</v>
      </c>
      <c r="BE40" s="30" t="n">
        <f aca="false">BD40*$AX$5/12</f>
        <v>0</v>
      </c>
      <c r="BF40" s="30" t="n">
        <f aca="false">MIN($AX$6,BD40+BE40)</f>
        <v>0</v>
      </c>
      <c r="BG40" s="30" t="n">
        <f aca="false">BD40+BE40-BF40</f>
        <v>0</v>
      </c>
      <c r="BH40" s="30" t="n">
        <f aca="false">BM39</f>
        <v>0</v>
      </c>
      <c r="BI40" s="30" t="n">
        <f aca="false">BH40*$BH$5/12</f>
        <v>0</v>
      </c>
      <c r="BJ40" s="30" t="n">
        <f aca="false">MIN($BH$6,BH40+BI40)</f>
        <v>0</v>
      </c>
      <c r="BK40" s="30" t="n">
        <f aca="false">MAX(0,MIN(BB40,BH40+BI40-BJ40))</f>
        <v>0</v>
      </c>
      <c r="BL40" s="29" t="n">
        <f aca="false">BB40-BK40</f>
        <v>0</v>
      </c>
      <c r="BM40" s="30" t="n">
        <f aca="false">BH40+BI40-BJ40-BK40</f>
        <v>0</v>
      </c>
      <c r="BN40" s="30" t="n">
        <f aca="false">BQ39</f>
        <v>0</v>
      </c>
      <c r="BO40" s="30" t="n">
        <f aca="false">BN40*$BH$5/12</f>
        <v>0</v>
      </c>
      <c r="BP40" s="30" t="n">
        <f aca="false">MIN($BH$6,BN40+BO40)</f>
        <v>0</v>
      </c>
      <c r="BQ40" s="30" t="n">
        <f aca="false">BN40+BO40-BP40</f>
        <v>0</v>
      </c>
      <c r="BR40" s="30" t="n">
        <f aca="false">BW39</f>
        <v>0</v>
      </c>
      <c r="BS40" s="30" t="n">
        <f aca="false">BR40*$BR$5/12</f>
        <v>0</v>
      </c>
      <c r="BT40" s="30" t="n">
        <f aca="false">MIN($BR$6,BR40+BS40)</f>
        <v>0</v>
      </c>
      <c r="BU40" s="30" t="n">
        <f aca="false">MAX(0,MIN(BL40,BR40+BS40-BT40))</f>
        <v>0</v>
      </c>
      <c r="BV40" s="29" t="n">
        <f aca="false">BL40-BU40</f>
        <v>0</v>
      </c>
      <c r="BW40" s="30" t="n">
        <f aca="false">BR40+BS40-BT40-BU40</f>
        <v>0</v>
      </c>
      <c r="BX40" s="30" t="n">
        <f aca="false">CA39</f>
        <v>0</v>
      </c>
      <c r="BY40" s="30" t="n">
        <f aca="false">BX40*$BR$5/12</f>
        <v>0</v>
      </c>
      <c r="BZ40" s="30" t="n">
        <f aca="false">MIN($BR$6,BX40+BY40)</f>
        <v>0</v>
      </c>
      <c r="CA40" s="30" t="n">
        <f aca="false">BX40+BY40-BZ40</f>
        <v>0</v>
      </c>
      <c r="CB40" s="30" t="n">
        <f aca="false">CG39</f>
        <v>0</v>
      </c>
      <c r="CC40" s="30" t="n">
        <f aca="false">CB40*$CB$5/12</f>
        <v>0</v>
      </c>
      <c r="CD40" s="30" t="n">
        <f aca="false">MIN($CB$6,CB40+CC40)</f>
        <v>0</v>
      </c>
      <c r="CE40" s="30" t="n">
        <f aca="false">MAX(0,MIN(BV40,CB40+CC40-CD40))</f>
        <v>0</v>
      </c>
      <c r="CF40" s="29" t="n">
        <f aca="false">BV40-CE40</f>
        <v>0</v>
      </c>
      <c r="CG40" s="30" t="n">
        <f aca="false">CB40+CC40-CD40-CE40</f>
        <v>0</v>
      </c>
      <c r="CH40" s="30" t="n">
        <f aca="false">CK39</f>
        <v>0</v>
      </c>
      <c r="CI40" s="30" t="n">
        <f aca="false">CH40*$CB$5/12</f>
        <v>0</v>
      </c>
      <c r="CJ40" s="30" t="n">
        <f aca="false">MIN($CB$6,CH40+CI40)</f>
        <v>0</v>
      </c>
      <c r="CK40" s="30" t="n">
        <f aca="false">CH40+CI40-CJ40</f>
        <v>0</v>
      </c>
    </row>
    <row r="41" customFormat="false" ht="15" hidden="false" customHeight="false" outlineLevel="0" collapsed="false">
      <c r="A41" s="0" t="n">
        <v>33</v>
      </c>
      <c r="B41" s="29" t="n">
        <f aca="false">'1 Your debts'!$B$16-(L41+V41+AF41+AP41+AZ41+BJ41+BT41+CD41)</f>
        <v>560</v>
      </c>
      <c r="C41" s="34" t="n">
        <f aca="false">O41+Y41+AI41+AS41+BC41+BM41+BW41+CG41</f>
        <v>6568.95996463629</v>
      </c>
      <c r="D41" s="34" t="n">
        <f aca="false">K41+U41+AE41+AO41+AY41+BI41+BS41+CC41</f>
        <v>33.118440319784</v>
      </c>
      <c r="F41" s="34" t="n">
        <f aca="false">S41+AC41+AM41+AW41+BG41+BQ41+CA41+CK41</f>
        <v>15461.980747462</v>
      </c>
      <c r="G41" s="34" t="n">
        <f aca="false">Q41+AA41+AK41+AU41+BE41+BO41+BY41+CI41</f>
        <v>145.639448566301</v>
      </c>
      <c r="J41" s="34" t="n">
        <f aca="false">O40</f>
        <v>0</v>
      </c>
      <c r="K41" s="34" t="n">
        <f aca="false">J41*$J$5/12</f>
        <v>0</v>
      </c>
      <c r="L41" s="29" t="n">
        <f aca="false">MIN($J$6,J41+K41)</f>
        <v>0</v>
      </c>
      <c r="M41" s="30" t="n">
        <f aca="false">MAX(0,MIN($B41,J41+K41-L41))</f>
        <v>0</v>
      </c>
      <c r="N41" s="29" t="n">
        <f aca="false">$B41-M41</f>
        <v>560</v>
      </c>
      <c r="O41" s="34" t="n">
        <f aca="false">J41+K41-L41-M41</f>
        <v>0</v>
      </c>
      <c r="P41" s="34" t="n">
        <f aca="false">S40</f>
        <v>3413.61237286995</v>
      </c>
      <c r="Q41" s="34" t="n">
        <f aca="false">P41*$J$5/12</f>
        <v>71.0884776650166</v>
      </c>
      <c r="R41" s="29" t="n">
        <f aca="false">MIN($J$6,P41+Q41)</f>
        <v>105</v>
      </c>
      <c r="S41" s="34" t="n">
        <f aca="false">P41+Q41-R41</f>
        <v>3379.70085053496</v>
      </c>
      <c r="T41" s="34" t="n">
        <f aca="false">Y40</f>
        <v>0</v>
      </c>
      <c r="U41" s="34" t="n">
        <f aca="false">T41*$T$5/12</f>
        <v>0</v>
      </c>
      <c r="V41" s="29" t="n">
        <f aca="false">MIN($T$6,T41+U41)</f>
        <v>0</v>
      </c>
      <c r="W41" s="30" t="n">
        <f aca="false">MAX(0,MIN(N41,T41+U41-V41))</f>
        <v>0</v>
      </c>
      <c r="X41" s="29" t="n">
        <f aca="false">N41-W41</f>
        <v>560</v>
      </c>
      <c r="Y41" s="34" t="n">
        <f aca="false">T41+U41-V41-W41</f>
        <v>0</v>
      </c>
      <c r="Z41" s="34" t="n">
        <f aca="false">AC40</f>
        <v>1172.04400508728</v>
      </c>
      <c r="AA41" s="34" t="n">
        <f aca="false">Z41*$T$5/12</f>
        <v>19.524299718079</v>
      </c>
      <c r="AB41" s="29" t="n">
        <f aca="false">MIN($T$6,Z41+AA41)</f>
        <v>45</v>
      </c>
      <c r="AC41" s="34" t="n">
        <f aca="false">Z41+AA41-AB41</f>
        <v>1146.56830480536</v>
      </c>
      <c r="AD41" s="34" t="n">
        <f aca="false">AI40</f>
        <v>0</v>
      </c>
      <c r="AE41" s="34" t="n">
        <f aca="false">AD41*$AD$5/12</f>
        <v>0</v>
      </c>
      <c r="AF41" s="29" t="n">
        <f aca="false">MIN($AD$6,AD41+AE41)</f>
        <v>0</v>
      </c>
      <c r="AG41" s="30" t="n">
        <f aca="false">MAX(0,MIN(X41,AD41+AE41-AF41))</f>
        <v>0</v>
      </c>
      <c r="AH41" s="29" t="n">
        <f aca="false">X41-AG41</f>
        <v>560</v>
      </c>
      <c r="AI41" s="34" t="n">
        <f aca="false">AD41+AE41-AF41-AG41</f>
        <v>0</v>
      </c>
      <c r="AJ41" s="34" t="n">
        <f aca="false">AM40</f>
        <v>1799.26598111882</v>
      </c>
      <c r="AK41" s="34" t="n">
        <f aca="false">AJ41*$AD$5/12</f>
        <v>11.8451677090322</v>
      </c>
      <c r="AL41" s="29" t="n">
        <f aca="false">MIN($AD$6,AJ41+AK41)</f>
        <v>210</v>
      </c>
      <c r="AM41" s="34" t="n">
        <f aca="false">AJ41+AK41-AL41</f>
        <v>1601.11114882785</v>
      </c>
      <c r="AN41" s="34" t="n">
        <f aca="false">AS40</f>
        <v>7225.84152431651</v>
      </c>
      <c r="AO41" s="34" t="n">
        <f aca="false">AN41*$AN$5/12</f>
        <v>33.118440319784</v>
      </c>
      <c r="AP41" s="29" t="n">
        <f aca="false">MIN($AN$6,AN41+AO41)</f>
        <v>130</v>
      </c>
      <c r="AQ41" s="30" t="n">
        <f aca="false">MAX(0,MIN(AH41,AN41+AO41-AP41))</f>
        <v>560</v>
      </c>
      <c r="AR41" s="29" t="n">
        <f aca="false">AH41-AQ41</f>
        <v>0</v>
      </c>
      <c r="AS41" s="34" t="n">
        <f aca="false">AN41+AO41-AP41-AQ41</f>
        <v>6568.95996463629</v>
      </c>
      <c r="AT41" s="34" t="n">
        <f aca="false">AW40</f>
        <v>9421.41893981962</v>
      </c>
      <c r="AU41" s="34" t="n">
        <f aca="false">AT41*$AN$5/12</f>
        <v>43.1815034741733</v>
      </c>
      <c r="AV41" s="29" t="n">
        <f aca="false">MIN($AN$6,AT41+AU41)</f>
        <v>130</v>
      </c>
      <c r="AW41" s="34" t="n">
        <f aca="false">AT41+AU41-AV41</f>
        <v>9334.6004432938</v>
      </c>
      <c r="AX41" s="30" t="n">
        <f aca="false">BC40</f>
        <v>0</v>
      </c>
      <c r="AY41" s="30" t="n">
        <f aca="false">AX41*$AX$5/12</f>
        <v>0</v>
      </c>
      <c r="AZ41" s="30" t="n">
        <f aca="false">MIN($AX$6,AX41+AY41)</f>
        <v>0</v>
      </c>
      <c r="BA41" s="30" t="n">
        <f aca="false">MAX(0,MIN(AR41,AX41+AY41-AZ41))</f>
        <v>0</v>
      </c>
      <c r="BB41" s="29" t="n">
        <f aca="false">AR41-BA41</f>
        <v>0</v>
      </c>
      <c r="BC41" s="30" t="n">
        <f aca="false">AX41+AY41-AZ41-BA41</f>
        <v>0</v>
      </c>
      <c r="BD41" s="30" t="n">
        <f aca="false">BG40</f>
        <v>0</v>
      </c>
      <c r="BE41" s="30" t="n">
        <f aca="false">BD41*$AX$5/12</f>
        <v>0</v>
      </c>
      <c r="BF41" s="30" t="n">
        <f aca="false">MIN($AX$6,BD41+BE41)</f>
        <v>0</v>
      </c>
      <c r="BG41" s="30" t="n">
        <f aca="false">BD41+BE41-BF41</f>
        <v>0</v>
      </c>
      <c r="BH41" s="30" t="n">
        <f aca="false">BM40</f>
        <v>0</v>
      </c>
      <c r="BI41" s="30" t="n">
        <f aca="false">BH41*$BH$5/12</f>
        <v>0</v>
      </c>
      <c r="BJ41" s="30" t="n">
        <f aca="false">MIN($BH$6,BH41+BI41)</f>
        <v>0</v>
      </c>
      <c r="BK41" s="30" t="n">
        <f aca="false">MAX(0,MIN(BB41,BH41+BI41-BJ41))</f>
        <v>0</v>
      </c>
      <c r="BL41" s="29" t="n">
        <f aca="false">BB41-BK41</f>
        <v>0</v>
      </c>
      <c r="BM41" s="30" t="n">
        <f aca="false">BH41+BI41-BJ41-BK41</f>
        <v>0</v>
      </c>
      <c r="BN41" s="30" t="n">
        <f aca="false">BQ40</f>
        <v>0</v>
      </c>
      <c r="BO41" s="30" t="n">
        <f aca="false">BN41*$BH$5/12</f>
        <v>0</v>
      </c>
      <c r="BP41" s="30" t="n">
        <f aca="false">MIN($BH$6,BN41+BO41)</f>
        <v>0</v>
      </c>
      <c r="BQ41" s="30" t="n">
        <f aca="false">BN41+BO41-BP41</f>
        <v>0</v>
      </c>
      <c r="BR41" s="30" t="n">
        <f aca="false">BW40</f>
        <v>0</v>
      </c>
      <c r="BS41" s="30" t="n">
        <f aca="false">BR41*$BR$5/12</f>
        <v>0</v>
      </c>
      <c r="BT41" s="30" t="n">
        <f aca="false">MIN($BR$6,BR41+BS41)</f>
        <v>0</v>
      </c>
      <c r="BU41" s="30" t="n">
        <f aca="false">MAX(0,MIN(BL41,BR41+BS41-BT41))</f>
        <v>0</v>
      </c>
      <c r="BV41" s="29" t="n">
        <f aca="false">BL41-BU41</f>
        <v>0</v>
      </c>
      <c r="BW41" s="30" t="n">
        <f aca="false">BR41+BS41-BT41-BU41</f>
        <v>0</v>
      </c>
      <c r="BX41" s="30" t="n">
        <f aca="false">CA40</f>
        <v>0</v>
      </c>
      <c r="BY41" s="30" t="n">
        <f aca="false">BX41*$BR$5/12</f>
        <v>0</v>
      </c>
      <c r="BZ41" s="30" t="n">
        <f aca="false">MIN($BR$6,BX41+BY41)</f>
        <v>0</v>
      </c>
      <c r="CA41" s="30" t="n">
        <f aca="false">BX41+BY41-BZ41</f>
        <v>0</v>
      </c>
      <c r="CB41" s="30" t="n">
        <f aca="false">CG40</f>
        <v>0</v>
      </c>
      <c r="CC41" s="30" t="n">
        <f aca="false">CB41*$CB$5/12</f>
        <v>0</v>
      </c>
      <c r="CD41" s="30" t="n">
        <f aca="false">MIN($CB$6,CB41+CC41)</f>
        <v>0</v>
      </c>
      <c r="CE41" s="30" t="n">
        <f aca="false">MAX(0,MIN(BV41,CB41+CC41-CD41))</f>
        <v>0</v>
      </c>
      <c r="CF41" s="29" t="n">
        <f aca="false">BV41-CE41</f>
        <v>0</v>
      </c>
      <c r="CG41" s="30" t="n">
        <f aca="false">CB41+CC41-CD41-CE41</f>
        <v>0</v>
      </c>
      <c r="CH41" s="30" t="n">
        <f aca="false">CK40</f>
        <v>0</v>
      </c>
      <c r="CI41" s="30" t="n">
        <f aca="false">CH41*$CB$5/12</f>
        <v>0</v>
      </c>
      <c r="CJ41" s="30" t="n">
        <f aca="false">MIN($CB$6,CH41+CI41)</f>
        <v>0</v>
      </c>
      <c r="CK41" s="30" t="n">
        <f aca="false">CH41+CI41-CJ41</f>
        <v>0</v>
      </c>
    </row>
    <row r="42" customFormat="false" ht="15" hidden="false" customHeight="false" outlineLevel="0" collapsed="false">
      <c r="A42" s="0" t="n">
        <v>34</v>
      </c>
      <c r="B42" s="29" t="n">
        <f aca="false">'1 Your debts'!$B$16-(L42+V42+AF42+AP42+AZ42+BJ42+BT42+CD42)</f>
        <v>560</v>
      </c>
      <c r="C42" s="34" t="n">
        <f aca="false">O42+Y42+AI42+AS42+BC42+BM42+BW42+CG42</f>
        <v>5909.06769780754</v>
      </c>
      <c r="D42" s="34" t="n">
        <f aca="false">K42+U42+AE42+AO42+AY42+BI42+BS42+CC42</f>
        <v>30.1077331712497</v>
      </c>
      <c r="F42" s="34" t="n">
        <f aca="false">S42+AC42+AM42+AW42+BG42+BQ42+CA42+CK42</f>
        <v>15114.7871684468</v>
      </c>
      <c r="G42" s="34" t="n">
        <f aca="false">Q42+AA42+AK42+AU42+BE42+BO42+BY42+CI42</f>
        <v>142.80642098482</v>
      </c>
      <c r="J42" s="34" t="n">
        <f aca="false">O41</f>
        <v>0</v>
      </c>
      <c r="K42" s="34" t="n">
        <f aca="false">J42*$J$5/12</f>
        <v>0</v>
      </c>
      <c r="L42" s="29" t="n">
        <f aca="false">MIN($J$6,J42+K42)</f>
        <v>0</v>
      </c>
      <c r="M42" s="30" t="n">
        <f aca="false">MAX(0,MIN($B42,J42+K42-L42))</f>
        <v>0</v>
      </c>
      <c r="N42" s="29" t="n">
        <f aca="false">$B42-M42</f>
        <v>560</v>
      </c>
      <c r="O42" s="34" t="n">
        <f aca="false">J42+K42-L42-M42</f>
        <v>0</v>
      </c>
      <c r="P42" s="34" t="n">
        <f aca="false">S41</f>
        <v>3379.70085053496</v>
      </c>
      <c r="Q42" s="34" t="n">
        <f aca="false">P42*$J$5/12</f>
        <v>70.3822702123906</v>
      </c>
      <c r="R42" s="29" t="n">
        <f aca="false">MIN($J$6,P42+Q42)</f>
        <v>105</v>
      </c>
      <c r="S42" s="34" t="n">
        <f aca="false">P42+Q42-R42</f>
        <v>3345.08312074735</v>
      </c>
      <c r="T42" s="34" t="n">
        <f aca="false">Y41</f>
        <v>0</v>
      </c>
      <c r="U42" s="34" t="n">
        <f aca="false">T42*$T$5/12</f>
        <v>0</v>
      </c>
      <c r="V42" s="29" t="n">
        <f aca="false">MIN($T$6,T42+U42)</f>
        <v>0</v>
      </c>
      <c r="W42" s="30" t="n">
        <f aca="false">MAX(0,MIN(N42,T42+U42-V42))</f>
        <v>0</v>
      </c>
      <c r="X42" s="29" t="n">
        <f aca="false">N42-W42</f>
        <v>560</v>
      </c>
      <c r="Y42" s="34" t="n">
        <f aca="false">T42+U42-V42-W42</f>
        <v>0</v>
      </c>
      <c r="Z42" s="34" t="n">
        <f aca="false">AC41</f>
        <v>1146.56830480536</v>
      </c>
      <c r="AA42" s="34" t="n">
        <f aca="false">Z42*$T$5/12</f>
        <v>19.0999170108826</v>
      </c>
      <c r="AB42" s="29" t="n">
        <f aca="false">MIN($T$6,Z42+AA42)</f>
        <v>45</v>
      </c>
      <c r="AC42" s="34" t="n">
        <f aca="false">Z42+AA42-AB42</f>
        <v>1120.66822181624</v>
      </c>
      <c r="AD42" s="34" t="n">
        <f aca="false">AI41</f>
        <v>0</v>
      </c>
      <c r="AE42" s="34" t="n">
        <f aca="false">AD42*$AD$5/12</f>
        <v>0</v>
      </c>
      <c r="AF42" s="29" t="n">
        <f aca="false">MIN($AD$6,AD42+AE42)</f>
        <v>0</v>
      </c>
      <c r="AG42" s="30" t="n">
        <f aca="false">MAX(0,MIN(X42,AD42+AE42-AF42))</f>
        <v>0</v>
      </c>
      <c r="AH42" s="29" t="n">
        <f aca="false">X42-AG42</f>
        <v>560</v>
      </c>
      <c r="AI42" s="34" t="n">
        <f aca="false">AD42+AE42-AF42-AG42</f>
        <v>0</v>
      </c>
      <c r="AJ42" s="34" t="n">
        <f aca="false">AM41</f>
        <v>1601.11114882785</v>
      </c>
      <c r="AK42" s="34" t="n">
        <f aca="false">AJ42*$AD$5/12</f>
        <v>10.54064839645</v>
      </c>
      <c r="AL42" s="29" t="n">
        <f aca="false">MIN($AD$6,AJ42+AK42)</f>
        <v>210</v>
      </c>
      <c r="AM42" s="34" t="n">
        <f aca="false">AJ42+AK42-AL42</f>
        <v>1401.6517972243</v>
      </c>
      <c r="AN42" s="34" t="n">
        <f aca="false">AS41</f>
        <v>6568.95996463629</v>
      </c>
      <c r="AO42" s="34" t="n">
        <f aca="false">AN42*$AN$5/12</f>
        <v>30.1077331712497</v>
      </c>
      <c r="AP42" s="29" t="n">
        <f aca="false">MIN($AN$6,AN42+AO42)</f>
        <v>130</v>
      </c>
      <c r="AQ42" s="30" t="n">
        <f aca="false">MAX(0,MIN(AH42,AN42+AO42-AP42))</f>
        <v>560</v>
      </c>
      <c r="AR42" s="29" t="n">
        <f aca="false">AH42-AQ42</f>
        <v>0</v>
      </c>
      <c r="AS42" s="34" t="n">
        <f aca="false">AN42+AO42-AP42-AQ42</f>
        <v>5909.06769780754</v>
      </c>
      <c r="AT42" s="34" t="n">
        <f aca="false">AW41</f>
        <v>9334.6004432938</v>
      </c>
      <c r="AU42" s="34" t="n">
        <f aca="false">AT42*$AN$5/12</f>
        <v>42.7835853650966</v>
      </c>
      <c r="AV42" s="29" t="n">
        <f aca="false">MIN($AN$6,AT42+AU42)</f>
        <v>130</v>
      </c>
      <c r="AW42" s="34" t="n">
        <f aca="false">AT42+AU42-AV42</f>
        <v>9247.38402865889</v>
      </c>
      <c r="AX42" s="30" t="n">
        <f aca="false">BC41</f>
        <v>0</v>
      </c>
      <c r="AY42" s="30" t="n">
        <f aca="false">AX42*$AX$5/12</f>
        <v>0</v>
      </c>
      <c r="AZ42" s="30" t="n">
        <f aca="false">MIN($AX$6,AX42+AY42)</f>
        <v>0</v>
      </c>
      <c r="BA42" s="30" t="n">
        <f aca="false">MAX(0,MIN(AR42,AX42+AY42-AZ42))</f>
        <v>0</v>
      </c>
      <c r="BB42" s="29" t="n">
        <f aca="false">AR42-BA42</f>
        <v>0</v>
      </c>
      <c r="BC42" s="30" t="n">
        <f aca="false">AX42+AY42-AZ42-BA42</f>
        <v>0</v>
      </c>
      <c r="BD42" s="30" t="n">
        <f aca="false">BG41</f>
        <v>0</v>
      </c>
      <c r="BE42" s="30" t="n">
        <f aca="false">BD42*$AX$5/12</f>
        <v>0</v>
      </c>
      <c r="BF42" s="30" t="n">
        <f aca="false">MIN($AX$6,BD42+BE42)</f>
        <v>0</v>
      </c>
      <c r="BG42" s="30" t="n">
        <f aca="false">BD42+BE42-BF42</f>
        <v>0</v>
      </c>
      <c r="BH42" s="30" t="n">
        <f aca="false">BM41</f>
        <v>0</v>
      </c>
      <c r="BI42" s="30" t="n">
        <f aca="false">BH42*$BH$5/12</f>
        <v>0</v>
      </c>
      <c r="BJ42" s="30" t="n">
        <f aca="false">MIN($BH$6,BH42+BI42)</f>
        <v>0</v>
      </c>
      <c r="BK42" s="30" t="n">
        <f aca="false">MAX(0,MIN(BB42,BH42+BI42-BJ42))</f>
        <v>0</v>
      </c>
      <c r="BL42" s="29" t="n">
        <f aca="false">BB42-BK42</f>
        <v>0</v>
      </c>
      <c r="BM42" s="30" t="n">
        <f aca="false">BH42+BI42-BJ42-BK42</f>
        <v>0</v>
      </c>
      <c r="BN42" s="30" t="n">
        <f aca="false">BQ41</f>
        <v>0</v>
      </c>
      <c r="BO42" s="30" t="n">
        <f aca="false">BN42*$BH$5/12</f>
        <v>0</v>
      </c>
      <c r="BP42" s="30" t="n">
        <f aca="false">MIN($BH$6,BN42+BO42)</f>
        <v>0</v>
      </c>
      <c r="BQ42" s="30" t="n">
        <f aca="false">BN42+BO42-BP42</f>
        <v>0</v>
      </c>
      <c r="BR42" s="30" t="n">
        <f aca="false">BW41</f>
        <v>0</v>
      </c>
      <c r="BS42" s="30" t="n">
        <f aca="false">BR42*$BR$5/12</f>
        <v>0</v>
      </c>
      <c r="BT42" s="30" t="n">
        <f aca="false">MIN($BR$6,BR42+BS42)</f>
        <v>0</v>
      </c>
      <c r="BU42" s="30" t="n">
        <f aca="false">MAX(0,MIN(BL42,BR42+BS42-BT42))</f>
        <v>0</v>
      </c>
      <c r="BV42" s="29" t="n">
        <f aca="false">BL42-BU42</f>
        <v>0</v>
      </c>
      <c r="BW42" s="30" t="n">
        <f aca="false">BR42+BS42-BT42-BU42</f>
        <v>0</v>
      </c>
      <c r="BX42" s="30" t="n">
        <f aca="false">CA41</f>
        <v>0</v>
      </c>
      <c r="BY42" s="30" t="n">
        <f aca="false">BX42*$BR$5/12</f>
        <v>0</v>
      </c>
      <c r="BZ42" s="30" t="n">
        <f aca="false">MIN($BR$6,BX42+BY42)</f>
        <v>0</v>
      </c>
      <c r="CA42" s="30" t="n">
        <f aca="false">BX42+BY42-BZ42</f>
        <v>0</v>
      </c>
      <c r="CB42" s="30" t="n">
        <f aca="false">CG41</f>
        <v>0</v>
      </c>
      <c r="CC42" s="30" t="n">
        <f aca="false">CB42*$CB$5/12</f>
        <v>0</v>
      </c>
      <c r="CD42" s="30" t="n">
        <f aca="false">MIN($CB$6,CB42+CC42)</f>
        <v>0</v>
      </c>
      <c r="CE42" s="30" t="n">
        <f aca="false">MAX(0,MIN(BV42,CB42+CC42-CD42))</f>
        <v>0</v>
      </c>
      <c r="CF42" s="29" t="n">
        <f aca="false">BV42-CE42</f>
        <v>0</v>
      </c>
      <c r="CG42" s="30" t="n">
        <f aca="false">CB42+CC42-CD42-CE42</f>
        <v>0</v>
      </c>
      <c r="CH42" s="30" t="n">
        <f aca="false">CK41</f>
        <v>0</v>
      </c>
      <c r="CI42" s="30" t="n">
        <f aca="false">CH42*$CB$5/12</f>
        <v>0</v>
      </c>
      <c r="CJ42" s="30" t="n">
        <f aca="false">MIN($CB$6,CH42+CI42)</f>
        <v>0</v>
      </c>
      <c r="CK42" s="30" t="n">
        <f aca="false">CH42+CI42-CJ42</f>
        <v>0</v>
      </c>
    </row>
    <row r="43" customFormat="false" ht="15" hidden="false" customHeight="false" outlineLevel="0" collapsed="false">
      <c r="A43" s="0" t="n">
        <v>35</v>
      </c>
      <c r="B43" s="29" t="n">
        <f aca="false">'1 Your debts'!$B$16-(L43+V43+AF43+AP43+AZ43+BJ43+BT43+CD43)</f>
        <v>560</v>
      </c>
      <c r="C43" s="34" t="n">
        <f aca="false">O43+Y43+AI43+AS43+BC43+BM43+BW43+CG43</f>
        <v>5246.15092475583</v>
      </c>
      <c r="D43" s="34" t="n">
        <f aca="false">K43+U43+AE43+AO43+AY43+BI43+BS43+CC43</f>
        <v>27.0832269482846</v>
      </c>
      <c r="F43" s="34" t="n">
        <f aca="false">S43+AC43+AM43+AW43+BG43+BQ43+CA43+CK43</f>
        <v>14764.7283736945</v>
      </c>
      <c r="G43" s="34" t="n">
        <f aca="false">Q43+AA43+AK43+AU43+BE43+BO43+BY43+CI43</f>
        <v>139.941205247732</v>
      </c>
      <c r="J43" s="34" t="n">
        <f aca="false">O42</f>
        <v>0</v>
      </c>
      <c r="K43" s="34" t="n">
        <f aca="false">J43*$J$5/12</f>
        <v>0</v>
      </c>
      <c r="L43" s="29" t="n">
        <f aca="false">MIN($J$6,J43+K43)</f>
        <v>0</v>
      </c>
      <c r="M43" s="30" t="n">
        <f aca="false">MAX(0,MIN($B43,J43+K43-L43))</f>
        <v>0</v>
      </c>
      <c r="N43" s="29" t="n">
        <f aca="false">$B43-M43</f>
        <v>560</v>
      </c>
      <c r="O43" s="34" t="n">
        <f aca="false">J43+K43-L43-M43</f>
        <v>0</v>
      </c>
      <c r="P43" s="34" t="n">
        <f aca="false">S42</f>
        <v>3345.08312074735</v>
      </c>
      <c r="Q43" s="34" t="n">
        <f aca="false">P43*$J$5/12</f>
        <v>69.6613559895637</v>
      </c>
      <c r="R43" s="29" t="n">
        <f aca="false">MIN($J$6,P43+Q43)</f>
        <v>105</v>
      </c>
      <c r="S43" s="34" t="n">
        <f aca="false">P43+Q43-R43</f>
        <v>3309.74447673692</v>
      </c>
      <c r="T43" s="34" t="n">
        <f aca="false">Y42</f>
        <v>0</v>
      </c>
      <c r="U43" s="34" t="n">
        <f aca="false">T43*$T$5/12</f>
        <v>0</v>
      </c>
      <c r="V43" s="29" t="n">
        <f aca="false">MIN($T$6,T43+U43)</f>
        <v>0</v>
      </c>
      <c r="W43" s="30" t="n">
        <f aca="false">MAX(0,MIN(N43,T43+U43-V43))</f>
        <v>0</v>
      </c>
      <c r="X43" s="29" t="n">
        <f aca="false">N43-W43</f>
        <v>560</v>
      </c>
      <c r="Y43" s="34" t="n">
        <f aca="false">T43+U43-V43-W43</f>
        <v>0</v>
      </c>
      <c r="Z43" s="34" t="n">
        <f aca="false">AC42</f>
        <v>1120.66822181624</v>
      </c>
      <c r="AA43" s="34" t="n">
        <f aca="false">Z43*$T$5/12</f>
        <v>18.6684647950889</v>
      </c>
      <c r="AB43" s="29" t="n">
        <f aca="false">MIN($T$6,Z43+AA43)</f>
        <v>45</v>
      </c>
      <c r="AC43" s="34" t="n">
        <f aca="false">Z43+AA43-AB43</f>
        <v>1094.33668661133</v>
      </c>
      <c r="AD43" s="34" t="n">
        <f aca="false">AI42</f>
        <v>0</v>
      </c>
      <c r="AE43" s="34" t="n">
        <f aca="false">AD43*$AD$5/12</f>
        <v>0</v>
      </c>
      <c r="AF43" s="29" t="n">
        <f aca="false">MIN($AD$6,AD43+AE43)</f>
        <v>0</v>
      </c>
      <c r="AG43" s="30" t="n">
        <f aca="false">MAX(0,MIN(X43,AD43+AE43-AF43))</f>
        <v>0</v>
      </c>
      <c r="AH43" s="29" t="n">
        <f aca="false">X43-AG43</f>
        <v>560</v>
      </c>
      <c r="AI43" s="34" t="n">
        <f aca="false">AD43+AE43-AF43-AG43</f>
        <v>0</v>
      </c>
      <c r="AJ43" s="34" t="n">
        <f aca="false">AM42</f>
        <v>1401.6517972243</v>
      </c>
      <c r="AK43" s="34" t="n">
        <f aca="false">AJ43*$AD$5/12</f>
        <v>9.22754099839331</v>
      </c>
      <c r="AL43" s="29" t="n">
        <f aca="false">MIN($AD$6,AJ43+AK43)</f>
        <v>210</v>
      </c>
      <c r="AM43" s="34" t="n">
        <f aca="false">AJ43+AK43-AL43</f>
        <v>1200.87933822269</v>
      </c>
      <c r="AN43" s="34" t="n">
        <f aca="false">AS42</f>
        <v>5909.06769780754</v>
      </c>
      <c r="AO43" s="34" t="n">
        <f aca="false">AN43*$AN$5/12</f>
        <v>27.0832269482846</v>
      </c>
      <c r="AP43" s="29" t="n">
        <f aca="false">MIN($AN$6,AN43+AO43)</f>
        <v>130</v>
      </c>
      <c r="AQ43" s="30" t="n">
        <f aca="false">MAX(0,MIN(AH43,AN43+AO43-AP43))</f>
        <v>560</v>
      </c>
      <c r="AR43" s="29" t="n">
        <f aca="false">AH43-AQ43</f>
        <v>0</v>
      </c>
      <c r="AS43" s="34" t="n">
        <f aca="false">AN43+AO43-AP43-AQ43</f>
        <v>5246.15092475583</v>
      </c>
      <c r="AT43" s="34" t="n">
        <f aca="false">AW42</f>
        <v>9247.38402865889</v>
      </c>
      <c r="AU43" s="34" t="n">
        <f aca="false">AT43*$AN$5/12</f>
        <v>42.3838434646866</v>
      </c>
      <c r="AV43" s="29" t="n">
        <f aca="false">MIN($AN$6,AT43+AU43)</f>
        <v>130</v>
      </c>
      <c r="AW43" s="34" t="n">
        <f aca="false">AT43+AU43-AV43</f>
        <v>9159.76787212358</v>
      </c>
      <c r="AX43" s="30" t="n">
        <f aca="false">BC42</f>
        <v>0</v>
      </c>
      <c r="AY43" s="30" t="n">
        <f aca="false">AX43*$AX$5/12</f>
        <v>0</v>
      </c>
      <c r="AZ43" s="30" t="n">
        <f aca="false">MIN($AX$6,AX43+AY43)</f>
        <v>0</v>
      </c>
      <c r="BA43" s="30" t="n">
        <f aca="false">MAX(0,MIN(AR43,AX43+AY43-AZ43))</f>
        <v>0</v>
      </c>
      <c r="BB43" s="29" t="n">
        <f aca="false">AR43-BA43</f>
        <v>0</v>
      </c>
      <c r="BC43" s="30" t="n">
        <f aca="false">AX43+AY43-AZ43-BA43</f>
        <v>0</v>
      </c>
      <c r="BD43" s="30" t="n">
        <f aca="false">BG42</f>
        <v>0</v>
      </c>
      <c r="BE43" s="30" t="n">
        <f aca="false">BD43*$AX$5/12</f>
        <v>0</v>
      </c>
      <c r="BF43" s="30" t="n">
        <f aca="false">MIN($AX$6,BD43+BE43)</f>
        <v>0</v>
      </c>
      <c r="BG43" s="30" t="n">
        <f aca="false">BD43+BE43-BF43</f>
        <v>0</v>
      </c>
      <c r="BH43" s="30" t="n">
        <f aca="false">BM42</f>
        <v>0</v>
      </c>
      <c r="BI43" s="30" t="n">
        <f aca="false">BH43*$BH$5/12</f>
        <v>0</v>
      </c>
      <c r="BJ43" s="30" t="n">
        <f aca="false">MIN($BH$6,BH43+BI43)</f>
        <v>0</v>
      </c>
      <c r="BK43" s="30" t="n">
        <f aca="false">MAX(0,MIN(BB43,BH43+BI43-BJ43))</f>
        <v>0</v>
      </c>
      <c r="BL43" s="29" t="n">
        <f aca="false">BB43-BK43</f>
        <v>0</v>
      </c>
      <c r="BM43" s="30" t="n">
        <f aca="false">BH43+BI43-BJ43-BK43</f>
        <v>0</v>
      </c>
      <c r="BN43" s="30" t="n">
        <f aca="false">BQ42</f>
        <v>0</v>
      </c>
      <c r="BO43" s="30" t="n">
        <f aca="false">BN43*$BH$5/12</f>
        <v>0</v>
      </c>
      <c r="BP43" s="30" t="n">
        <f aca="false">MIN($BH$6,BN43+BO43)</f>
        <v>0</v>
      </c>
      <c r="BQ43" s="30" t="n">
        <f aca="false">BN43+BO43-BP43</f>
        <v>0</v>
      </c>
      <c r="BR43" s="30" t="n">
        <f aca="false">BW42</f>
        <v>0</v>
      </c>
      <c r="BS43" s="30" t="n">
        <f aca="false">BR43*$BR$5/12</f>
        <v>0</v>
      </c>
      <c r="BT43" s="30" t="n">
        <f aca="false">MIN($BR$6,BR43+BS43)</f>
        <v>0</v>
      </c>
      <c r="BU43" s="30" t="n">
        <f aca="false">MAX(0,MIN(BL43,BR43+BS43-BT43))</f>
        <v>0</v>
      </c>
      <c r="BV43" s="29" t="n">
        <f aca="false">BL43-BU43</f>
        <v>0</v>
      </c>
      <c r="BW43" s="30" t="n">
        <f aca="false">BR43+BS43-BT43-BU43</f>
        <v>0</v>
      </c>
      <c r="BX43" s="30" t="n">
        <f aca="false">CA42</f>
        <v>0</v>
      </c>
      <c r="BY43" s="30" t="n">
        <f aca="false">BX43*$BR$5/12</f>
        <v>0</v>
      </c>
      <c r="BZ43" s="30" t="n">
        <f aca="false">MIN($BR$6,BX43+BY43)</f>
        <v>0</v>
      </c>
      <c r="CA43" s="30" t="n">
        <f aca="false">BX43+BY43-BZ43</f>
        <v>0</v>
      </c>
      <c r="CB43" s="30" t="n">
        <f aca="false">CG42</f>
        <v>0</v>
      </c>
      <c r="CC43" s="30" t="n">
        <f aca="false">CB43*$CB$5/12</f>
        <v>0</v>
      </c>
      <c r="CD43" s="30" t="n">
        <f aca="false">MIN($CB$6,CB43+CC43)</f>
        <v>0</v>
      </c>
      <c r="CE43" s="30" t="n">
        <f aca="false">MAX(0,MIN(BV43,CB43+CC43-CD43))</f>
        <v>0</v>
      </c>
      <c r="CF43" s="29" t="n">
        <f aca="false">BV43-CE43</f>
        <v>0</v>
      </c>
      <c r="CG43" s="30" t="n">
        <f aca="false">CB43+CC43-CD43-CE43</f>
        <v>0</v>
      </c>
      <c r="CH43" s="30" t="n">
        <f aca="false">CK42</f>
        <v>0</v>
      </c>
      <c r="CI43" s="30" t="n">
        <f aca="false">CH43*$CB$5/12</f>
        <v>0</v>
      </c>
      <c r="CJ43" s="30" t="n">
        <f aca="false">MIN($CB$6,CH43+CI43)</f>
        <v>0</v>
      </c>
      <c r="CK43" s="30" t="n">
        <f aca="false">CH43+CI43-CJ43</f>
        <v>0</v>
      </c>
    </row>
    <row r="44" customFormat="false" ht="15" hidden="false" customHeight="false" outlineLevel="0" collapsed="false">
      <c r="A44" s="0" t="n">
        <v>36</v>
      </c>
      <c r="B44" s="29" t="n">
        <f aca="false">'1 Your debts'!$B$16-(L44+V44+AF44+AP44+AZ44+BJ44+BT44+CD44)</f>
        <v>560</v>
      </c>
      <c r="C44" s="34" t="n">
        <f aca="false">O44+Y44+AI44+AS44+BC44+BM44+BW44+CG44</f>
        <v>4580.19578316096</v>
      </c>
      <c r="D44" s="34" t="n">
        <f aca="false">K44+U44+AE44+AO44+AY44+BI44+BS44+CC44</f>
        <v>24.0448584051309</v>
      </c>
      <c r="F44" s="34" t="n">
        <f aca="false">S44+AC44+AM44+AW44+BG44+BQ44+CA44+CK44</f>
        <v>14411.7716861176</v>
      </c>
      <c r="G44" s="34" t="n">
        <f aca="false">Q44+AA44+AK44+AU44+BE44+BO44+BY44+CI44</f>
        <v>137.043312423046</v>
      </c>
      <c r="J44" s="34" t="n">
        <f aca="false">O43</f>
        <v>0</v>
      </c>
      <c r="K44" s="34" t="n">
        <f aca="false">J44*$J$5/12</f>
        <v>0</v>
      </c>
      <c r="L44" s="29" t="n">
        <f aca="false">MIN($J$6,J44+K44)</f>
        <v>0</v>
      </c>
      <c r="M44" s="30" t="n">
        <f aca="false">MAX(0,MIN($B44,J44+K44-L44))</f>
        <v>0</v>
      </c>
      <c r="N44" s="29" t="n">
        <f aca="false">$B44-M44</f>
        <v>560</v>
      </c>
      <c r="O44" s="34" t="n">
        <f aca="false">J44+K44-L44-M44</f>
        <v>0</v>
      </c>
      <c r="P44" s="34" t="n">
        <f aca="false">S43</f>
        <v>3309.74447673692</v>
      </c>
      <c r="Q44" s="34" t="n">
        <f aca="false">P44*$J$5/12</f>
        <v>68.9254287280463</v>
      </c>
      <c r="R44" s="29" t="n">
        <f aca="false">MIN($J$6,P44+Q44)</f>
        <v>105</v>
      </c>
      <c r="S44" s="34" t="n">
        <f aca="false">P44+Q44-R44</f>
        <v>3273.66990546496</v>
      </c>
      <c r="T44" s="34" t="n">
        <f aca="false">Y43</f>
        <v>0</v>
      </c>
      <c r="U44" s="34" t="n">
        <f aca="false">T44*$T$5/12</f>
        <v>0</v>
      </c>
      <c r="V44" s="29" t="n">
        <f aca="false">MIN($T$6,T44+U44)</f>
        <v>0</v>
      </c>
      <c r="W44" s="30" t="n">
        <f aca="false">MAX(0,MIN(N44,T44+U44-V44))</f>
        <v>0</v>
      </c>
      <c r="X44" s="29" t="n">
        <f aca="false">N44-W44</f>
        <v>560</v>
      </c>
      <c r="Y44" s="34" t="n">
        <f aca="false">T44+U44-V44-W44</f>
        <v>0</v>
      </c>
      <c r="Z44" s="34" t="n">
        <f aca="false">AC43</f>
        <v>1094.33668661133</v>
      </c>
      <c r="AA44" s="34" t="n">
        <f aca="false">Z44*$T$5/12</f>
        <v>18.2298253044671</v>
      </c>
      <c r="AB44" s="29" t="n">
        <f aca="false">MIN($T$6,Z44+AA44)</f>
        <v>45</v>
      </c>
      <c r="AC44" s="34" t="n">
        <f aca="false">Z44+AA44-AB44</f>
        <v>1067.5665119158</v>
      </c>
      <c r="AD44" s="34" t="n">
        <f aca="false">AI43</f>
        <v>0</v>
      </c>
      <c r="AE44" s="34" t="n">
        <f aca="false">AD44*$AD$5/12</f>
        <v>0</v>
      </c>
      <c r="AF44" s="29" t="n">
        <f aca="false">MIN($AD$6,AD44+AE44)</f>
        <v>0</v>
      </c>
      <c r="AG44" s="30" t="n">
        <f aca="false">MAX(0,MIN(X44,AD44+AE44-AF44))</f>
        <v>0</v>
      </c>
      <c r="AH44" s="29" t="n">
        <f aca="false">X44-AG44</f>
        <v>560</v>
      </c>
      <c r="AI44" s="34" t="n">
        <f aca="false">AD44+AE44-AF44-AG44</f>
        <v>0</v>
      </c>
      <c r="AJ44" s="34" t="n">
        <f aca="false">AM43</f>
        <v>1200.87933822269</v>
      </c>
      <c r="AK44" s="34" t="n">
        <f aca="false">AJ44*$AD$5/12</f>
        <v>7.90578897663273</v>
      </c>
      <c r="AL44" s="29" t="n">
        <f aca="false">MIN($AD$6,AJ44+AK44)</f>
        <v>210</v>
      </c>
      <c r="AM44" s="34" t="n">
        <f aca="false">AJ44+AK44-AL44</f>
        <v>998.785127199326</v>
      </c>
      <c r="AN44" s="34" t="n">
        <f aca="false">AS43</f>
        <v>5246.15092475583</v>
      </c>
      <c r="AO44" s="34" t="n">
        <f aca="false">AN44*$AN$5/12</f>
        <v>24.0448584051309</v>
      </c>
      <c r="AP44" s="29" t="n">
        <f aca="false">MIN($AN$6,AN44+AO44)</f>
        <v>130</v>
      </c>
      <c r="AQ44" s="30" t="n">
        <f aca="false">MAX(0,MIN(AH44,AN44+AO44-AP44))</f>
        <v>560</v>
      </c>
      <c r="AR44" s="29" t="n">
        <f aca="false">AH44-AQ44</f>
        <v>0</v>
      </c>
      <c r="AS44" s="34" t="n">
        <f aca="false">AN44+AO44-AP44-AQ44</f>
        <v>4580.19578316096</v>
      </c>
      <c r="AT44" s="34" t="n">
        <f aca="false">AW43</f>
        <v>9159.76787212358</v>
      </c>
      <c r="AU44" s="34" t="n">
        <f aca="false">AT44*$AN$5/12</f>
        <v>41.9822694138997</v>
      </c>
      <c r="AV44" s="29" t="n">
        <f aca="false">MIN($AN$6,AT44+AU44)</f>
        <v>130</v>
      </c>
      <c r="AW44" s="34" t="n">
        <f aca="false">AT44+AU44-AV44</f>
        <v>9071.75014153748</v>
      </c>
      <c r="AX44" s="30" t="n">
        <f aca="false">BC43</f>
        <v>0</v>
      </c>
      <c r="AY44" s="30" t="n">
        <f aca="false">AX44*$AX$5/12</f>
        <v>0</v>
      </c>
      <c r="AZ44" s="30" t="n">
        <f aca="false">MIN($AX$6,AX44+AY44)</f>
        <v>0</v>
      </c>
      <c r="BA44" s="30" t="n">
        <f aca="false">MAX(0,MIN(AR44,AX44+AY44-AZ44))</f>
        <v>0</v>
      </c>
      <c r="BB44" s="29" t="n">
        <f aca="false">AR44-BA44</f>
        <v>0</v>
      </c>
      <c r="BC44" s="30" t="n">
        <f aca="false">AX44+AY44-AZ44-BA44</f>
        <v>0</v>
      </c>
      <c r="BD44" s="30" t="n">
        <f aca="false">BG43</f>
        <v>0</v>
      </c>
      <c r="BE44" s="30" t="n">
        <f aca="false">BD44*$AX$5/12</f>
        <v>0</v>
      </c>
      <c r="BF44" s="30" t="n">
        <f aca="false">MIN($AX$6,BD44+BE44)</f>
        <v>0</v>
      </c>
      <c r="BG44" s="30" t="n">
        <f aca="false">BD44+BE44-BF44</f>
        <v>0</v>
      </c>
      <c r="BH44" s="30" t="n">
        <f aca="false">BM43</f>
        <v>0</v>
      </c>
      <c r="BI44" s="30" t="n">
        <f aca="false">BH44*$BH$5/12</f>
        <v>0</v>
      </c>
      <c r="BJ44" s="30" t="n">
        <f aca="false">MIN($BH$6,BH44+BI44)</f>
        <v>0</v>
      </c>
      <c r="BK44" s="30" t="n">
        <f aca="false">MAX(0,MIN(BB44,BH44+BI44-BJ44))</f>
        <v>0</v>
      </c>
      <c r="BL44" s="29" t="n">
        <f aca="false">BB44-BK44</f>
        <v>0</v>
      </c>
      <c r="BM44" s="30" t="n">
        <f aca="false">BH44+BI44-BJ44-BK44</f>
        <v>0</v>
      </c>
      <c r="BN44" s="30" t="n">
        <f aca="false">BQ43</f>
        <v>0</v>
      </c>
      <c r="BO44" s="30" t="n">
        <f aca="false">BN44*$BH$5/12</f>
        <v>0</v>
      </c>
      <c r="BP44" s="30" t="n">
        <f aca="false">MIN($BH$6,BN44+BO44)</f>
        <v>0</v>
      </c>
      <c r="BQ44" s="30" t="n">
        <f aca="false">BN44+BO44-BP44</f>
        <v>0</v>
      </c>
      <c r="BR44" s="30" t="n">
        <f aca="false">BW43</f>
        <v>0</v>
      </c>
      <c r="BS44" s="30" t="n">
        <f aca="false">BR44*$BR$5/12</f>
        <v>0</v>
      </c>
      <c r="BT44" s="30" t="n">
        <f aca="false">MIN($BR$6,BR44+BS44)</f>
        <v>0</v>
      </c>
      <c r="BU44" s="30" t="n">
        <f aca="false">MAX(0,MIN(BL44,BR44+BS44-BT44))</f>
        <v>0</v>
      </c>
      <c r="BV44" s="29" t="n">
        <f aca="false">BL44-BU44</f>
        <v>0</v>
      </c>
      <c r="BW44" s="30" t="n">
        <f aca="false">BR44+BS44-BT44-BU44</f>
        <v>0</v>
      </c>
      <c r="BX44" s="30" t="n">
        <f aca="false">CA43</f>
        <v>0</v>
      </c>
      <c r="BY44" s="30" t="n">
        <f aca="false">BX44*$BR$5/12</f>
        <v>0</v>
      </c>
      <c r="BZ44" s="30" t="n">
        <f aca="false">MIN($BR$6,BX44+BY44)</f>
        <v>0</v>
      </c>
      <c r="CA44" s="30" t="n">
        <f aca="false">BX44+BY44-BZ44</f>
        <v>0</v>
      </c>
      <c r="CB44" s="30" t="n">
        <f aca="false">CG43</f>
        <v>0</v>
      </c>
      <c r="CC44" s="30" t="n">
        <f aca="false">CB44*$CB$5/12</f>
        <v>0</v>
      </c>
      <c r="CD44" s="30" t="n">
        <f aca="false">MIN($CB$6,CB44+CC44)</f>
        <v>0</v>
      </c>
      <c r="CE44" s="30" t="n">
        <f aca="false">MAX(0,MIN(BV44,CB44+CC44-CD44))</f>
        <v>0</v>
      </c>
      <c r="CF44" s="29" t="n">
        <f aca="false">BV44-CE44</f>
        <v>0</v>
      </c>
      <c r="CG44" s="30" t="n">
        <f aca="false">CB44+CC44-CD44-CE44</f>
        <v>0</v>
      </c>
      <c r="CH44" s="30" t="n">
        <f aca="false">CK43</f>
        <v>0</v>
      </c>
      <c r="CI44" s="30" t="n">
        <f aca="false">CH44*$CB$5/12</f>
        <v>0</v>
      </c>
      <c r="CJ44" s="30" t="n">
        <f aca="false">MIN($CB$6,CH44+CI44)</f>
        <v>0</v>
      </c>
      <c r="CK44" s="30" t="n">
        <f aca="false">CH44+CI44-CJ44</f>
        <v>0</v>
      </c>
    </row>
    <row r="45" customFormat="false" ht="15" hidden="false" customHeight="false" outlineLevel="0" collapsed="false">
      <c r="A45" s="0" t="n">
        <v>37</v>
      </c>
      <c r="B45" s="29" t="n">
        <f aca="false">'1 Your debts'!$B$16-(L45+V45+AF45+AP45+AZ45+BJ45+BT45+CD45)</f>
        <v>560</v>
      </c>
      <c r="C45" s="34" t="n">
        <f aca="false">O45+Y45+AI45+AS45+BC45+BM45+BW45+CG45</f>
        <v>3911.18834716711</v>
      </c>
      <c r="D45" s="34" t="n">
        <f aca="false">K45+U45+AE45+AO45+AY45+BI45+BS45+CC45</f>
        <v>20.9925640061544</v>
      </c>
      <c r="F45" s="34" t="n">
        <f aca="false">S45+AC45+AM45+AW45+BG45+BQ45+CA45+CK45</f>
        <v>14055.883930946</v>
      </c>
      <c r="G45" s="34" t="n">
        <f aca="false">Q45+AA45+AK45+AU45+BE45+BO45+BY45+CI45</f>
        <v>134.112244828414</v>
      </c>
      <c r="J45" s="34" t="n">
        <f aca="false">O44</f>
        <v>0</v>
      </c>
      <c r="K45" s="34" t="n">
        <f aca="false">J45*$J$5/12</f>
        <v>0</v>
      </c>
      <c r="L45" s="29" t="n">
        <f aca="false">MIN($J$6,J45+K45)</f>
        <v>0</v>
      </c>
      <c r="M45" s="30" t="n">
        <f aca="false">MAX(0,MIN($B45,J45+K45-L45))</f>
        <v>0</v>
      </c>
      <c r="N45" s="29" t="n">
        <f aca="false">$B45-M45</f>
        <v>560</v>
      </c>
      <c r="O45" s="34" t="n">
        <f aca="false">J45+K45-L45-M45</f>
        <v>0</v>
      </c>
      <c r="P45" s="34" t="n">
        <f aca="false">S44</f>
        <v>3273.66990546496</v>
      </c>
      <c r="Q45" s="34" t="n">
        <f aca="false">P45*$J$5/12</f>
        <v>68.1741757813079</v>
      </c>
      <c r="R45" s="29" t="n">
        <f aca="false">MIN($J$6,P45+Q45)</f>
        <v>105</v>
      </c>
      <c r="S45" s="34" t="n">
        <f aca="false">P45+Q45-R45</f>
        <v>3236.84408124627</v>
      </c>
      <c r="T45" s="34" t="n">
        <f aca="false">Y44</f>
        <v>0</v>
      </c>
      <c r="U45" s="34" t="n">
        <f aca="false">T45*$T$5/12</f>
        <v>0</v>
      </c>
      <c r="V45" s="29" t="n">
        <f aca="false">MIN($T$6,T45+U45)</f>
        <v>0</v>
      </c>
      <c r="W45" s="30" t="n">
        <f aca="false">MAX(0,MIN(N45,T45+U45-V45))</f>
        <v>0</v>
      </c>
      <c r="X45" s="29" t="n">
        <f aca="false">N45-W45</f>
        <v>560</v>
      </c>
      <c r="Y45" s="34" t="n">
        <f aca="false">T45+U45-V45-W45</f>
        <v>0</v>
      </c>
      <c r="Z45" s="34" t="n">
        <f aca="false">AC44</f>
        <v>1067.5665119158</v>
      </c>
      <c r="AA45" s="34" t="n">
        <f aca="false">Z45*$T$5/12</f>
        <v>17.7838788109973</v>
      </c>
      <c r="AB45" s="29" t="n">
        <f aca="false">MIN($T$6,Z45+AA45)</f>
        <v>45</v>
      </c>
      <c r="AC45" s="34" t="n">
        <f aca="false">Z45+AA45-AB45</f>
        <v>1040.3503907268</v>
      </c>
      <c r="AD45" s="34" t="n">
        <f aca="false">AI44</f>
        <v>0</v>
      </c>
      <c r="AE45" s="34" t="n">
        <f aca="false">AD45*$AD$5/12</f>
        <v>0</v>
      </c>
      <c r="AF45" s="29" t="n">
        <f aca="false">MIN($AD$6,AD45+AE45)</f>
        <v>0</v>
      </c>
      <c r="AG45" s="30" t="n">
        <f aca="false">MAX(0,MIN(X45,AD45+AE45-AF45))</f>
        <v>0</v>
      </c>
      <c r="AH45" s="29" t="n">
        <f aca="false">X45-AG45</f>
        <v>560</v>
      </c>
      <c r="AI45" s="34" t="n">
        <f aca="false">AD45+AE45-AF45-AG45</f>
        <v>0</v>
      </c>
      <c r="AJ45" s="34" t="n">
        <f aca="false">AM44</f>
        <v>998.785127199326</v>
      </c>
      <c r="AK45" s="34" t="n">
        <f aca="false">AJ45*$AD$5/12</f>
        <v>6.5753354207289</v>
      </c>
      <c r="AL45" s="29" t="n">
        <f aca="false">MIN($AD$6,AJ45+AK45)</f>
        <v>210</v>
      </c>
      <c r="AM45" s="34" t="n">
        <f aca="false">AJ45+AK45-AL45</f>
        <v>795.360462620055</v>
      </c>
      <c r="AN45" s="34" t="n">
        <f aca="false">AS44</f>
        <v>4580.19578316096</v>
      </c>
      <c r="AO45" s="34" t="n">
        <f aca="false">AN45*$AN$5/12</f>
        <v>20.9925640061544</v>
      </c>
      <c r="AP45" s="29" t="n">
        <f aca="false">MIN($AN$6,AN45+AO45)</f>
        <v>130</v>
      </c>
      <c r="AQ45" s="30" t="n">
        <f aca="false">MAX(0,MIN(AH45,AN45+AO45-AP45))</f>
        <v>560</v>
      </c>
      <c r="AR45" s="29" t="n">
        <f aca="false">AH45-AQ45</f>
        <v>0</v>
      </c>
      <c r="AS45" s="34" t="n">
        <f aca="false">AN45+AO45-AP45-AQ45</f>
        <v>3911.18834716711</v>
      </c>
      <c r="AT45" s="34" t="n">
        <f aca="false">AW44</f>
        <v>9071.75014153748</v>
      </c>
      <c r="AU45" s="34" t="n">
        <f aca="false">AT45*$AN$5/12</f>
        <v>41.5788548153801</v>
      </c>
      <c r="AV45" s="29" t="n">
        <f aca="false">MIN($AN$6,AT45+AU45)</f>
        <v>130</v>
      </c>
      <c r="AW45" s="34" t="n">
        <f aca="false">AT45+AU45-AV45</f>
        <v>8983.32899635286</v>
      </c>
      <c r="AX45" s="30" t="n">
        <f aca="false">BC44</f>
        <v>0</v>
      </c>
      <c r="AY45" s="30" t="n">
        <f aca="false">AX45*$AX$5/12</f>
        <v>0</v>
      </c>
      <c r="AZ45" s="30" t="n">
        <f aca="false">MIN($AX$6,AX45+AY45)</f>
        <v>0</v>
      </c>
      <c r="BA45" s="30" t="n">
        <f aca="false">MAX(0,MIN(AR45,AX45+AY45-AZ45))</f>
        <v>0</v>
      </c>
      <c r="BB45" s="29" t="n">
        <f aca="false">AR45-BA45</f>
        <v>0</v>
      </c>
      <c r="BC45" s="30" t="n">
        <f aca="false">AX45+AY45-AZ45-BA45</f>
        <v>0</v>
      </c>
      <c r="BD45" s="30" t="n">
        <f aca="false">BG44</f>
        <v>0</v>
      </c>
      <c r="BE45" s="30" t="n">
        <f aca="false">BD45*$AX$5/12</f>
        <v>0</v>
      </c>
      <c r="BF45" s="30" t="n">
        <f aca="false">MIN($AX$6,BD45+BE45)</f>
        <v>0</v>
      </c>
      <c r="BG45" s="30" t="n">
        <f aca="false">BD45+BE45-BF45</f>
        <v>0</v>
      </c>
      <c r="BH45" s="30" t="n">
        <f aca="false">BM44</f>
        <v>0</v>
      </c>
      <c r="BI45" s="30" t="n">
        <f aca="false">BH45*$BH$5/12</f>
        <v>0</v>
      </c>
      <c r="BJ45" s="30" t="n">
        <f aca="false">MIN($BH$6,BH45+BI45)</f>
        <v>0</v>
      </c>
      <c r="BK45" s="30" t="n">
        <f aca="false">MAX(0,MIN(BB45,BH45+BI45-BJ45))</f>
        <v>0</v>
      </c>
      <c r="BL45" s="29" t="n">
        <f aca="false">BB45-BK45</f>
        <v>0</v>
      </c>
      <c r="BM45" s="30" t="n">
        <f aca="false">BH45+BI45-BJ45-BK45</f>
        <v>0</v>
      </c>
      <c r="BN45" s="30" t="n">
        <f aca="false">BQ44</f>
        <v>0</v>
      </c>
      <c r="BO45" s="30" t="n">
        <f aca="false">BN45*$BH$5/12</f>
        <v>0</v>
      </c>
      <c r="BP45" s="30" t="n">
        <f aca="false">MIN($BH$6,BN45+BO45)</f>
        <v>0</v>
      </c>
      <c r="BQ45" s="30" t="n">
        <f aca="false">BN45+BO45-BP45</f>
        <v>0</v>
      </c>
      <c r="BR45" s="30" t="n">
        <f aca="false">BW44</f>
        <v>0</v>
      </c>
      <c r="BS45" s="30" t="n">
        <f aca="false">BR45*$BR$5/12</f>
        <v>0</v>
      </c>
      <c r="BT45" s="30" t="n">
        <f aca="false">MIN($BR$6,BR45+BS45)</f>
        <v>0</v>
      </c>
      <c r="BU45" s="30" t="n">
        <f aca="false">MAX(0,MIN(BL45,BR45+BS45-BT45))</f>
        <v>0</v>
      </c>
      <c r="BV45" s="29" t="n">
        <f aca="false">BL45-BU45</f>
        <v>0</v>
      </c>
      <c r="BW45" s="30" t="n">
        <f aca="false">BR45+BS45-BT45-BU45</f>
        <v>0</v>
      </c>
      <c r="BX45" s="30" t="n">
        <f aca="false">CA44</f>
        <v>0</v>
      </c>
      <c r="BY45" s="30" t="n">
        <f aca="false">BX45*$BR$5/12</f>
        <v>0</v>
      </c>
      <c r="BZ45" s="30" t="n">
        <f aca="false">MIN($BR$6,BX45+BY45)</f>
        <v>0</v>
      </c>
      <c r="CA45" s="30" t="n">
        <f aca="false">BX45+BY45-BZ45</f>
        <v>0</v>
      </c>
      <c r="CB45" s="30" t="n">
        <f aca="false">CG44</f>
        <v>0</v>
      </c>
      <c r="CC45" s="30" t="n">
        <f aca="false">CB45*$CB$5/12</f>
        <v>0</v>
      </c>
      <c r="CD45" s="30" t="n">
        <f aca="false">MIN($CB$6,CB45+CC45)</f>
        <v>0</v>
      </c>
      <c r="CE45" s="30" t="n">
        <f aca="false">MAX(0,MIN(BV45,CB45+CC45-CD45))</f>
        <v>0</v>
      </c>
      <c r="CF45" s="29" t="n">
        <f aca="false">BV45-CE45</f>
        <v>0</v>
      </c>
      <c r="CG45" s="30" t="n">
        <f aca="false">CB45+CC45-CD45-CE45</f>
        <v>0</v>
      </c>
      <c r="CH45" s="30" t="n">
        <f aca="false">CK44</f>
        <v>0</v>
      </c>
      <c r="CI45" s="30" t="n">
        <f aca="false">CH45*$CB$5/12</f>
        <v>0</v>
      </c>
      <c r="CJ45" s="30" t="n">
        <f aca="false">MIN($CB$6,CH45+CI45)</f>
        <v>0</v>
      </c>
      <c r="CK45" s="30" t="n">
        <f aca="false">CH45+CI45-CJ45</f>
        <v>0</v>
      </c>
    </row>
    <row r="46" customFormat="false" ht="15" hidden="false" customHeight="false" outlineLevel="0" collapsed="false">
      <c r="A46" s="0" t="n">
        <v>38</v>
      </c>
      <c r="B46" s="29" t="n">
        <f aca="false">'1 Your debts'!$B$16-(L46+V46+AF46+AP46+AZ46+BJ46+BT46+CD46)</f>
        <v>560</v>
      </c>
      <c r="C46" s="34" t="n">
        <f aca="false">O46+Y46+AI46+AS46+BC46+BM46+BW46+CG46</f>
        <v>3239.11462709163</v>
      </c>
      <c r="D46" s="34" t="n">
        <f aca="false">K46+U46+AE46+AO46+AY46+BI46+BS46+CC46</f>
        <v>17.9262799245159</v>
      </c>
      <c r="F46" s="34" t="n">
        <f aca="false">S46+AC46+AM46+AW46+BG46+BQ46+CA46+CK46</f>
        <v>13697.031426809</v>
      </c>
      <c r="G46" s="34" t="n">
        <f aca="false">Q46+AA46+AK46+AU46+BE46+BO46+BY46+CI46</f>
        <v>131.14749586301</v>
      </c>
      <c r="J46" s="34" t="n">
        <f aca="false">O45</f>
        <v>0</v>
      </c>
      <c r="K46" s="34" t="n">
        <f aca="false">J46*$J$5/12</f>
        <v>0</v>
      </c>
      <c r="L46" s="29" t="n">
        <f aca="false">MIN($J$6,J46+K46)</f>
        <v>0</v>
      </c>
      <c r="M46" s="30" t="n">
        <f aca="false">MAX(0,MIN($B46,J46+K46-L46))</f>
        <v>0</v>
      </c>
      <c r="N46" s="29" t="n">
        <f aca="false">$B46-M46</f>
        <v>560</v>
      </c>
      <c r="O46" s="34" t="n">
        <f aca="false">J46+K46-L46-M46</f>
        <v>0</v>
      </c>
      <c r="P46" s="34" t="n">
        <f aca="false">S45</f>
        <v>3236.84408124627</v>
      </c>
      <c r="Q46" s="34" t="n">
        <f aca="false">P46*$J$5/12</f>
        <v>67.4072779919536</v>
      </c>
      <c r="R46" s="29" t="n">
        <f aca="false">MIN($J$6,P46+Q46)</f>
        <v>105</v>
      </c>
      <c r="S46" s="34" t="n">
        <f aca="false">P46+Q46-R46</f>
        <v>3199.25135923823</v>
      </c>
      <c r="T46" s="34" t="n">
        <f aca="false">Y45</f>
        <v>0</v>
      </c>
      <c r="U46" s="34" t="n">
        <f aca="false">T46*$T$5/12</f>
        <v>0</v>
      </c>
      <c r="V46" s="29" t="n">
        <f aca="false">MIN($T$6,T46+U46)</f>
        <v>0</v>
      </c>
      <c r="W46" s="30" t="n">
        <f aca="false">MAX(0,MIN(N46,T46+U46-V46))</f>
        <v>0</v>
      </c>
      <c r="X46" s="29" t="n">
        <f aca="false">N46-W46</f>
        <v>560</v>
      </c>
      <c r="Y46" s="34" t="n">
        <f aca="false">T46+U46-V46-W46</f>
        <v>0</v>
      </c>
      <c r="Z46" s="34" t="n">
        <f aca="false">AC45</f>
        <v>1040.3503907268</v>
      </c>
      <c r="AA46" s="34" t="n">
        <f aca="false">Z46*$T$5/12</f>
        <v>17.3305035921905</v>
      </c>
      <c r="AB46" s="29" t="n">
        <f aca="false">MIN($T$6,Z46+AA46)</f>
        <v>45</v>
      </c>
      <c r="AC46" s="34" t="n">
        <f aca="false">Z46+AA46-AB46</f>
        <v>1012.68089431899</v>
      </c>
      <c r="AD46" s="34" t="n">
        <f aca="false">AI45</f>
        <v>0</v>
      </c>
      <c r="AE46" s="34" t="n">
        <f aca="false">AD46*$AD$5/12</f>
        <v>0</v>
      </c>
      <c r="AF46" s="29" t="n">
        <f aca="false">MIN($AD$6,AD46+AE46)</f>
        <v>0</v>
      </c>
      <c r="AG46" s="30" t="n">
        <f aca="false">MAX(0,MIN(X46,AD46+AE46-AF46))</f>
        <v>0</v>
      </c>
      <c r="AH46" s="29" t="n">
        <f aca="false">X46-AG46</f>
        <v>560</v>
      </c>
      <c r="AI46" s="34" t="n">
        <f aca="false">AD46+AE46-AF46-AG46</f>
        <v>0</v>
      </c>
      <c r="AJ46" s="34" t="n">
        <f aca="false">AM45</f>
        <v>795.360462620055</v>
      </c>
      <c r="AK46" s="34" t="n">
        <f aca="false">AJ46*$AD$5/12</f>
        <v>5.23612304558203</v>
      </c>
      <c r="AL46" s="29" t="n">
        <f aca="false">MIN($AD$6,AJ46+AK46)</f>
        <v>210</v>
      </c>
      <c r="AM46" s="34" t="n">
        <f aca="false">AJ46+AK46-AL46</f>
        <v>590.596585665637</v>
      </c>
      <c r="AN46" s="34" t="n">
        <f aca="false">AS45</f>
        <v>3911.18834716711</v>
      </c>
      <c r="AO46" s="34" t="n">
        <f aca="false">AN46*$AN$5/12</f>
        <v>17.9262799245159</v>
      </c>
      <c r="AP46" s="29" t="n">
        <f aca="false">MIN($AN$6,AN46+AO46)</f>
        <v>130</v>
      </c>
      <c r="AQ46" s="30" t="n">
        <f aca="false">MAX(0,MIN(AH46,AN46+AO46-AP46))</f>
        <v>560</v>
      </c>
      <c r="AR46" s="29" t="n">
        <f aca="false">AH46-AQ46</f>
        <v>0</v>
      </c>
      <c r="AS46" s="34" t="n">
        <f aca="false">AN46+AO46-AP46-AQ46</f>
        <v>3239.11462709163</v>
      </c>
      <c r="AT46" s="34" t="n">
        <f aca="false">AW45</f>
        <v>8983.32899635286</v>
      </c>
      <c r="AU46" s="34" t="n">
        <f aca="false">AT46*$AN$5/12</f>
        <v>41.1735912332839</v>
      </c>
      <c r="AV46" s="29" t="n">
        <f aca="false">MIN($AN$6,AT46+AU46)</f>
        <v>130</v>
      </c>
      <c r="AW46" s="34" t="n">
        <f aca="false">AT46+AU46-AV46</f>
        <v>8894.50258758614</v>
      </c>
      <c r="AX46" s="30" t="n">
        <f aca="false">BC45</f>
        <v>0</v>
      </c>
      <c r="AY46" s="30" t="n">
        <f aca="false">AX46*$AX$5/12</f>
        <v>0</v>
      </c>
      <c r="AZ46" s="30" t="n">
        <f aca="false">MIN($AX$6,AX46+AY46)</f>
        <v>0</v>
      </c>
      <c r="BA46" s="30" t="n">
        <f aca="false">MAX(0,MIN(AR46,AX46+AY46-AZ46))</f>
        <v>0</v>
      </c>
      <c r="BB46" s="29" t="n">
        <f aca="false">AR46-BA46</f>
        <v>0</v>
      </c>
      <c r="BC46" s="30" t="n">
        <f aca="false">AX46+AY46-AZ46-BA46</f>
        <v>0</v>
      </c>
      <c r="BD46" s="30" t="n">
        <f aca="false">BG45</f>
        <v>0</v>
      </c>
      <c r="BE46" s="30" t="n">
        <f aca="false">BD46*$AX$5/12</f>
        <v>0</v>
      </c>
      <c r="BF46" s="30" t="n">
        <f aca="false">MIN($AX$6,BD46+BE46)</f>
        <v>0</v>
      </c>
      <c r="BG46" s="30" t="n">
        <f aca="false">BD46+BE46-BF46</f>
        <v>0</v>
      </c>
      <c r="BH46" s="30" t="n">
        <f aca="false">BM45</f>
        <v>0</v>
      </c>
      <c r="BI46" s="30" t="n">
        <f aca="false">BH46*$BH$5/12</f>
        <v>0</v>
      </c>
      <c r="BJ46" s="30" t="n">
        <f aca="false">MIN($BH$6,BH46+BI46)</f>
        <v>0</v>
      </c>
      <c r="BK46" s="30" t="n">
        <f aca="false">MAX(0,MIN(BB46,BH46+BI46-BJ46))</f>
        <v>0</v>
      </c>
      <c r="BL46" s="29" t="n">
        <f aca="false">BB46-BK46</f>
        <v>0</v>
      </c>
      <c r="BM46" s="30" t="n">
        <f aca="false">BH46+BI46-BJ46-BK46</f>
        <v>0</v>
      </c>
      <c r="BN46" s="30" t="n">
        <f aca="false">BQ45</f>
        <v>0</v>
      </c>
      <c r="BO46" s="30" t="n">
        <f aca="false">BN46*$BH$5/12</f>
        <v>0</v>
      </c>
      <c r="BP46" s="30" t="n">
        <f aca="false">MIN($BH$6,BN46+BO46)</f>
        <v>0</v>
      </c>
      <c r="BQ46" s="30" t="n">
        <f aca="false">BN46+BO46-BP46</f>
        <v>0</v>
      </c>
      <c r="BR46" s="30" t="n">
        <f aca="false">BW45</f>
        <v>0</v>
      </c>
      <c r="BS46" s="30" t="n">
        <f aca="false">BR46*$BR$5/12</f>
        <v>0</v>
      </c>
      <c r="BT46" s="30" t="n">
        <f aca="false">MIN($BR$6,BR46+BS46)</f>
        <v>0</v>
      </c>
      <c r="BU46" s="30" t="n">
        <f aca="false">MAX(0,MIN(BL46,BR46+BS46-BT46))</f>
        <v>0</v>
      </c>
      <c r="BV46" s="29" t="n">
        <f aca="false">BL46-BU46</f>
        <v>0</v>
      </c>
      <c r="BW46" s="30" t="n">
        <f aca="false">BR46+BS46-BT46-BU46</f>
        <v>0</v>
      </c>
      <c r="BX46" s="30" t="n">
        <f aca="false">CA45</f>
        <v>0</v>
      </c>
      <c r="BY46" s="30" t="n">
        <f aca="false">BX46*$BR$5/12</f>
        <v>0</v>
      </c>
      <c r="BZ46" s="30" t="n">
        <f aca="false">MIN($BR$6,BX46+BY46)</f>
        <v>0</v>
      </c>
      <c r="CA46" s="30" t="n">
        <f aca="false">BX46+BY46-BZ46</f>
        <v>0</v>
      </c>
      <c r="CB46" s="30" t="n">
        <f aca="false">CG45</f>
        <v>0</v>
      </c>
      <c r="CC46" s="30" t="n">
        <f aca="false">CB46*$CB$5/12</f>
        <v>0</v>
      </c>
      <c r="CD46" s="30" t="n">
        <f aca="false">MIN($CB$6,CB46+CC46)</f>
        <v>0</v>
      </c>
      <c r="CE46" s="30" t="n">
        <f aca="false">MAX(0,MIN(BV46,CB46+CC46-CD46))</f>
        <v>0</v>
      </c>
      <c r="CF46" s="29" t="n">
        <f aca="false">BV46-CE46</f>
        <v>0</v>
      </c>
      <c r="CG46" s="30" t="n">
        <f aca="false">CB46+CC46-CD46-CE46</f>
        <v>0</v>
      </c>
      <c r="CH46" s="30" t="n">
        <f aca="false">CK45</f>
        <v>0</v>
      </c>
      <c r="CI46" s="30" t="n">
        <f aca="false">CH46*$CB$5/12</f>
        <v>0</v>
      </c>
      <c r="CJ46" s="30" t="n">
        <f aca="false">MIN($CB$6,CH46+CI46)</f>
        <v>0</v>
      </c>
      <c r="CK46" s="30" t="n">
        <f aca="false">CH46+CI46-CJ46</f>
        <v>0</v>
      </c>
    </row>
    <row r="47" customFormat="false" ht="15" hidden="false" customHeight="false" outlineLevel="0" collapsed="false">
      <c r="A47" s="0" t="n">
        <v>39</v>
      </c>
      <c r="B47" s="29" t="n">
        <f aca="false">'1 Your debts'!$B$16-(L47+V47+AF47+AP47+AZ47+BJ47+BT47+CD47)</f>
        <v>560</v>
      </c>
      <c r="C47" s="34" t="n">
        <f aca="false">O47+Y47+AI47+AS47+BC47+BM47+BW47+CG47</f>
        <v>2563.96056913247</v>
      </c>
      <c r="D47" s="34" t="n">
        <f aca="false">K47+U47+AE47+AO47+AY47+BI47+BS47+CC47</f>
        <v>14.8459420408366</v>
      </c>
      <c r="F47" s="34" t="n">
        <f aca="false">S47+AC47+AM47+AW47+BG47+BQ47+CA47+CK47</f>
        <v>13335.1799766451</v>
      </c>
      <c r="G47" s="34" t="n">
        <f aca="false">Q47+AA47+AK47+AU47+BE47+BO47+BY47+CI47</f>
        <v>128.148549836068</v>
      </c>
      <c r="J47" s="34" t="n">
        <f aca="false">O46</f>
        <v>0</v>
      </c>
      <c r="K47" s="34" t="n">
        <f aca="false">J47*$J$5/12</f>
        <v>0</v>
      </c>
      <c r="L47" s="29" t="n">
        <f aca="false">MIN($J$6,J47+K47)</f>
        <v>0</v>
      </c>
      <c r="M47" s="30" t="n">
        <f aca="false">MAX(0,MIN($B47,J47+K47-L47))</f>
        <v>0</v>
      </c>
      <c r="N47" s="29" t="n">
        <f aca="false">$B47-M47</f>
        <v>560</v>
      </c>
      <c r="O47" s="34" t="n">
        <f aca="false">J47+K47-L47-M47</f>
        <v>0</v>
      </c>
      <c r="P47" s="34" t="n">
        <f aca="false">S46</f>
        <v>3199.25135923823</v>
      </c>
      <c r="Q47" s="34" t="n">
        <f aca="false">P47*$J$5/12</f>
        <v>66.6244095561361</v>
      </c>
      <c r="R47" s="29" t="n">
        <f aca="false">MIN($J$6,P47+Q47)</f>
        <v>105</v>
      </c>
      <c r="S47" s="34" t="n">
        <f aca="false">P47+Q47-R47</f>
        <v>3160.87576879436</v>
      </c>
      <c r="T47" s="34" t="n">
        <f aca="false">Y46</f>
        <v>0</v>
      </c>
      <c r="U47" s="34" t="n">
        <f aca="false">T47*$T$5/12</f>
        <v>0</v>
      </c>
      <c r="V47" s="29" t="n">
        <f aca="false">MIN($T$6,T47+U47)</f>
        <v>0</v>
      </c>
      <c r="W47" s="30" t="n">
        <f aca="false">MAX(0,MIN(N47,T47+U47-V47))</f>
        <v>0</v>
      </c>
      <c r="X47" s="29" t="n">
        <f aca="false">N47-W47</f>
        <v>560</v>
      </c>
      <c r="Y47" s="34" t="n">
        <f aca="false">T47+U47-V47-W47</f>
        <v>0</v>
      </c>
      <c r="Z47" s="34" t="n">
        <f aca="false">AC46</f>
        <v>1012.68089431899</v>
      </c>
      <c r="AA47" s="34" t="n">
        <f aca="false">Z47*$T$5/12</f>
        <v>16.8695758978638</v>
      </c>
      <c r="AB47" s="29" t="n">
        <f aca="false">MIN($T$6,Z47+AA47)</f>
        <v>45</v>
      </c>
      <c r="AC47" s="34" t="n">
        <f aca="false">Z47+AA47-AB47</f>
        <v>984.55047021685</v>
      </c>
      <c r="AD47" s="34" t="n">
        <f aca="false">AI46</f>
        <v>0</v>
      </c>
      <c r="AE47" s="34" t="n">
        <f aca="false">AD47*$AD$5/12</f>
        <v>0</v>
      </c>
      <c r="AF47" s="29" t="n">
        <f aca="false">MIN($AD$6,AD47+AE47)</f>
        <v>0</v>
      </c>
      <c r="AG47" s="30" t="n">
        <f aca="false">MAX(0,MIN(X47,AD47+AE47-AF47))</f>
        <v>0</v>
      </c>
      <c r="AH47" s="29" t="n">
        <f aca="false">X47-AG47</f>
        <v>560</v>
      </c>
      <c r="AI47" s="34" t="n">
        <f aca="false">AD47+AE47-AF47-AG47</f>
        <v>0</v>
      </c>
      <c r="AJ47" s="34" t="n">
        <f aca="false">AM46</f>
        <v>590.596585665637</v>
      </c>
      <c r="AK47" s="34" t="n">
        <f aca="false">AJ47*$AD$5/12</f>
        <v>3.88809418896544</v>
      </c>
      <c r="AL47" s="29" t="n">
        <f aca="false">MIN($AD$6,AJ47+AK47)</f>
        <v>210</v>
      </c>
      <c r="AM47" s="34" t="n">
        <f aca="false">AJ47+AK47-AL47</f>
        <v>384.484679854602</v>
      </c>
      <c r="AN47" s="34" t="n">
        <f aca="false">AS46</f>
        <v>3239.11462709163</v>
      </c>
      <c r="AO47" s="34" t="n">
        <f aca="false">AN47*$AN$5/12</f>
        <v>14.8459420408366</v>
      </c>
      <c r="AP47" s="29" t="n">
        <f aca="false">MIN($AN$6,AN47+AO47)</f>
        <v>130</v>
      </c>
      <c r="AQ47" s="30" t="n">
        <f aca="false">MAX(0,MIN(AH47,AN47+AO47-AP47))</f>
        <v>560</v>
      </c>
      <c r="AR47" s="29" t="n">
        <f aca="false">AH47-AQ47</f>
        <v>0</v>
      </c>
      <c r="AS47" s="34" t="n">
        <f aca="false">AN47+AO47-AP47-AQ47</f>
        <v>2563.96056913247</v>
      </c>
      <c r="AT47" s="34" t="n">
        <f aca="false">AW46</f>
        <v>8894.50258758614</v>
      </c>
      <c r="AU47" s="34" t="n">
        <f aca="false">AT47*$AN$5/12</f>
        <v>40.7664701931031</v>
      </c>
      <c r="AV47" s="29" t="n">
        <f aca="false">MIN($AN$6,AT47+AU47)</f>
        <v>130</v>
      </c>
      <c r="AW47" s="34" t="n">
        <f aca="false">AT47+AU47-AV47</f>
        <v>8805.26905777924</v>
      </c>
      <c r="AX47" s="30" t="n">
        <f aca="false">BC46</f>
        <v>0</v>
      </c>
      <c r="AY47" s="30" t="n">
        <f aca="false">AX47*$AX$5/12</f>
        <v>0</v>
      </c>
      <c r="AZ47" s="30" t="n">
        <f aca="false">MIN($AX$6,AX47+AY47)</f>
        <v>0</v>
      </c>
      <c r="BA47" s="30" t="n">
        <f aca="false">MAX(0,MIN(AR47,AX47+AY47-AZ47))</f>
        <v>0</v>
      </c>
      <c r="BB47" s="29" t="n">
        <f aca="false">AR47-BA47</f>
        <v>0</v>
      </c>
      <c r="BC47" s="30" t="n">
        <f aca="false">AX47+AY47-AZ47-BA47</f>
        <v>0</v>
      </c>
      <c r="BD47" s="30" t="n">
        <f aca="false">BG46</f>
        <v>0</v>
      </c>
      <c r="BE47" s="30" t="n">
        <f aca="false">BD47*$AX$5/12</f>
        <v>0</v>
      </c>
      <c r="BF47" s="30" t="n">
        <f aca="false">MIN($AX$6,BD47+BE47)</f>
        <v>0</v>
      </c>
      <c r="BG47" s="30" t="n">
        <f aca="false">BD47+BE47-BF47</f>
        <v>0</v>
      </c>
      <c r="BH47" s="30" t="n">
        <f aca="false">BM46</f>
        <v>0</v>
      </c>
      <c r="BI47" s="30" t="n">
        <f aca="false">BH47*$BH$5/12</f>
        <v>0</v>
      </c>
      <c r="BJ47" s="30" t="n">
        <f aca="false">MIN($BH$6,BH47+BI47)</f>
        <v>0</v>
      </c>
      <c r="BK47" s="30" t="n">
        <f aca="false">MAX(0,MIN(BB47,BH47+BI47-BJ47))</f>
        <v>0</v>
      </c>
      <c r="BL47" s="29" t="n">
        <f aca="false">BB47-BK47</f>
        <v>0</v>
      </c>
      <c r="BM47" s="30" t="n">
        <f aca="false">BH47+BI47-BJ47-BK47</f>
        <v>0</v>
      </c>
      <c r="BN47" s="30" t="n">
        <f aca="false">BQ46</f>
        <v>0</v>
      </c>
      <c r="BO47" s="30" t="n">
        <f aca="false">BN47*$BH$5/12</f>
        <v>0</v>
      </c>
      <c r="BP47" s="30" t="n">
        <f aca="false">MIN($BH$6,BN47+BO47)</f>
        <v>0</v>
      </c>
      <c r="BQ47" s="30" t="n">
        <f aca="false">BN47+BO47-BP47</f>
        <v>0</v>
      </c>
      <c r="BR47" s="30" t="n">
        <f aca="false">BW46</f>
        <v>0</v>
      </c>
      <c r="BS47" s="30" t="n">
        <f aca="false">BR47*$BR$5/12</f>
        <v>0</v>
      </c>
      <c r="BT47" s="30" t="n">
        <f aca="false">MIN($BR$6,BR47+BS47)</f>
        <v>0</v>
      </c>
      <c r="BU47" s="30" t="n">
        <f aca="false">MAX(0,MIN(BL47,BR47+BS47-BT47))</f>
        <v>0</v>
      </c>
      <c r="BV47" s="29" t="n">
        <f aca="false">BL47-BU47</f>
        <v>0</v>
      </c>
      <c r="BW47" s="30" t="n">
        <f aca="false">BR47+BS47-BT47-BU47</f>
        <v>0</v>
      </c>
      <c r="BX47" s="30" t="n">
        <f aca="false">CA46</f>
        <v>0</v>
      </c>
      <c r="BY47" s="30" t="n">
        <f aca="false">BX47*$BR$5/12</f>
        <v>0</v>
      </c>
      <c r="BZ47" s="30" t="n">
        <f aca="false">MIN($BR$6,BX47+BY47)</f>
        <v>0</v>
      </c>
      <c r="CA47" s="30" t="n">
        <f aca="false">BX47+BY47-BZ47</f>
        <v>0</v>
      </c>
      <c r="CB47" s="30" t="n">
        <f aca="false">CG46</f>
        <v>0</v>
      </c>
      <c r="CC47" s="30" t="n">
        <f aca="false">CB47*$CB$5/12</f>
        <v>0</v>
      </c>
      <c r="CD47" s="30" t="n">
        <f aca="false">MIN($CB$6,CB47+CC47)</f>
        <v>0</v>
      </c>
      <c r="CE47" s="30" t="n">
        <f aca="false">MAX(0,MIN(BV47,CB47+CC47-CD47))</f>
        <v>0</v>
      </c>
      <c r="CF47" s="29" t="n">
        <f aca="false">BV47-CE47</f>
        <v>0</v>
      </c>
      <c r="CG47" s="30" t="n">
        <f aca="false">CB47+CC47-CD47-CE47</f>
        <v>0</v>
      </c>
      <c r="CH47" s="30" t="n">
        <f aca="false">CK46</f>
        <v>0</v>
      </c>
      <c r="CI47" s="30" t="n">
        <f aca="false">CH47*$CB$5/12</f>
        <v>0</v>
      </c>
      <c r="CJ47" s="30" t="n">
        <f aca="false">MIN($CB$6,CH47+CI47)</f>
        <v>0</v>
      </c>
      <c r="CK47" s="30" t="n">
        <f aca="false">CH47+CI47-CJ47</f>
        <v>0</v>
      </c>
    </row>
    <row r="48" customFormat="false" ht="15" hidden="false" customHeight="false" outlineLevel="0" collapsed="false">
      <c r="A48" s="0" t="n">
        <v>40</v>
      </c>
      <c r="B48" s="29" t="n">
        <f aca="false">'1 Your debts'!$B$16-(L48+V48+AF48+AP48+AZ48+BJ48+BT48+CD48)</f>
        <v>560</v>
      </c>
      <c r="C48" s="34" t="n">
        <f aca="false">O48+Y48+AI48+AS48+BC48+BM48+BW48+CG48</f>
        <v>1885.71205507432</v>
      </c>
      <c r="D48" s="34" t="n">
        <f aca="false">K48+U48+AE48+AO48+AY48+BI48+BS48+CC48</f>
        <v>11.7514859418571</v>
      </c>
      <c r="F48" s="34" t="n">
        <f aca="false">S48+AC48+AM48+AW48+BG48+BQ48+CA48+CK48</f>
        <v>12970.2948584371</v>
      </c>
      <c r="G48" s="34" t="n">
        <f aca="false">Q48+AA48+AK48+AU48+BE48+BO48+BY48+CI48</f>
        <v>125.114881792036</v>
      </c>
      <c r="J48" s="34" t="n">
        <f aca="false">O47</f>
        <v>0</v>
      </c>
      <c r="K48" s="34" t="n">
        <f aca="false">J48*$J$5/12</f>
        <v>0</v>
      </c>
      <c r="L48" s="29" t="n">
        <f aca="false">MIN($J$6,J48+K48)</f>
        <v>0</v>
      </c>
      <c r="M48" s="30" t="n">
        <f aca="false">MAX(0,MIN($B48,J48+K48-L48))</f>
        <v>0</v>
      </c>
      <c r="N48" s="29" t="n">
        <f aca="false">$B48-M48</f>
        <v>560</v>
      </c>
      <c r="O48" s="34" t="n">
        <f aca="false">J48+K48-L48-M48</f>
        <v>0</v>
      </c>
      <c r="P48" s="34" t="n">
        <f aca="false">S47</f>
        <v>3160.87576879436</v>
      </c>
      <c r="Q48" s="34" t="n">
        <f aca="false">P48*$J$5/12</f>
        <v>65.8252378851426</v>
      </c>
      <c r="R48" s="29" t="n">
        <f aca="false">MIN($J$6,P48+Q48)</f>
        <v>105</v>
      </c>
      <c r="S48" s="34" t="n">
        <f aca="false">P48+Q48-R48</f>
        <v>3121.7010066795</v>
      </c>
      <c r="T48" s="34" t="n">
        <f aca="false">Y47</f>
        <v>0</v>
      </c>
      <c r="U48" s="34" t="n">
        <f aca="false">T48*$T$5/12</f>
        <v>0</v>
      </c>
      <c r="V48" s="29" t="n">
        <f aca="false">MIN($T$6,T48+U48)</f>
        <v>0</v>
      </c>
      <c r="W48" s="30" t="n">
        <f aca="false">MAX(0,MIN(N48,T48+U48-V48))</f>
        <v>0</v>
      </c>
      <c r="X48" s="29" t="n">
        <f aca="false">N48-W48</f>
        <v>560</v>
      </c>
      <c r="Y48" s="34" t="n">
        <f aca="false">T48+U48-V48-W48</f>
        <v>0</v>
      </c>
      <c r="Z48" s="34" t="n">
        <f aca="false">AC47</f>
        <v>984.55047021685</v>
      </c>
      <c r="AA48" s="34" t="n">
        <f aca="false">Z48*$T$5/12</f>
        <v>16.4009699163624</v>
      </c>
      <c r="AB48" s="29" t="n">
        <f aca="false">MIN($T$6,Z48+AA48)</f>
        <v>45</v>
      </c>
      <c r="AC48" s="34" t="n">
        <f aca="false">Z48+AA48-AB48</f>
        <v>955.951440133213</v>
      </c>
      <c r="AD48" s="34" t="n">
        <f aca="false">AI47</f>
        <v>0</v>
      </c>
      <c r="AE48" s="34" t="n">
        <f aca="false">AD48*$AD$5/12</f>
        <v>0</v>
      </c>
      <c r="AF48" s="29" t="n">
        <f aca="false">MIN($AD$6,AD48+AE48)</f>
        <v>0</v>
      </c>
      <c r="AG48" s="30" t="n">
        <f aca="false">MAX(0,MIN(X48,AD48+AE48-AF48))</f>
        <v>0</v>
      </c>
      <c r="AH48" s="29" t="n">
        <f aca="false">X48-AG48</f>
        <v>560</v>
      </c>
      <c r="AI48" s="34" t="n">
        <f aca="false">AD48+AE48-AF48-AG48</f>
        <v>0</v>
      </c>
      <c r="AJ48" s="34" t="n">
        <f aca="false">AM47</f>
        <v>384.484679854602</v>
      </c>
      <c r="AK48" s="34" t="n">
        <f aca="false">AJ48*$AD$5/12</f>
        <v>2.5311908090428</v>
      </c>
      <c r="AL48" s="29" t="n">
        <f aca="false">MIN($AD$6,AJ48+AK48)</f>
        <v>210</v>
      </c>
      <c r="AM48" s="34" t="n">
        <f aca="false">AJ48+AK48-AL48</f>
        <v>177.015870663645</v>
      </c>
      <c r="AN48" s="34" t="n">
        <f aca="false">AS47</f>
        <v>2563.96056913247</v>
      </c>
      <c r="AO48" s="34" t="n">
        <f aca="false">AN48*$AN$5/12</f>
        <v>11.7514859418571</v>
      </c>
      <c r="AP48" s="29" t="n">
        <f aca="false">MIN($AN$6,AN48+AO48)</f>
        <v>130</v>
      </c>
      <c r="AQ48" s="30" t="n">
        <f aca="false">MAX(0,MIN(AH48,AN48+AO48-AP48))</f>
        <v>560</v>
      </c>
      <c r="AR48" s="29" t="n">
        <f aca="false">AH48-AQ48</f>
        <v>0</v>
      </c>
      <c r="AS48" s="34" t="n">
        <f aca="false">AN48+AO48-AP48-AQ48</f>
        <v>1885.71205507432</v>
      </c>
      <c r="AT48" s="34" t="n">
        <f aca="false">AW47</f>
        <v>8805.26905777924</v>
      </c>
      <c r="AU48" s="34" t="n">
        <f aca="false">AT48*$AN$5/12</f>
        <v>40.3574831814882</v>
      </c>
      <c r="AV48" s="29" t="n">
        <f aca="false">MIN($AN$6,AT48+AU48)</f>
        <v>130</v>
      </c>
      <c r="AW48" s="34" t="n">
        <f aca="false">AT48+AU48-AV48</f>
        <v>8715.62654096073</v>
      </c>
      <c r="AX48" s="30" t="n">
        <f aca="false">BC47</f>
        <v>0</v>
      </c>
      <c r="AY48" s="30" t="n">
        <f aca="false">AX48*$AX$5/12</f>
        <v>0</v>
      </c>
      <c r="AZ48" s="30" t="n">
        <f aca="false">MIN($AX$6,AX48+AY48)</f>
        <v>0</v>
      </c>
      <c r="BA48" s="30" t="n">
        <f aca="false">MAX(0,MIN(AR48,AX48+AY48-AZ48))</f>
        <v>0</v>
      </c>
      <c r="BB48" s="29" t="n">
        <f aca="false">AR48-BA48</f>
        <v>0</v>
      </c>
      <c r="BC48" s="30" t="n">
        <f aca="false">AX48+AY48-AZ48-BA48</f>
        <v>0</v>
      </c>
      <c r="BD48" s="30" t="n">
        <f aca="false">BG47</f>
        <v>0</v>
      </c>
      <c r="BE48" s="30" t="n">
        <f aca="false">BD48*$AX$5/12</f>
        <v>0</v>
      </c>
      <c r="BF48" s="30" t="n">
        <f aca="false">MIN($AX$6,BD48+BE48)</f>
        <v>0</v>
      </c>
      <c r="BG48" s="30" t="n">
        <f aca="false">BD48+BE48-BF48</f>
        <v>0</v>
      </c>
      <c r="BH48" s="30" t="n">
        <f aca="false">BM47</f>
        <v>0</v>
      </c>
      <c r="BI48" s="30" t="n">
        <f aca="false">BH48*$BH$5/12</f>
        <v>0</v>
      </c>
      <c r="BJ48" s="30" t="n">
        <f aca="false">MIN($BH$6,BH48+BI48)</f>
        <v>0</v>
      </c>
      <c r="BK48" s="30" t="n">
        <f aca="false">MAX(0,MIN(BB48,BH48+BI48-BJ48))</f>
        <v>0</v>
      </c>
      <c r="BL48" s="29" t="n">
        <f aca="false">BB48-BK48</f>
        <v>0</v>
      </c>
      <c r="BM48" s="30" t="n">
        <f aca="false">BH48+BI48-BJ48-BK48</f>
        <v>0</v>
      </c>
      <c r="BN48" s="30" t="n">
        <f aca="false">BQ47</f>
        <v>0</v>
      </c>
      <c r="BO48" s="30" t="n">
        <f aca="false">BN48*$BH$5/12</f>
        <v>0</v>
      </c>
      <c r="BP48" s="30" t="n">
        <f aca="false">MIN($BH$6,BN48+BO48)</f>
        <v>0</v>
      </c>
      <c r="BQ48" s="30" t="n">
        <f aca="false">BN48+BO48-BP48</f>
        <v>0</v>
      </c>
      <c r="BR48" s="30" t="n">
        <f aca="false">BW47</f>
        <v>0</v>
      </c>
      <c r="BS48" s="30" t="n">
        <f aca="false">BR48*$BR$5/12</f>
        <v>0</v>
      </c>
      <c r="BT48" s="30" t="n">
        <f aca="false">MIN($BR$6,BR48+BS48)</f>
        <v>0</v>
      </c>
      <c r="BU48" s="30" t="n">
        <f aca="false">MAX(0,MIN(BL48,BR48+BS48-BT48))</f>
        <v>0</v>
      </c>
      <c r="BV48" s="29" t="n">
        <f aca="false">BL48-BU48</f>
        <v>0</v>
      </c>
      <c r="BW48" s="30" t="n">
        <f aca="false">BR48+BS48-BT48-BU48</f>
        <v>0</v>
      </c>
      <c r="BX48" s="30" t="n">
        <f aca="false">CA47</f>
        <v>0</v>
      </c>
      <c r="BY48" s="30" t="n">
        <f aca="false">BX48*$BR$5/12</f>
        <v>0</v>
      </c>
      <c r="BZ48" s="30" t="n">
        <f aca="false">MIN($BR$6,BX48+BY48)</f>
        <v>0</v>
      </c>
      <c r="CA48" s="30" t="n">
        <f aca="false">BX48+BY48-BZ48</f>
        <v>0</v>
      </c>
      <c r="CB48" s="30" t="n">
        <f aca="false">CG47</f>
        <v>0</v>
      </c>
      <c r="CC48" s="30" t="n">
        <f aca="false">CB48*$CB$5/12</f>
        <v>0</v>
      </c>
      <c r="CD48" s="30" t="n">
        <f aca="false">MIN($CB$6,CB48+CC48)</f>
        <v>0</v>
      </c>
      <c r="CE48" s="30" t="n">
        <f aca="false">MAX(0,MIN(BV48,CB48+CC48-CD48))</f>
        <v>0</v>
      </c>
      <c r="CF48" s="29" t="n">
        <f aca="false">BV48-CE48</f>
        <v>0</v>
      </c>
      <c r="CG48" s="30" t="n">
        <f aca="false">CB48+CC48-CD48-CE48</f>
        <v>0</v>
      </c>
      <c r="CH48" s="30" t="n">
        <f aca="false">CK47</f>
        <v>0</v>
      </c>
      <c r="CI48" s="30" t="n">
        <f aca="false">CH48*$CB$5/12</f>
        <v>0</v>
      </c>
      <c r="CJ48" s="30" t="n">
        <f aca="false">MIN($CB$6,CH48+CI48)</f>
        <v>0</v>
      </c>
      <c r="CK48" s="30" t="n">
        <f aca="false">CH48+CI48-CJ48</f>
        <v>0</v>
      </c>
    </row>
    <row r="49" customFormat="false" ht="15" hidden="false" customHeight="false" outlineLevel="0" collapsed="false">
      <c r="A49" s="0" t="n">
        <v>41</v>
      </c>
      <c r="B49" s="29" t="n">
        <f aca="false">'1 Your debts'!$B$16-(L49+V49+AF49+AP49+AZ49+BJ49+BT49+CD49)</f>
        <v>560</v>
      </c>
      <c r="C49" s="34" t="n">
        <f aca="false">O49+Y49+AI49+AS49+BC49+BM49+BW49+CG49</f>
        <v>1204.35490199341</v>
      </c>
      <c r="D49" s="34" t="n">
        <f aca="false">K49+U49+AE49+AO49+AY49+BI49+BS49+CC49</f>
        <v>8.64284691909064</v>
      </c>
      <c r="F49" s="34" t="n">
        <f aca="false">S49+AC49+AM49+AW49+BG49+BQ49+CA49+CK49</f>
        <v>12634.1595906238</v>
      </c>
      <c r="G49" s="34" t="n">
        <f aca="false">Q49+AA49+AK49+AU49+BE49+BO49+BY49+CI49</f>
        <v>122.045957332259</v>
      </c>
      <c r="J49" s="34" t="n">
        <f aca="false">O48</f>
        <v>0</v>
      </c>
      <c r="K49" s="34" t="n">
        <f aca="false">J49*$J$5/12</f>
        <v>0</v>
      </c>
      <c r="L49" s="29" t="n">
        <f aca="false">MIN($J$6,J49+K49)</f>
        <v>0</v>
      </c>
      <c r="M49" s="30" t="n">
        <f aca="false">MAX(0,MIN($B49,J49+K49-L49))</f>
        <v>0</v>
      </c>
      <c r="N49" s="29" t="n">
        <f aca="false">$B49-M49</f>
        <v>560</v>
      </c>
      <c r="O49" s="34" t="n">
        <f aca="false">J49+K49-L49-M49</f>
        <v>0</v>
      </c>
      <c r="P49" s="34" t="n">
        <f aca="false">S48</f>
        <v>3121.7010066795</v>
      </c>
      <c r="Q49" s="34" t="n">
        <f aca="false">P49*$J$5/12</f>
        <v>65.0094234641007</v>
      </c>
      <c r="R49" s="29" t="n">
        <f aca="false">MIN($J$6,P49+Q49)</f>
        <v>105</v>
      </c>
      <c r="S49" s="34" t="n">
        <f aca="false">P49+Q49-R49</f>
        <v>3081.71043014361</v>
      </c>
      <c r="T49" s="34" t="n">
        <f aca="false">Y48</f>
        <v>0</v>
      </c>
      <c r="U49" s="34" t="n">
        <f aca="false">T49*$T$5/12</f>
        <v>0</v>
      </c>
      <c r="V49" s="29" t="n">
        <f aca="false">MIN($T$6,T49+U49)</f>
        <v>0</v>
      </c>
      <c r="W49" s="30" t="n">
        <f aca="false">MAX(0,MIN(N49,T49+U49-V49))</f>
        <v>0</v>
      </c>
      <c r="X49" s="29" t="n">
        <f aca="false">N49-W49</f>
        <v>560</v>
      </c>
      <c r="Y49" s="34" t="n">
        <f aca="false">T49+U49-V49-W49</f>
        <v>0</v>
      </c>
      <c r="Z49" s="34" t="n">
        <f aca="false">AC48</f>
        <v>955.951440133213</v>
      </c>
      <c r="AA49" s="34" t="n">
        <f aca="false">Z49*$T$5/12</f>
        <v>15.9245577402191</v>
      </c>
      <c r="AB49" s="29" t="n">
        <f aca="false">MIN($T$6,Z49+AA49)</f>
        <v>45</v>
      </c>
      <c r="AC49" s="34" t="n">
        <f aca="false">Z49+AA49-AB49</f>
        <v>926.875997873432</v>
      </c>
      <c r="AD49" s="34" t="n">
        <f aca="false">AI48</f>
        <v>0</v>
      </c>
      <c r="AE49" s="34" t="n">
        <f aca="false">AD49*$AD$5/12</f>
        <v>0</v>
      </c>
      <c r="AF49" s="29" t="n">
        <f aca="false">MIN($AD$6,AD49+AE49)</f>
        <v>0</v>
      </c>
      <c r="AG49" s="30" t="n">
        <f aca="false">MAX(0,MIN(X49,AD49+AE49-AF49))</f>
        <v>0</v>
      </c>
      <c r="AH49" s="29" t="n">
        <f aca="false">X49-AG49</f>
        <v>560</v>
      </c>
      <c r="AI49" s="34" t="n">
        <f aca="false">AD49+AE49-AF49-AG49</f>
        <v>0</v>
      </c>
      <c r="AJ49" s="34" t="n">
        <f aca="false">AM48</f>
        <v>177.015870663645</v>
      </c>
      <c r="AK49" s="34" t="n">
        <f aca="false">AJ49*$AD$5/12</f>
        <v>1.165354481869</v>
      </c>
      <c r="AL49" s="29" t="n">
        <f aca="false">MIN($AD$6,AJ49+AK49)</f>
        <v>178.181225145514</v>
      </c>
      <c r="AM49" s="34" t="n">
        <f aca="false">AJ49+AK49-AL49</f>
        <v>0</v>
      </c>
      <c r="AN49" s="34" t="n">
        <f aca="false">AS48</f>
        <v>1885.71205507432</v>
      </c>
      <c r="AO49" s="34" t="n">
        <f aca="false">AN49*$AN$5/12</f>
        <v>8.64284691909064</v>
      </c>
      <c r="AP49" s="29" t="n">
        <f aca="false">MIN($AN$6,AN49+AO49)</f>
        <v>130</v>
      </c>
      <c r="AQ49" s="30" t="n">
        <f aca="false">MAX(0,MIN(AH49,AN49+AO49-AP49))</f>
        <v>560</v>
      </c>
      <c r="AR49" s="29" t="n">
        <f aca="false">AH49-AQ49</f>
        <v>0</v>
      </c>
      <c r="AS49" s="34" t="n">
        <f aca="false">AN49+AO49-AP49-AQ49</f>
        <v>1204.35490199341</v>
      </c>
      <c r="AT49" s="34" t="n">
        <f aca="false">AW48</f>
        <v>8715.62654096073</v>
      </c>
      <c r="AU49" s="34" t="n">
        <f aca="false">AT49*$AN$5/12</f>
        <v>39.94662164607</v>
      </c>
      <c r="AV49" s="29" t="n">
        <f aca="false">MIN($AN$6,AT49+AU49)</f>
        <v>130</v>
      </c>
      <c r="AW49" s="34" t="n">
        <f aca="false">AT49+AU49-AV49</f>
        <v>8625.5731626068</v>
      </c>
      <c r="AX49" s="30" t="n">
        <f aca="false">BC48</f>
        <v>0</v>
      </c>
      <c r="AY49" s="30" t="n">
        <f aca="false">AX49*$AX$5/12</f>
        <v>0</v>
      </c>
      <c r="AZ49" s="30" t="n">
        <f aca="false">MIN($AX$6,AX49+AY49)</f>
        <v>0</v>
      </c>
      <c r="BA49" s="30" t="n">
        <f aca="false">MAX(0,MIN(AR49,AX49+AY49-AZ49))</f>
        <v>0</v>
      </c>
      <c r="BB49" s="29" t="n">
        <f aca="false">AR49-BA49</f>
        <v>0</v>
      </c>
      <c r="BC49" s="30" t="n">
        <f aca="false">AX49+AY49-AZ49-BA49</f>
        <v>0</v>
      </c>
      <c r="BD49" s="30" t="n">
        <f aca="false">BG48</f>
        <v>0</v>
      </c>
      <c r="BE49" s="30" t="n">
        <f aca="false">BD49*$AX$5/12</f>
        <v>0</v>
      </c>
      <c r="BF49" s="30" t="n">
        <f aca="false">MIN($AX$6,BD49+BE49)</f>
        <v>0</v>
      </c>
      <c r="BG49" s="30" t="n">
        <f aca="false">BD49+BE49-BF49</f>
        <v>0</v>
      </c>
      <c r="BH49" s="30" t="n">
        <f aca="false">BM48</f>
        <v>0</v>
      </c>
      <c r="BI49" s="30" t="n">
        <f aca="false">BH49*$BH$5/12</f>
        <v>0</v>
      </c>
      <c r="BJ49" s="30" t="n">
        <f aca="false">MIN($BH$6,BH49+BI49)</f>
        <v>0</v>
      </c>
      <c r="BK49" s="30" t="n">
        <f aca="false">MAX(0,MIN(BB49,BH49+BI49-BJ49))</f>
        <v>0</v>
      </c>
      <c r="BL49" s="29" t="n">
        <f aca="false">BB49-BK49</f>
        <v>0</v>
      </c>
      <c r="BM49" s="30" t="n">
        <f aca="false">BH49+BI49-BJ49-BK49</f>
        <v>0</v>
      </c>
      <c r="BN49" s="30" t="n">
        <f aca="false">BQ48</f>
        <v>0</v>
      </c>
      <c r="BO49" s="30" t="n">
        <f aca="false">BN49*$BH$5/12</f>
        <v>0</v>
      </c>
      <c r="BP49" s="30" t="n">
        <f aca="false">MIN($BH$6,BN49+BO49)</f>
        <v>0</v>
      </c>
      <c r="BQ49" s="30" t="n">
        <f aca="false">BN49+BO49-BP49</f>
        <v>0</v>
      </c>
      <c r="BR49" s="30" t="n">
        <f aca="false">BW48</f>
        <v>0</v>
      </c>
      <c r="BS49" s="30" t="n">
        <f aca="false">BR49*$BR$5/12</f>
        <v>0</v>
      </c>
      <c r="BT49" s="30" t="n">
        <f aca="false">MIN($BR$6,BR49+BS49)</f>
        <v>0</v>
      </c>
      <c r="BU49" s="30" t="n">
        <f aca="false">MAX(0,MIN(BL49,BR49+BS49-BT49))</f>
        <v>0</v>
      </c>
      <c r="BV49" s="29" t="n">
        <f aca="false">BL49-BU49</f>
        <v>0</v>
      </c>
      <c r="BW49" s="30" t="n">
        <f aca="false">BR49+BS49-BT49-BU49</f>
        <v>0</v>
      </c>
      <c r="BX49" s="30" t="n">
        <f aca="false">CA48</f>
        <v>0</v>
      </c>
      <c r="BY49" s="30" t="n">
        <f aca="false">BX49*$BR$5/12</f>
        <v>0</v>
      </c>
      <c r="BZ49" s="30" t="n">
        <f aca="false">MIN($BR$6,BX49+BY49)</f>
        <v>0</v>
      </c>
      <c r="CA49" s="30" t="n">
        <f aca="false">BX49+BY49-BZ49</f>
        <v>0</v>
      </c>
      <c r="CB49" s="30" t="n">
        <f aca="false">CG48</f>
        <v>0</v>
      </c>
      <c r="CC49" s="30" t="n">
        <f aca="false">CB49*$CB$5/12</f>
        <v>0</v>
      </c>
      <c r="CD49" s="30" t="n">
        <f aca="false">MIN($CB$6,CB49+CC49)</f>
        <v>0</v>
      </c>
      <c r="CE49" s="30" t="n">
        <f aca="false">MAX(0,MIN(BV49,CB49+CC49-CD49))</f>
        <v>0</v>
      </c>
      <c r="CF49" s="29" t="n">
        <f aca="false">BV49-CE49</f>
        <v>0</v>
      </c>
      <c r="CG49" s="30" t="n">
        <f aca="false">CB49+CC49-CD49-CE49</f>
        <v>0</v>
      </c>
      <c r="CH49" s="30" t="n">
        <f aca="false">CK48</f>
        <v>0</v>
      </c>
      <c r="CI49" s="30" t="n">
        <f aca="false">CH49*$CB$5/12</f>
        <v>0</v>
      </c>
      <c r="CJ49" s="30" t="n">
        <f aca="false">MIN($CB$6,CH49+CI49)</f>
        <v>0</v>
      </c>
      <c r="CK49" s="30" t="n">
        <f aca="false">CH49+CI49-CJ49</f>
        <v>0</v>
      </c>
    </row>
    <row r="50" customFormat="false" ht="15" hidden="false" customHeight="false" outlineLevel="0" collapsed="false">
      <c r="A50" s="0" t="n">
        <v>42</v>
      </c>
      <c r="B50" s="29" t="n">
        <f aca="false">'1 Your debts'!$B$16-(L50+V50+AF50+AP50+AZ50+BJ50+BT50+CD50)</f>
        <v>560</v>
      </c>
      <c r="C50" s="34" t="n">
        <f aca="false">O50+Y50+AI50+AS50+BC50+BM50+BW50+CG50</f>
        <v>519.874861960883</v>
      </c>
      <c r="D50" s="34" t="n">
        <f aca="false">K50+U50+AE50+AO50+AY50+BI50+BS50+CC50</f>
        <v>5.51995996746981</v>
      </c>
      <c r="F50" s="34" t="n">
        <f aca="false">S50+AC50+AM50+AW50+BG50+BQ50+CA50+CK50</f>
        <v>12473.3102966581</v>
      </c>
      <c r="G50" s="34" t="n">
        <f aca="false">Q50+AA50+AK50+AU50+BE50+BO50+BY50+CI50</f>
        <v>119.150706034263</v>
      </c>
      <c r="J50" s="34" t="n">
        <f aca="false">O49</f>
        <v>0</v>
      </c>
      <c r="K50" s="34" t="n">
        <f aca="false">J50*$J$5/12</f>
        <v>0</v>
      </c>
      <c r="L50" s="29" t="n">
        <f aca="false">MIN($J$6,J50+K50)</f>
        <v>0</v>
      </c>
      <c r="M50" s="30" t="n">
        <f aca="false">MAX(0,MIN($B50,J50+K50-L50))</f>
        <v>0</v>
      </c>
      <c r="N50" s="29" t="n">
        <f aca="false">$B50-M50</f>
        <v>560</v>
      </c>
      <c r="O50" s="34" t="n">
        <f aca="false">J50+K50-L50-M50</f>
        <v>0</v>
      </c>
      <c r="P50" s="34" t="n">
        <f aca="false">S49</f>
        <v>3081.71043014361</v>
      </c>
      <c r="Q50" s="34" t="n">
        <f aca="false">P50*$J$5/12</f>
        <v>64.1766197077406</v>
      </c>
      <c r="R50" s="29" t="n">
        <f aca="false">MIN($J$6,P50+Q50)</f>
        <v>105</v>
      </c>
      <c r="S50" s="34" t="n">
        <f aca="false">P50+Q50-R50</f>
        <v>3040.88704985135</v>
      </c>
      <c r="T50" s="34" t="n">
        <f aca="false">Y49</f>
        <v>0</v>
      </c>
      <c r="U50" s="34" t="n">
        <f aca="false">T50*$T$5/12</f>
        <v>0</v>
      </c>
      <c r="V50" s="29" t="n">
        <f aca="false">MIN($T$6,T50+U50)</f>
        <v>0</v>
      </c>
      <c r="W50" s="30" t="n">
        <f aca="false">MAX(0,MIN(N50,T50+U50-V50))</f>
        <v>0</v>
      </c>
      <c r="X50" s="29" t="n">
        <f aca="false">N50-W50</f>
        <v>560</v>
      </c>
      <c r="Y50" s="34" t="n">
        <f aca="false">T50+U50-V50-W50</f>
        <v>0</v>
      </c>
      <c r="Z50" s="34" t="n">
        <f aca="false">AC49</f>
        <v>926.875997873432</v>
      </c>
      <c r="AA50" s="34" t="n">
        <f aca="false">Z50*$T$5/12</f>
        <v>15.4402093312416</v>
      </c>
      <c r="AB50" s="29" t="n">
        <f aca="false">MIN($T$6,Z50+AA50)</f>
        <v>45</v>
      </c>
      <c r="AC50" s="34" t="n">
        <f aca="false">Z50+AA50-AB50</f>
        <v>897.316207204673</v>
      </c>
      <c r="AD50" s="34" t="n">
        <f aca="false">AI49</f>
        <v>0</v>
      </c>
      <c r="AE50" s="34" t="n">
        <f aca="false">AD50*$AD$5/12</f>
        <v>0</v>
      </c>
      <c r="AF50" s="29" t="n">
        <f aca="false">MIN($AD$6,AD50+AE50)</f>
        <v>0</v>
      </c>
      <c r="AG50" s="30" t="n">
        <f aca="false">MAX(0,MIN(X50,AD50+AE50-AF50))</f>
        <v>0</v>
      </c>
      <c r="AH50" s="29" t="n">
        <f aca="false">X50-AG50</f>
        <v>560</v>
      </c>
      <c r="AI50" s="34" t="n">
        <f aca="false">AD50+AE50-AF50-AG50</f>
        <v>0</v>
      </c>
      <c r="AJ50" s="34" t="n">
        <f aca="false">AM49</f>
        <v>0</v>
      </c>
      <c r="AK50" s="34" t="n">
        <f aca="false">AJ50*$AD$5/12</f>
        <v>0</v>
      </c>
      <c r="AL50" s="29" t="n">
        <f aca="false">MIN($AD$6,AJ50+AK50)</f>
        <v>0</v>
      </c>
      <c r="AM50" s="34" t="n">
        <f aca="false">AJ50+AK50-AL50</f>
        <v>0</v>
      </c>
      <c r="AN50" s="34" t="n">
        <f aca="false">AS49</f>
        <v>1204.35490199341</v>
      </c>
      <c r="AO50" s="34" t="n">
        <f aca="false">AN50*$AN$5/12</f>
        <v>5.51995996746981</v>
      </c>
      <c r="AP50" s="29" t="n">
        <f aca="false">MIN($AN$6,AN50+AO50)</f>
        <v>130</v>
      </c>
      <c r="AQ50" s="30" t="n">
        <f aca="false">MAX(0,MIN(AH50,AN50+AO50-AP50))</f>
        <v>560</v>
      </c>
      <c r="AR50" s="29" t="n">
        <f aca="false">AH50-AQ50</f>
        <v>0</v>
      </c>
      <c r="AS50" s="34" t="n">
        <f aca="false">AN50+AO50-AP50-AQ50</f>
        <v>519.874861960883</v>
      </c>
      <c r="AT50" s="34" t="n">
        <f aca="false">AW49</f>
        <v>8625.5731626068</v>
      </c>
      <c r="AU50" s="34" t="n">
        <f aca="false">AT50*$AN$5/12</f>
        <v>39.5338769952812</v>
      </c>
      <c r="AV50" s="29" t="n">
        <f aca="false">MIN($AN$6,AT50+AU50)</f>
        <v>130</v>
      </c>
      <c r="AW50" s="34" t="n">
        <f aca="false">AT50+AU50-AV50</f>
        <v>8535.10703960208</v>
      </c>
      <c r="AX50" s="30" t="n">
        <f aca="false">BC49</f>
        <v>0</v>
      </c>
      <c r="AY50" s="30" t="n">
        <f aca="false">AX50*$AX$5/12</f>
        <v>0</v>
      </c>
      <c r="AZ50" s="30" t="n">
        <f aca="false">MIN($AX$6,AX50+AY50)</f>
        <v>0</v>
      </c>
      <c r="BA50" s="30" t="n">
        <f aca="false">MAX(0,MIN(AR50,AX50+AY50-AZ50))</f>
        <v>0</v>
      </c>
      <c r="BB50" s="29" t="n">
        <f aca="false">AR50-BA50</f>
        <v>0</v>
      </c>
      <c r="BC50" s="30" t="n">
        <f aca="false">AX50+AY50-AZ50-BA50</f>
        <v>0</v>
      </c>
      <c r="BD50" s="30" t="n">
        <f aca="false">BG49</f>
        <v>0</v>
      </c>
      <c r="BE50" s="30" t="n">
        <f aca="false">BD50*$AX$5/12</f>
        <v>0</v>
      </c>
      <c r="BF50" s="30" t="n">
        <f aca="false">MIN($AX$6,BD50+BE50)</f>
        <v>0</v>
      </c>
      <c r="BG50" s="30" t="n">
        <f aca="false">BD50+BE50-BF50</f>
        <v>0</v>
      </c>
      <c r="BH50" s="30" t="n">
        <f aca="false">BM49</f>
        <v>0</v>
      </c>
      <c r="BI50" s="30" t="n">
        <f aca="false">BH50*$BH$5/12</f>
        <v>0</v>
      </c>
      <c r="BJ50" s="30" t="n">
        <f aca="false">MIN($BH$6,BH50+BI50)</f>
        <v>0</v>
      </c>
      <c r="BK50" s="30" t="n">
        <f aca="false">MAX(0,MIN(BB50,BH50+BI50-BJ50))</f>
        <v>0</v>
      </c>
      <c r="BL50" s="29" t="n">
        <f aca="false">BB50-BK50</f>
        <v>0</v>
      </c>
      <c r="BM50" s="30" t="n">
        <f aca="false">BH50+BI50-BJ50-BK50</f>
        <v>0</v>
      </c>
      <c r="BN50" s="30" t="n">
        <f aca="false">BQ49</f>
        <v>0</v>
      </c>
      <c r="BO50" s="30" t="n">
        <f aca="false">BN50*$BH$5/12</f>
        <v>0</v>
      </c>
      <c r="BP50" s="30" t="n">
        <f aca="false">MIN($BH$6,BN50+BO50)</f>
        <v>0</v>
      </c>
      <c r="BQ50" s="30" t="n">
        <f aca="false">BN50+BO50-BP50</f>
        <v>0</v>
      </c>
      <c r="BR50" s="30" t="n">
        <f aca="false">BW49</f>
        <v>0</v>
      </c>
      <c r="BS50" s="30" t="n">
        <f aca="false">BR50*$BR$5/12</f>
        <v>0</v>
      </c>
      <c r="BT50" s="30" t="n">
        <f aca="false">MIN($BR$6,BR50+BS50)</f>
        <v>0</v>
      </c>
      <c r="BU50" s="30" t="n">
        <f aca="false">MAX(0,MIN(BL50,BR50+BS50-BT50))</f>
        <v>0</v>
      </c>
      <c r="BV50" s="29" t="n">
        <f aca="false">BL50-BU50</f>
        <v>0</v>
      </c>
      <c r="BW50" s="30" t="n">
        <f aca="false">BR50+BS50-BT50-BU50</f>
        <v>0</v>
      </c>
      <c r="BX50" s="30" t="n">
        <f aca="false">CA49</f>
        <v>0</v>
      </c>
      <c r="BY50" s="30" t="n">
        <f aca="false">BX50*$BR$5/12</f>
        <v>0</v>
      </c>
      <c r="BZ50" s="30" t="n">
        <f aca="false">MIN($BR$6,BX50+BY50)</f>
        <v>0</v>
      </c>
      <c r="CA50" s="30" t="n">
        <f aca="false">BX50+BY50-BZ50</f>
        <v>0</v>
      </c>
      <c r="CB50" s="30" t="n">
        <f aca="false">CG49</f>
        <v>0</v>
      </c>
      <c r="CC50" s="30" t="n">
        <f aca="false">CB50*$CB$5/12</f>
        <v>0</v>
      </c>
      <c r="CD50" s="30" t="n">
        <f aca="false">MIN($CB$6,CB50+CC50)</f>
        <v>0</v>
      </c>
      <c r="CE50" s="30" t="n">
        <f aca="false">MAX(0,MIN(BV50,CB50+CC50-CD50))</f>
        <v>0</v>
      </c>
      <c r="CF50" s="29" t="n">
        <f aca="false">BV50-CE50</f>
        <v>0</v>
      </c>
      <c r="CG50" s="30" t="n">
        <f aca="false">CB50+CC50-CD50-CE50</f>
        <v>0</v>
      </c>
      <c r="CH50" s="30" t="n">
        <f aca="false">CK49</f>
        <v>0</v>
      </c>
      <c r="CI50" s="30" t="n">
        <f aca="false">CH50*$CB$5/12</f>
        <v>0</v>
      </c>
      <c r="CJ50" s="30" t="n">
        <f aca="false">MIN($CB$6,CH50+CI50)</f>
        <v>0</v>
      </c>
      <c r="CK50" s="30" t="n">
        <f aca="false">CH50+CI50-CJ50</f>
        <v>0</v>
      </c>
    </row>
    <row r="51" customFormat="false" ht="15" hidden="false" customHeight="false" outlineLevel="0" collapsed="false">
      <c r="A51" s="0" t="n">
        <v>43</v>
      </c>
      <c r="B51" s="29" t="n">
        <f aca="false">'1 Your debts'!$B$16-(L51+V51+AF51+AP51+AZ51+BJ51+BT51+CD51)</f>
        <v>560</v>
      </c>
      <c r="C51" s="34" t="n">
        <f aca="false">O51+Y51+AI51+AS51+BC51+BM51+BW51+CG51</f>
        <v>0</v>
      </c>
      <c r="D51" s="34" t="n">
        <f aca="false">K51+U51+AE51+AO51+AY51+BI51+BS51+CC51</f>
        <v>2.38275978398738</v>
      </c>
      <c r="F51" s="34" t="n">
        <f aca="false">S51+AC51+AM51+AW51+BG51+BQ51+CA51+CK51</f>
        <v>12310.7038025545</v>
      </c>
      <c r="G51" s="34" t="n">
        <f aca="false">Q51+AA51+AK51+AU51+BE51+BO51+BY51+CI51</f>
        <v>117.393505896348</v>
      </c>
      <c r="J51" s="34" t="n">
        <f aca="false">O50</f>
        <v>0</v>
      </c>
      <c r="K51" s="34" t="n">
        <f aca="false">J51*$J$5/12</f>
        <v>0</v>
      </c>
      <c r="L51" s="29" t="n">
        <f aca="false">MIN($J$6,J51+K51)</f>
        <v>0</v>
      </c>
      <c r="M51" s="30" t="n">
        <f aca="false">MAX(0,MIN($B51,J51+K51-L51))</f>
        <v>0</v>
      </c>
      <c r="N51" s="29" t="n">
        <f aca="false">$B51-M51</f>
        <v>560</v>
      </c>
      <c r="O51" s="34" t="n">
        <f aca="false">J51+K51-L51-M51</f>
        <v>0</v>
      </c>
      <c r="P51" s="34" t="n">
        <f aca="false">S50</f>
        <v>3040.88704985135</v>
      </c>
      <c r="Q51" s="34" t="n">
        <f aca="false">P51*$J$5/12</f>
        <v>63.3264728131543</v>
      </c>
      <c r="R51" s="29" t="n">
        <f aca="false">MIN($J$6,P51+Q51)</f>
        <v>105</v>
      </c>
      <c r="S51" s="34" t="n">
        <f aca="false">P51+Q51-R51</f>
        <v>2999.2135226645</v>
      </c>
      <c r="T51" s="34" t="n">
        <f aca="false">Y50</f>
        <v>0</v>
      </c>
      <c r="U51" s="34" t="n">
        <f aca="false">T51*$T$5/12</f>
        <v>0</v>
      </c>
      <c r="V51" s="29" t="n">
        <f aca="false">MIN($T$6,T51+U51)</f>
        <v>0</v>
      </c>
      <c r="W51" s="30" t="n">
        <f aca="false">MAX(0,MIN(N51,T51+U51-V51))</f>
        <v>0</v>
      </c>
      <c r="X51" s="29" t="n">
        <f aca="false">N51-W51</f>
        <v>560</v>
      </c>
      <c r="Y51" s="34" t="n">
        <f aca="false">T51+U51-V51-W51</f>
        <v>0</v>
      </c>
      <c r="Z51" s="34" t="n">
        <f aca="false">AC50</f>
        <v>897.316207204673</v>
      </c>
      <c r="AA51" s="34" t="n">
        <f aca="false">Z51*$T$5/12</f>
        <v>14.9477924850179</v>
      </c>
      <c r="AB51" s="29" t="n">
        <f aca="false">MIN($T$6,Z51+AA51)</f>
        <v>45</v>
      </c>
      <c r="AC51" s="34" t="n">
        <f aca="false">Z51+AA51-AB51</f>
        <v>867.263999689691</v>
      </c>
      <c r="AD51" s="34" t="n">
        <f aca="false">AI50</f>
        <v>0</v>
      </c>
      <c r="AE51" s="34" t="n">
        <f aca="false">AD51*$AD$5/12</f>
        <v>0</v>
      </c>
      <c r="AF51" s="29" t="n">
        <f aca="false">MIN($AD$6,AD51+AE51)</f>
        <v>0</v>
      </c>
      <c r="AG51" s="30" t="n">
        <f aca="false">MAX(0,MIN(X51,AD51+AE51-AF51))</f>
        <v>0</v>
      </c>
      <c r="AH51" s="29" t="n">
        <f aca="false">X51-AG51</f>
        <v>560</v>
      </c>
      <c r="AI51" s="34" t="n">
        <f aca="false">AD51+AE51-AF51-AG51</f>
        <v>0</v>
      </c>
      <c r="AJ51" s="34" t="n">
        <f aca="false">AM50</f>
        <v>0</v>
      </c>
      <c r="AK51" s="34" t="n">
        <f aca="false">AJ51*$AD$5/12</f>
        <v>0</v>
      </c>
      <c r="AL51" s="29" t="n">
        <f aca="false">MIN($AD$6,AJ51+AK51)</f>
        <v>0</v>
      </c>
      <c r="AM51" s="34" t="n">
        <f aca="false">AJ51+AK51-AL51</f>
        <v>0</v>
      </c>
      <c r="AN51" s="34" t="n">
        <f aca="false">AS50</f>
        <v>519.874861960883</v>
      </c>
      <c r="AO51" s="34" t="n">
        <f aca="false">AN51*$AN$5/12</f>
        <v>2.38275978398738</v>
      </c>
      <c r="AP51" s="29" t="n">
        <f aca="false">MIN($AN$6,AN51+AO51)</f>
        <v>130</v>
      </c>
      <c r="AQ51" s="30" t="n">
        <f aca="false">MAX(0,MIN(AH51,AN51+AO51-AP51))</f>
        <v>392.25762174487</v>
      </c>
      <c r="AR51" s="29" t="n">
        <f aca="false">AH51-AQ51</f>
        <v>167.74237825513</v>
      </c>
      <c r="AS51" s="34" t="n">
        <f aca="false">AN51+AO51-AP51-AQ51</f>
        <v>0</v>
      </c>
      <c r="AT51" s="34" t="n">
        <f aca="false">AW50</f>
        <v>8535.10703960208</v>
      </c>
      <c r="AU51" s="34" t="n">
        <f aca="false">AT51*$AN$5/12</f>
        <v>39.1192405981762</v>
      </c>
      <c r="AV51" s="29" t="n">
        <f aca="false">MIN($AN$6,AT51+AU51)</f>
        <v>130</v>
      </c>
      <c r="AW51" s="34" t="n">
        <f aca="false">AT51+AU51-AV51</f>
        <v>8444.22628020026</v>
      </c>
      <c r="AX51" s="30" t="n">
        <f aca="false">BC50</f>
        <v>0</v>
      </c>
      <c r="AY51" s="30" t="n">
        <f aca="false">AX51*$AX$5/12</f>
        <v>0</v>
      </c>
      <c r="AZ51" s="30" t="n">
        <f aca="false">MIN($AX$6,AX51+AY51)</f>
        <v>0</v>
      </c>
      <c r="BA51" s="30" t="n">
        <f aca="false">MAX(0,MIN(AR51,AX51+AY51-AZ51))</f>
        <v>0</v>
      </c>
      <c r="BB51" s="29" t="n">
        <f aca="false">AR51-BA51</f>
        <v>167.74237825513</v>
      </c>
      <c r="BC51" s="30" t="n">
        <f aca="false">AX51+AY51-AZ51-BA51</f>
        <v>0</v>
      </c>
      <c r="BD51" s="30" t="n">
        <f aca="false">BG50</f>
        <v>0</v>
      </c>
      <c r="BE51" s="30" t="n">
        <f aca="false">BD51*$AX$5/12</f>
        <v>0</v>
      </c>
      <c r="BF51" s="30" t="n">
        <f aca="false">MIN($AX$6,BD51+BE51)</f>
        <v>0</v>
      </c>
      <c r="BG51" s="30" t="n">
        <f aca="false">BD51+BE51-BF51</f>
        <v>0</v>
      </c>
      <c r="BH51" s="30" t="n">
        <f aca="false">BM50</f>
        <v>0</v>
      </c>
      <c r="BI51" s="30" t="n">
        <f aca="false">BH51*$BH$5/12</f>
        <v>0</v>
      </c>
      <c r="BJ51" s="30" t="n">
        <f aca="false">MIN($BH$6,BH51+BI51)</f>
        <v>0</v>
      </c>
      <c r="BK51" s="30" t="n">
        <f aca="false">MAX(0,MIN(BB51,BH51+BI51-BJ51))</f>
        <v>0</v>
      </c>
      <c r="BL51" s="29" t="n">
        <f aca="false">BB51-BK51</f>
        <v>167.74237825513</v>
      </c>
      <c r="BM51" s="30" t="n">
        <f aca="false">BH51+BI51-BJ51-BK51</f>
        <v>0</v>
      </c>
      <c r="BN51" s="30" t="n">
        <f aca="false">BQ50</f>
        <v>0</v>
      </c>
      <c r="BO51" s="30" t="n">
        <f aca="false">BN51*$BH$5/12</f>
        <v>0</v>
      </c>
      <c r="BP51" s="30" t="n">
        <f aca="false">MIN($BH$6,BN51+BO51)</f>
        <v>0</v>
      </c>
      <c r="BQ51" s="30" t="n">
        <f aca="false">BN51+BO51-BP51</f>
        <v>0</v>
      </c>
      <c r="BR51" s="30" t="n">
        <f aca="false">BW50</f>
        <v>0</v>
      </c>
      <c r="BS51" s="30" t="n">
        <f aca="false">BR51*$BR$5/12</f>
        <v>0</v>
      </c>
      <c r="BT51" s="30" t="n">
        <f aca="false">MIN($BR$6,BR51+BS51)</f>
        <v>0</v>
      </c>
      <c r="BU51" s="30" t="n">
        <f aca="false">MAX(0,MIN(BL51,BR51+BS51-BT51))</f>
        <v>0</v>
      </c>
      <c r="BV51" s="29" t="n">
        <f aca="false">BL51-BU51</f>
        <v>167.74237825513</v>
      </c>
      <c r="BW51" s="30" t="n">
        <f aca="false">BR51+BS51-BT51-BU51</f>
        <v>0</v>
      </c>
      <c r="BX51" s="30" t="n">
        <f aca="false">CA50</f>
        <v>0</v>
      </c>
      <c r="BY51" s="30" t="n">
        <f aca="false">BX51*$BR$5/12</f>
        <v>0</v>
      </c>
      <c r="BZ51" s="30" t="n">
        <f aca="false">MIN($BR$6,BX51+BY51)</f>
        <v>0</v>
      </c>
      <c r="CA51" s="30" t="n">
        <f aca="false">BX51+BY51-BZ51</f>
        <v>0</v>
      </c>
      <c r="CB51" s="30" t="n">
        <f aca="false">CG50</f>
        <v>0</v>
      </c>
      <c r="CC51" s="30" t="n">
        <f aca="false">CB51*$CB$5/12</f>
        <v>0</v>
      </c>
      <c r="CD51" s="30" t="n">
        <f aca="false">MIN($CB$6,CB51+CC51)</f>
        <v>0</v>
      </c>
      <c r="CE51" s="30" t="n">
        <f aca="false">MAX(0,MIN(BV51,CB51+CC51-CD51))</f>
        <v>0</v>
      </c>
      <c r="CF51" s="29" t="n">
        <f aca="false">BV51-CE51</f>
        <v>167.74237825513</v>
      </c>
      <c r="CG51" s="30" t="n">
        <f aca="false">CB51+CC51-CD51-CE51</f>
        <v>0</v>
      </c>
      <c r="CH51" s="30" t="n">
        <f aca="false">CK50</f>
        <v>0</v>
      </c>
      <c r="CI51" s="30" t="n">
        <f aca="false">CH51*$CB$5/12</f>
        <v>0</v>
      </c>
      <c r="CJ51" s="30" t="n">
        <f aca="false">MIN($CB$6,CH51+CI51)</f>
        <v>0</v>
      </c>
      <c r="CK51" s="30" t="n">
        <f aca="false">CH51+CI51-CJ51</f>
        <v>0</v>
      </c>
    </row>
    <row r="52" customFormat="false" ht="15" hidden="false" customHeight="false" outlineLevel="0" collapsed="false">
      <c r="A52" s="0" t="n">
        <v>44</v>
      </c>
      <c r="B52" s="29" t="n">
        <f aca="false">'1 Your debts'!$B$16-(L52+V52+AF52+AP52+AZ52+BJ52+BT52+CD52)</f>
        <v>690</v>
      </c>
      <c r="C52" s="34" t="n">
        <f aca="false">O52+Y52+AI52+AS52+BC52+BM52+BW52+CG52</f>
        <v>0</v>
      </c>
      <c r="D52" s="34" t="n">
        <f aca="false">K52+U52+AE52+AO52+AY52+BI52+BS52+CC52</f>
        <v>0</v>
      </c>
      <c r="F52" s="34" t="n">
        <f aca="false">S52+AC52+AM52+AW52+BG52+BQ52+CA52+CK52</f>
        <v>12146.312300743</v>
      </c>
      <c r="G52" s="34" t="n">
        <f aca="false">Q52+AA52+AK52+AU52+BE52+BO52+BY52+CI52</f>
        <v>115.60849818857</v>
      </c>
      <c r="J52" s="34" t="n">
        <f aca="false">O51</f>
        <v>0</v>
      </c>
      <c r="K52" s="34" t="n">
        <f aca="false">J52*$J$5/12</f>
        <v>0</v>
      </c>
      <c r="L52" s="29" t="n">
        <f aca="false">MIN($J$6,J52+K52)</f>
        <v>0</v>
      </c>
      <c r="M52" s="30" t="n">
        <f aca="false">MAX(0,MIN($B52,J52+K52-L52))</f>
        <v>0</v>
      </c>
      <c r="N52" s="29" t="n">
        <f aca="false">$B52-M52</f>
        <v>690</v>
      </c>
      <c r="O52" s="34" t="n">
        <f aca="false">J52+K52-L52-M52</f>
        <v>0</v>
      </c>
      <c r="P52" s="34" t="n">
        <f aca="false">S51</f>
        <v>2999.2135226645</v>
      </c>
      <c r="Q52" s="34" t="n">
        <f aca="false">P52*$J$5/12</f>
        <v>62.4586216094882</v>
      </c>
      <c r="R52" s="29" t="n">
        <f aca="false">MIN($J$6,P52+Q52)</f>
        <v>105</v>
      </c>
      <c r="S52" s="34" t="n">
        <f aca="false">P52+Q52-R52</f>
        <v>2956.67214427399</v>
      </c>
      <c r="T52" s="34" t="n">
        <f aca="false">Y51</f>
        <v>0</v>
      </c>
      <c r="U52" s="34" t="n">
        <f aca="false">T52*$T$5/12</f>
        <v>0</v>
      </c>
      <c r="V52" s="29" t="n">
        <f aca="false">MIN($T$6,T52+U52)</f>
        <v>0</v>
      </c>
      <c r="W52" s="30" t="n">
        <f aca="false">MAX(0,MIN(N52,T52+U52-V52))</f>
        <v>0</v>
      </c>
      <c r="X52" s="29" t="n">
        <f aca="false">N52-W52</f>
        <v>690</v>
      </c>
      <c r="Y52" s="34" t="n">
        <f aca="false">T52+U52-V52-W52</f>
        <v>0</v>
      </c>
      <c r="Z52" s="34" t="n">
        <f aca="false">AC51</f>
        <v>867.263999689691</v>
      </c>
      <c r="AA52" s="34" t="n">
        <f aca="false">Z52*$T$5/12</f>
        <v>14.4471727948308</v>
      </c>
      <c r="AB52" s="29" t="n">
        <f aca="false">MIN($T$6,Z52+AA52)</f>
        <v>45</v>
      </c>
      <c r="AC52" s="34" t="n">
        <f aca="false">Z52+AA52-AB52</f>
        <v>836.711172484522</v>
      </c>
      <c r="AD52" s="34" t="n">
        <f aca="false">AI51</f>
        <v>0</v>
      </c>
      <c r="AE52" s="34" t="n">
        <f aca="false">AD52*$AD$5/12</f>
        <v>0</v>
      </c>
      <c r="AF52" s="29" t="n">
        <f aca="false">MIN($AD$6,AD52+AE52)</f>
        <v>0</v>
      </c>
      <c r="AG52" s="30" t="n">
        <f aca="false">MAX(0,MIN(X52,AD52+AE52-AF52))</f>
        <v>0</v>
      </c>
      <c r="AH52" s="29" t="n">
        <f aca="false">X52-AG52</f>
        <v>690</v>
      </c>
      <c r="AI52" s="34" t="n">
        <f aca="false">AD52+AE52-AF52-AG52</f>
        <v>0</v>
      </c>
      <c r="AJ52" s="34" t="n">
        <f aca="false">AM51</f>
        <v>0</v>
      </c>
      <c r="AK52" s="34" t="n">
        <f aca="false">AJ52*$AD$5/12</f>
        <v>0</v>
      </c>
      <c r="AL52" s="29" t="n">
        <f aca="false">MIN($AD$6,AJ52+AK52)</f>
        <v>0</v>
      </c>
      <c r="AM52" s="34" t="n">
        <f aca="false">AJ52+AK52-AL52</f>
        <v>0</v>
      </c>
      <c r="AN52" s="34" t="n">
        <f aca="false">AS51</f>
        <v>0</v>
      </c>
      <c r="AO52" s="34" t="n">
        <f aca="false">AN52*$AN$5/12</f>
        <v>0</v>
      </c>
      <c r="AP52" s="29" t="n">
        <f aca="false">MIN($AN$6,AN52+AO52)</f>
        <v>0</v>
      </c>
      <c r="AQ52" s="30" t="n">
        <f aca="false">MAX(0,MIN(AH52,AN52+AO52-AP52))</f>
        <v>0</v>
      </c>
      <c r="AR52" s="29" t="n">
        <f aca="false">AH52-AQ52</f>
        <v>690</v>
      </c>
      <c r="AS52" s="34" t="n">
        <f aca="false">AN52+AO52-AP52-AQ52</f>
        <v>0</v>
      </c>
      <c r="AT52" s="34" t="n">
        <f aca="false">AW51</f>
        <v>8444.22628020026</v>
      </c>
      <c r="AU52" s="34" t="n">
        <f aca="false">AT52*$AN$5/12</f>
        <v>38.7027037842512</v>
      </c>
      <c r="AV52" s="29" t="n">
        <f aca="false">MIN($AN$6,AT52+AU52)</f>
        <v>130</v>
      </c>
      <c r="AW52" s="34" t="n">
        <f aca="false">AT52+AU52-AV52</f>
        <v>8352.92898398451</v>
      </c>
      <c r="AX52" s="30" t="n">
        <f aca="false">BC51</f>
        <v>0</v>
      </c>
      <c r="AY52" s="30" t="n">
        <f aca="false">AX52*$AX$5/12</f>
        <v>0</v>
      </c>
      <c r="AZ52" s="30" t="n">
        <f aca="false">MIN($AX$6,AX52+AY52)</f>
        <v>0</v>
      </c>
      <c r="BA52" s="30" t="n">
        <f aca="false">MAX(0,MIN(AR52,AX52+AY52-AZ52))</f>
        <v>0</v>
      </c>
      <c r="BB52" s="29" t="n">
        <f aca="false">AR52-BA52</f>
        <v>690</v>
      </c>
      <c r="BC52" s="30" t="n">
        <f aca="false">AX52+AY52-AZ52-BA52</f>
        <v>0</v>
      </c>
      <c r="BD52" s="30" t="n">
        <f aca="false">BG51</f>
        <v>0</v>
      </c>
      <c r="BE52" s="30" t="n">
        <f aca="false">BD52*$AX$5/12</f>
        <v>0</v>
      </c>
      <c r="BF52" s="30" t="n">
        <f aca="false">MIN($AX$6,BD52+BE52)</f>
        <v>0</v>
      </c>
      <c r="BG52" s="30" t="n">
        <f aca="false">BD52+BE52-BF52</f>
        <v>0</v>
      </c>
      <c r="BH52" s="30" t="n">
        <f aca="false">BM51</f>
        <v>0</v>
      </c>
      <c r="BI52" s="30" t="n">
        <f aca="false">BH52*$BH$5/12</f>
        <v>0</v>
      </c>
      <c r="BJ52" s="30" t="n">
        <f aca="false">MIN($BH$6,BH52+BI52)</f>
        <v>0</v>
      </c>
      <c r="BK52" s="30" t="n">
        <f aca="false">MAX(0,MIN(BB52,BH52+BI52-BJ52))</f>
        <v>0</v>
      </c>
      <c r="BL52" s="29" t="n">
        <f aca="false">BB52-BK52</f>
        <v>690</v>
      </c>
      <c r="BM52" s="30" t="n">
        <f aca="false">BH52+BI52-BJ52-BK52</f>
        <v>0</v>
      </c>
      <c r="BN52" s="30" t="n">
        <f aca="false">BQ51</f>
        <v>0</v>
      </c>
      <c r="BO52" s="30" t="n">
        <f aca="false">BN52*$BH$5/12</f>
        <v>0</v>
      </c>
      <c r="BP52" s="30" t="n">
        <f aca="false">MIN($BH$6,BN52+BO52)</f>
        <v>0</v>
      </c>
      <c r="BQ52" s="30" t="n">
        <f aca="false">BN52+BO52-BP52</f>
        <v>0</v>
      </c>
      <c r="BR52" s="30" t="n">
        <f aca="false">BW51</f>
        <v>0</v>
      </c>
      <c r="BS52" s="30" t="n">
        <f aca="false">BR52*$BR$5/12</f>
        <v>0</v>
      </c>
      <c r="BT52" s="30" t="n">
        <f aca="false">MIN($BR$6,BR52+BS52)</f>
        <v>0</v>
      </c>
      <c r="BU52" s="30" t="n">
        <f aca="false">MAX(0,MIN(BL52,BR52+BS52-BT52))</f>
        <v>0</v>
      </c>
      <c r="BV52" s="29" t="n">
        <f aca="false">BL52-BU52</f>
        <v>690</v>
      </c>
      <c r="BW52" s="30" t="n">
        <f aca="false">BR52+BS52-BT52-BU52</f>
        <v>0</v>
      </c>
      <c r="BX52" s="30" t="n">
        <f aca="false">CA51</f>
        <v>0</v>
      </c>
      <c r="BY52" s="30" t="n">
        <f aca="false">BX52*$BR$5/12</f>
        <v>0</v>
      </c>
      <c r="BZ52" s="30" t="n">
        <f aca="false">MIN($BR$6,BX52+BY52)</f>
        <v>0</v>
      </c>
      <c r="CA52" s="30" t="n">
        <f aca="false">BX52+BY52-BZ52</f>
        <v>0</v>
      </c>
      <c r="CB52" s="30" t="n">
        <f aca="false">CG51</f>
        <v>0</v>
      </c>
      <c r="CC52" s="30" t="n">
        <f aca="false">CB52*$CB$5/12</f>
        <v>0</v>
      </c>
      <c r="CD52" s="30" t="n">
        <f aca="false">MIN($CB$6,CB52+CC52)</f>
        <v>0</v>
      </c>
      <c r="CE52" s="30" t="n">
        <f aca="false">MAX(0,MIN(BV52,CB52+CC52-CD52))</f>
        <v>0</v>
      </c>
      <c r="CF52" s="29" t="n">
        <f aca="false">BV52-CE52</f>
        <v>690</v>
      </c>
      <c r="CG52" s="30" t="n">
        <f aca="false">CB52+CC52-CD52-CE52</f>
        <v>0</v>
      </c>
      <c r="CH52" s="30" t="n">
        <f aca="false">CK51</f>
        <v>0</v>
      </c>
      <c r="CI52" s="30" t="n">
        <f aca="false">CH52*$CB$5/12</f>
        <v>0</v>
      </c>
      <c r="CJ52" s="30" t="n">
        <f aca="false">MIN($CB$6,CH52+CI52)</f>
        <v>0</v>
      </c>
      <c r="CK52" s="30" t="n">
        <f aca="false">CH52+CI52-CJ52</f>
        <v>0</v>
      </c>
    </row>
    <row r="53" customFormat="false" ht="15" hidden="false" customHeight="false" outlineLevel="0" collapsed="false">
      <c r="A53" s="0" t="n">
        <v>45</v>
      </c>
      <c r="B53" s="29" t="n">
        <f aca="false">'1 Your debts'!$B$16-(L53+V53+AF53+AP53+AZ53+BJ53+BT53+CD53)</f>
        <v>690</v>
      </c>
      <c r="C53" s="34" t="n">
        <f aca="false">O53+Y53+AI53+AS53+BC53+BM53+BW53+CG53</f>
        <v>0</v>
      </c>
      <c r="D53" s="34" t="n">
        <f aca="false">K53+U53+AE53+AO53+AY53+BI53+BS53+CC53</f>
        <v>0</v>
      </c>
      <c r="F53" s="34" t="n">
        <f aca="false">S53+AC53+AM53+AW53+BG53+BQ53+CA53+CK53</f>
        <v>11980.1074696058</v>
      </c>
      <c r="G53" s="34" t="n">
        <f aca="false">Q53+AA53+AK53+AU53+BE53+BO53+BY53+CI53</f>
        <v>113.795168862739</v>
      </c>
      <c r="J53" s="34" t="n">
        <f aca="false">O52</f>
        <v>0</v>
      </c>
      <c r="K53" s="34" t="n">
        <f aca="false">J53*$J$5/12</f>
        <v>0</v>
      </c>
      <c r="L53" s="29" t="n">
        <f aca="false">MIN($J$6,J53+K53)</f>
        <v>0</v>
      </c>
      <c r="M53" s="30" t="n">
        <f aca="false">MAX(0,MIN($B53,J53+K53-L53))</f>
        <v>0</v>
      </c>
      <c r="N53" s="29" t="n">
        <f aca="false">$B53-M53</f>
        <v>690</v>
      </c>
      <c r="O53" s="34" t="n">
        <f aca="false">J53+K53-L53-M53</f>
        <v>0</v>
      </c>
      <c r="P53" s="34" t="n">
        <f aca="false">S52</f>
        <v>2956.67214427399</v>
      </c>
      <c r="Q53" s="34" t="n">
        <f aca="false">P53*$J$5/12</f>
        <v>61.5726974045058</v>
      </c>
      <c r="R53" s="29" t="n">
        <f aca="false">MIN($J$6,P53+Q53)</f>
        <v>105</v>
      </c>
      <c r="S53" s="34" t="n">
        <f aca="false">P53+Q53-R53</f>
        <v>2913.24484167849</v>
      </c>
      <c r="T53" s="34" t="n">
        <f aca="false">Y52</f>
        <v>0</v>
      </c>
      <c r="U53" s="34" t="n">
        <f aca="false">T53*$T$5/12</f>
        <v>0</v>
      </c>
      <c r="V53" s="29" t="n">
        <f aca="false">MIN($T$6,T53+U53)</f>
        <v>0</v>
      </c>
      <c r="W53" s="30" t="n">
        <f aca="false">MAX(0,MIN(N53,T53+U53-V53))</f>
        <v>0</v>
      </c>
      <c r="X53" s="29" t="n">
        <f aca="false">N53-W53</f>
        <v>690</v>
      </c>
      <c r="Y53" s="34" t="n">
        <f aca="false">T53+U53-V53-W53</f>
        <v>0</v>
      </c>
      <c r="Z53" s="34" t="n">
        <f aca="false">AC52</f>
        <v>836.711172484522</v>
      </c>
      <c r="AA53" s="34" t="n">
        <f aca="false">Z53*$T$5/12</f>
        <v>13.9382136149713</v>
      </c>
      <c r="AB53" s="29" t="n">
        <f aca="false">MIN($T$6,Z53+AA53)</f>
        <v>45</v>
      </c>
      <c r="AC53" s="34" t="n">
        <f aca="false">Z53+AA53-AB53</f>
        <v>805.649386099493</v>
      </c>
      <c r="AD53" s="34" t="n">
        <f aca="false">AI52</f>
        <v>0</v>
      </c>
      <c r="AE53" s="34" t="n">
        <f aca="false">AD53*$AD$5/12</f>
        <v>0</v>
      </c>
      <c r="AF53" s="29" t="n">
        <f aca="false">MIN($AD$6,AD53+AE53)</f>
        <v>0</v>
      </c>
      <c r="AG53" s="30" t="n">
        <f aca="false">MAX(0,MIN(X53,AD53+AE53-AF53))</f>
        <v>0</v>
      </c>
      <c r="AH53" s="29" t="n">
        <f aca="false">X53-AG53</f>
        <v>690</v>
      </c>
      <c r="AI53" s="34" t="n">
        <f aca="false">AD53+AE53-AF53-AG53</f>
        <v>0</v>
      </c>
      <c r="AJ53" s="34" t="n">
        <f aca="false">AM52</f>
        <v>0</v>
      </c>
      <c r="AK53" s="34" t="n">
        <f aca="false">AJ53*$AD$5/12</f>
        <v>0</v>
      </c>
      <c r="AL53" s="29" t="n">
        <f aca="false">MIN($AD$6,AJ53+AK53)</f>
        <v>0</v>
      </c>
      <c r="AM53" s="34" t="n">
        <f aca="false">AJ53+AK53-AL53</f>
        <v>0</v>
      </c>
      <c r="AN53" s="34" t="n">
        <f aca="false">AS52</f>
        <v>0</v>
      </c>
      <c r="AO53" s="34" t="n">
        <f aca="false">AN53*$AN$5/12</f>
        <v>0</v>
      </c>
      <c r="AP53" s="29" t="n">
        <f aca="false">MIN($AN$6,AN53+AO53)</f>
        <v>0</v>
      </c>
      <c r="AQ53" s="30" t="n">
        <f aca="false">MAX(0,MIN(AH53,AN53+AO53-AP53))</f>
        <v>0</v>
      </c>
      <c r="AR53" s="29" t="n">
        <f aca="false">AH53-AQ53</f>
        <v>690</v>
      </c>
      <c r="AS53" s="34" t="n">
        <f aca="false">AN53+AO53-AP53-AQ53</f>
        <v>0</v>
      </c>
      <c r="AT53" s="34" t="n">
        <f aca="false">AW52</f>
        <v>8352.92898398451</v>
      </c>
      <c r="AU53" s="34" t="n">
        <f aca="false">AT53*$AN$5/12</f>
        <v>38.2842578432623</v>
      </c>
      <c r="AV53" s="29" t="n">
        <f aca="false">MIN($AN$6,AT53+AU53)</f>
        <v>130</v>
      </c>
      <c r="AW53" s="34" t="n">
        <f aca="false">AT53+AU53-AV53</f>
        <v>8261.21324182777</v>
      </c>
      <c r="AX53" s="30" t="n">
        <f aca="false">BC52</f>
        <v>0</v>
      </c>
      <c r="AY53" s="30" t="n">
        <f aca="false">AX53*$AX$5/12</f>
        <v>0</v>
      </c>
      <c r="AZ53" s="30" t="n">
        <f aca="false">MIN($AX$6,AX53+AY53)</f>
        <v>0</v>
      </c>
      <c r="BA53" s="30" t="n">
        <f aca="false">MAX(0,MIN(AR53,AX53+AY53-AZ53))</f>
        <v>0</v>
      </c>
      <c r="BB53" s="29" t="n">
        <f aca="false">AR53-BA53</f>
        <v>690</v>
      </c>
      <c r="BC53" s="30" t="n">
        <f aca="false">AX53+AY53-AZ53-BA53</f>
        <v>0</v>
      </c>
      <c r="BD53" s="30" t="n">
        <f aca="false">BG52</f>
        <v>0</v>
      </c>
      <c r="BE53" s="30" t="n">
        <f aca="false">BD53*$AX$5/12</f>
        <v>0</v>
      </c>
      <c r="BF53" s="30" t="n">
        <f aca="false">MIN($AX$6,BD53+BE53)</f>
        <v>0</v>
      </c>
      <c r="BG53" s="30" t="n">
        <f aca="false">BD53+BE53-BF53</f>
        <v>0</v>
      </c>
      <c r="BH53" s="30" t="n">
        <f aca="false">BM52</f>
        <v>0</v>
      </c>
      <c r="BI53" s="30" t="n">
        <f aca="false">BH53*$BH$5/12</f>
        <v>0</v>
      </c>
      <c r="BJ53" s="30" t="n">
        <f aca="false">MIN($BH$6,BH53+BI53)</f>
        <v>0</v>
      </c>
      <c r="BK53" s="30" t="n">
        <f aca="false">MAX(0,MIN(BB53,BH53+BI53-BJ53))</f>
        <v>0</v>
      </c>
      <c r="BL53" s="29" t="n">
        <f aca="false">BB53-BK53</f>
        <v>690</v>
      </c>
      <c r="BM53" s="30" t="n">
        <f aca="false">BH53+BI53-BJ53-BK53</f>
        <v>0</v>
      </c>
      <c r="BN53" s="30" t="n">
        <f aca="false">BQ52</f>
        <v>0</v>
      </c>
      <c r="BO53" s="30" t="n">
        <f aca="false">BN53*$BH$5/12</f>
        <v>0</v>
      </c>
      <c r="BP53" s="30" t="n">
        <f aca="false">MIN($BH$6,BN53+BO53)</f>
        <v>0</v>
      </c>
      <c r="BQ53" s="30" t="n">
        <f aca="false">BN53+BO53-BP53</f>
        <v>0</v>
      </c>
      <c r="BR53" s="30" t="n">
        <f aca="false">BW52</f>
        <v>0</v>
      </c>
      <c r="BS53" s="30" t="n">
        <f aca="false">BR53*$BR$5/12</f>
        <v>0</v>
      </c>
      <c r="BT53" s="30" t="n">
        <f aca="false">MIN($BR$6,BR53+BS53)</f>
        <v>0</v>
      </c>
      <c r="BU53" s="30" t="n">
        <f aca="false">MAX(0,MIN(BL53,BR53+BS53-BT53))</f>
        <v>0</v>
      </c>
      <c r="BV53" s="29" t="n">
        <f aca="false">BL53-BU53</f>
        <v>690</v>
      </c>
      <c r="BW53" s="30" t="n">
        <f aca="false">BR53+BS53-BT53-BU53</f>
        <v>0</v>
      </c>
      <c r="BX53" s="30" t="n">
        <f aca="false">CA52</f>
        <v>0</v>
      </c>
      <c r="BY53" s="30" t="n">
        <f aca="false">BX53*$BR$5/12</f>
        <v>0</v>
      </c>
      <c r="BZ53" s="30" t="n">
        <f aca="false">MIN($BR$6,BX53+BY53)</f>
        <v>0</v>
      </c>
      <c r="CA53" s="30" t="n">
        <f aca="false">BX53+BY53-BZ53</f>
        <v>0</v>
      </c>
      <c r="CB53" s="30" t="n">
        <f aca="false">CG52</f>
        <v>0</v>
      </c>
      <c r="CC53" s="30" t="n">
        <f aca="false">CB53*$CB$5/12</f>
        <v>0</v>
      </c>
      <c r="CD53" s="30" t="n">
        <f aca="false">MIN($CB$6,CB53+CC53)</f>
        <v>0</v>
      </c>
      <c r="CE53" s="30" t="n">
        <f aca="false">MAX(0,MIN(BV53,CB53+CC53-CD53))</f>
        <v>0</v>
      </c>
      <c r="CF53" s="29" t="n">
        <f aca="false">BV53-CE53</f>
        <v>690</v>
      </c>
      <c r="CG53" s="30" t="n">
        <f aca="false">CB53+CC53-CD53-CE53</f>
        <v>0</v>
      </c>
      <c r="CH53" s="30" t="n">
        <f aca="false">CK52</f>
        <v>0</v>
      </c>
      <c r="CI53" s="30" t="n">
        <f aca="false">CH53*$CB$5/12</f>
        <v>0</v>
      </c>
      <c r="CJ53" s="30" t="n">
        <f aca="false">MIN($CB$6,CH53+CI53)</f>
        <v>0</v>
      </c>
      <c r="CK53" s="30" t="n">
        <f aca="false">CH53+CI53-CJ53</f>
        <v>0</v>
      </c>
    </row>
    <row r="54" customFormat="false" ht="15" hidden="false" customHeight="false" outlineLevel="0" collapsed="false">
      <c r="A54" s="0" t="n">
        <v>46</v>
      </c>
      <c r="B54" s="29" t="n">
        <f aca="false">'1 Your debts'!$B$16-(L54+V54+AF54+AP54+AZ54+BJ54+BT54+CD54)</f>
        <v>690</v>
      </c>
      <c r="C54" s="34" t="n">
        <f aca="false">O54+Y54+AI54+AS54+BC54+BM54+BW54+CG54</f>
        <v>0</v>
      </c>
      <c r="D54" s="34" t="n">
        <f aca="false">K54+U54+AE54+AO54+AY54+BI54+BS54+CC54</f>
        <v>0</v>
      </c>
      <c r="F54" s="34" t="n">
        <f aca="false">S54+AC54+AM54+AW54+BG54+BQ54+CA54+CK54</f>
        <v>11812.0604634822</v>
      </c>
      <c r="G54" s="34" t="n">
        <f aca="false">Q54+AA54+AK54+AU54+BE54+BO54+BY54+CI54</f>
        <v>111.952993876439</v>
      </c>
      <c r="J54" s="34" t="n">
        <f aca="false">O53</f>
        <v>0</v>
      </c>
      <c r="K54" s="34" t="n">
        <f aca="false">J54*$J$5/12</f>
        <v>0</v>
      </c>
      <c r="L54" s="29" t="n">
        <f aca="false">MIN($J$6,J54+K54)</f>
        <v>0</v>
      </c>
      <c r="M54" s="30" t="n">
        <f aca="false">MAX(0,MIN($B54,J54+K54-L54))</f>
        <v>0</v>
      </c>
      <c r="N54" s="29" t="n">
        <f aca="false">$B54-M54</f>
        <v>690</v>
      </c>
      <c r="O54" s="34" t="n">
        <f aca="false">J54+K54-L54-M54</f>
        <v>0</v>
      </c>
      <c r="P54" s="34" t="n">
        <f aca="false">S53</f>
        <v>2913.24484167849</v>
      </c>
      <c r="Q54" s="34" t="n">
        <f aca="false">P54*$J$5/12</f>
        <v>60.6683238279546</v>
      </c>
      <c r="R54" s="29" t="n">
        <f aca="false">MIN($J$6,P54+Q54)</f>
        <v>105</v>
      </c>
      <c r="S54" s="34" t="n">
        <f aca="false">P54+Q54-R54</f>
        <v>2868.91316550645</v>
      </c>
      <c r="T54" s="34" t="n">
        <f aca="false">Y53</f>
        <v>0</v>
      </c>
      <c r="U54" s="34" t="n">
        <f aca="false">T54*$T$5/12</f>
        <v>0</v>
      </c>
      <c r="V54" s="29" t="n">
        <f aca="false">MIN($T$6,T54+U54)</f>
        <v>0</v>
      </c>
      <c r="W54" s="30" t="n">
        <f aca="false">MAX(0,MIN(N54,T54+U54-V54))</f>
        <v>0</v>
      </c>
      <c r="X54" s="29" t="n">
        <f aca="false">N54-W54</f>
        <v>690</v>
      </c>
      <c r="Y54" s="34" t="n">
        <f aca="false">T54+U54-V54-W54</f>
        <v>0</v>
      </c>
      <c r="Z54" s="34" t="n">
        <f aca="false">AC53</f>
        <v>805.649386099493</v>
      </c>
      <c r="AA54" s="34" t="n">
        <f aca="false">Z54*$T$5/12</f>
        <v>13.4207760234407</v>
      </c>
      <c r="AB54" s="29" t="n">
        <f aca="false">MIN($T$6,Z54+AA54)</f>
        <v>45</v>
      </c>
      <c r="AC54" s="34" t="n">
        <f aca="false">Z54+AA54-AB54</f>
        <v>774.070162122934</v>
      </c>
      <c r="AD54" s="34" t="n">
        <f aca="false">AI53</f>
        <v>0</v>
      </c>
      <c r="AE54" s="34" t="n">
        <f aca="false">AD54*$AD$5/12</f>
        <v>0</v>
      </c>
      <c r="AF54" s="29" t="n">
        <f aca="false">MIN($AD$6,AD54+AE54)</f>
        <v>0</v>
      </c>
      <c r="AG54" s="30" t="n">
        <f aca="false">MAX(0,MIN(X54,AD54+AE54-AF54))</f>
        <v>0</v>
      </c>
      <c r="AH54" s="29" t="n">
        <f aca="false">X54-AG54</f>
        <v>690</v>
      </c>
      <c r="AI54" s="34" t="n">
        <f aca="false">AD54+AE54-AF54-AG54</f>
        <v>0</v>
      </c>
      <c r="AJ54" s="34" t="n">
        <f aca="false">AM53</f>
        <v>0</v>
      </c>
      <c r="AK54" s="34" t="n">
        <f aca="false">AJ54*$AD$5/12</f>
        <v>0</v>
      </c>
      <c r="AL54" s="29" t="n">
        <f aca="false">MIN($AD$6,AJ54+AK54)</f>
        <v>0</v>
      </c>
      <c r="AM54" s="34" t="n">
        <f aca="false">AJ54+AK54-AL54</f>
        <v>0</v>
      </c>
      <c r="AN54" s="34" t="n">
        <f aca="false">AS53</f>
        <v>0</v>
      </c>
      <c r="AO54" s="34" t="n">
        <f aca="false">AN54*$AN$5/12</f>
        <v>0</v>
      </c>
      <c r="AP54" s="29" t="n">
        <f aca="false">MIN($AN$6,AN54+AO54)</f>
        <v>0</v>
      </c>
      <c r="AQ54" s="30" t="n">
        <f aca="false">MAX(0,MIN(AH54,AN54+AO54-AP54))</f>
        <v>0</v>
      </c>
      <c r="AR54" s="29" t="n">
        <f aca="false">AH54-AQ54</f>
        <v>690</v>
      </c>
      <c r="AS54" s="34" t="n">
        <f aca="false">AN54+AO54-AP54-AQ54</f>
        <v>0</v>
      </c>
      <c r="AT54" s="34" t="n">
        <f aca="false">AW53</f>
        <v>8261.21324182777</v>
      </c>
      <c r="AU54" s="34" t="n">
        <f aca="false">AT54*$AN$5/12</f>
        <v>37.863894025044</v>
      </c>
      <c r="AV54" s="29" t="n">
        <f aca="false">MIN($AN$6,AT54+AU54)</f>
        <v>130</v>
      </c>
      <c r="AW54" s="34" t="n">
        <f aca="false">AT54+AU54-AV54</f>
        <v>8169.07713585282</v>
      </c>
      <c r="AX54" s="30" t="n">
        <f aca="false">BC53</f>
        <v>0</v>
      </c>
      <c r="AY54" s="30" t="n">
        <f aca="false">AX54*$AX$5/12</f>
        <v>0</v>
      </c>
      <c r="AZ54" s="30" t="n">
        <f aca="false">MIN($AX$6,AX54+AY54)</f>
        <v>0</v>
      </c>
      <c r="BA54" s="30" t="n">
        <f aca="false">MAX(0,MIN(AR54,AX54+AY54-AZ54))</f>
        <v>0</v>
      </c>
      <c r="BB54" s="29" t="n">
        <f aca="false">AR54-BA54</f>
        <v>690</v>
      </c>
      <c r="BC54" s="30" t="n">
        <f aca="false">AX54+AY54-AZ54-BA54</f>
        <v>0</v>
      </c>
      <c r="BD54" s="30" t="n">
        <f aca="false">BG53</f>
        <v>0</v>
      </c>
      <c r="BE54" s="30" t="n">
        <f aca="false">BD54*$AX$5/12</f>
        <v>0</v>
      </c>
      <c r="BF54" s="30" t="n">
        <f aca="false">MIN($AX$6,BD54+BE54)</f>
        <v>0</v>
      </c>
      <c r="BG54" s="30" t="n">
        <f aca="false">BD54+BE54-BF54</f>
        <v>0</v>
      </c>
      <c r="BH54" s="30" t="n">
        <f aca="false">BM53</f>
        <v>0</v>
      </c>
      <c r="BI54" s="30" t="n">
        <f aca="false">BH54*$BH$5/12</f>
        <v>0</v>
      </c>
      <c r="BJ54" s="30" t="n">
        <f aca="false">MIN($BH$6,BH54+BI54)</f>
        <v>0</v>
      </c>
      <c r="BK54" s="30" t="n">
        <f aca="false">MAX(0,MIN(BB54,BH54+BI54-BJ54))</f>
        <v>0</v>
      </c>
      <c r="BL54" s="29" t="n">
        <f aca="false">BB54-BK54</f>
        <v>690</v>
      </c>
      <c r="BM54" s="30" t="n">
        <f aca="false">BH54+BI54-BJ54-BK54</f>
        <v>0</v>
      </c>
      <c r="BN54" s="30" t="n">
        <f aca="false">BQ53</f>
        <v>0</v>
      </c>
      <c r="BO54" s="30" t="n">
        <f aca="false">BN54*$BH$5/12</f>
        <v>0</v>
      </c>
      <c r="BP54" s="30" t="n">
        <f aca="false">MIN($BH$6,BN54+BO54)</f>
        <v>0</v>
      </c>
      <c r="BQ54" s="30" t="n">
        <f aca="false">BN54+BO54-BP54</f>
        <v>0</v>
      </c>
      <c r="BR54" s="30" t="n">
        <f aca="false">BW53</f>
        <v>0</v>
      </c>
      <c r="BS54" s="30" t="n">
        <f aca="false">BR54*$BR$5/12</f>
        <v>0</v>
      </c>
      <c r="BT54" s="30" t="n">
        <f aca="false">MIN($BR$6,BR54+BS54)</f>
        <v>0</v>
      </c>
      <c r="BU54" s="30" t="n">
        <f aca="false">MAX(0,MIN(BL54,BR54+BS54-BT54))</f>
        <v>0</v>
      </c>
      <c r="BV54" s="29" t="n">
        <f aca="false">BL54-BU54</f>
        <v>690</v>
      </c>
      <c r="BW54" s="30" t="n">
        <f aca="false">BR54+BS54-BT54-BU54</f>
        <v>0</v>
      </c>
      <c r="BX54" s="30" t="n">
        <f aca="false">CA53</f>
        <v>0</v>
      </c>
      <c r="BY54" s="30" t="n">
        <f aca="false">BX54*$BR$5/12</f>
        <v>0</v>
      </c>
      <c r="BZ54" s="30" t="n">
        <f aca="false">MIN($BR$6,BX54+BY54)</f>
        <v>0</v>
      </c>
      <c r="CA54" s="30" t="n">
        <f aca="false">BX54+BY54-BZ54</f>
        <v>0</v>
      </c>
      <c r="CB54" s="30" t="n">
        <f aca="false">CG53</f>
        <v>0</v>
      </c>
      <c r="CC54" s="30" t="n">
        <f aca="false">CB54*$CB$5/12</f>
        <v>0</v>
      </c>
      <c r="CD54" s="30" t="n">
        <f aca="false">MIN($CB$6,CB54+CC54)</f>
        <v>0</v>
      </c>
      <c r="CE54" s="30" t="n">
        <f aca="false">MAX(0,MIN(BV54,CB54+CC54-CD54))</f>
        <v>0</v>
      </c>
      <c r="CF54" s="29" t="n">
        <f aca="false">BV54-CE54</f>
        <v>690</v>
      </c>
      <c r="CG54" s="30" t="n">
        <f aca="false">CB54+CC54-CD54-CE54</f>
        <v>0</v>
      </c>
      <c r="CH54" s="30" t="n">
        <f aca="false">CK53</f>
        <v>0</v>
      </c>
      <c r="CI54" s="30" t="n">
        <f aca="false">CH54*$CB$5/12</f>
        <v>0</v>
      </c>
      <c r="CJ54" s="30" t="n">
        <f aca="false">MIN($CB$6,CH54+CI54)</f>
        <v>0</v>
      </c>
      <c r="CK54" s="30" t="n">
        <f aca="false">CH54+CI54-CJ54</f>
        <v>0</v>
      </c>
    </row>
    <row r="55" customFormat="false" ht="15" hidden="false" customHeight="false" outlineLevel="0" collapsed="false">
      <c r="A55" s="0" t="n">
        <v>47</v>
      </c>
      <c r="B55" s="29" t="n">
        <f aca="false">'1 Your debts'!$B$16-(L55+V55+AF55+AP55+AZ55+BJ55+BT55+CD55)</f>
        <v>690</v>
      </c>
      <c r="C55" s="34" t="n">
        <f aca="false">O55+Y55+AI55+AS55+BC55+BM55+BW55+CG55</f>
        <v>0</v>
      </c>
      <c r="D55" s="34" t="n">
        <f aca="false">K55+U55+AE55+AO55+AY55+BI55+BS55+CC55</f>
        <v>0</v>
      </c>
      <c r="F55" s="34" t="n">
        <f aca="false">S55+AC55+AM55+AW55+BG55+BQ55+CA55+CK55</f>
        <v>11642.1419024772</v>
      </c>
      <c r="G55" s="34" t="n">
        <f aca="false">Q55+AA55+AK55+AU55+BE55+BO55+BY55+CI55</f>
        <v>110.081438995028</v>
      </c>
      <c r="J55" s="34" t="n">
        <f aca="false">O54</f>
        <v>0</v>
      </c>
      <c r="K55" s="34" t="n">
        <f aca="false">J55*$J$5/12</f>
        <v>0</v>
      </c>
      <c r="L55" s="29" t="n">
        <f aca="false">MIN($J$6,J55+K55)</f>
        <v>0</v>
      </c>
      <c r="M55" s="30" t="n">
        <f aca="false">MAX(0,MIN($B55,J55+K55-L55))</f>
        <v>0</v>
      </c>
      <c r="N55" s="29" t="n">
        <f aca="false">$B55-M55</f>
        <v>690</v>
      </c>
      <c r="O55" s="34" t="n">
        <f aca="false">J55+K55-L55-M55</f>
        <v>0</v>
      </c>
      <c r="P55" s="34" t="n">
        <f aca="false">S54</f>
        <v>2868.91316550645</v>
      </c>
      <c r="Q55" s="34" t="n">
        <f aca="false">P55*$J$5/12</f>
        <v>59.7451166716718</v>
      </c>
      <c r="R55" s="29" t="n">
        <f aca="false">MIN($J$6,P55+Q55)</f>
        <v>105</v>
      </c>
      <c r="S55" s="34" t="n">
        <f aca="false">P55+Q55-R55</f>
        <v>2823.65828217812</v>
      </c>
      <c r="T55" s="34" t="n">
        <f aca="false">Y54</f>
        <v>0</v>
      </c>
      <c r="U55" s="34" t="n">
        <f aca="false">T55*$T$5/12</f>
        <v>0</v>
      </c>
      <c r="V55" s="29" t="n">
        <f aca="false">MIN($T$6,T55+U55)</f>
        <v>0</v>
      </c>
      <c r="W55" s="30" t="n">
        <f aca="false">MAX(0,MIN(N55,T55+U55-V55))</f>
        <v>0</v>
      </c>
      <c r="X55" s="29" t="n">
        <f aca="false">N55-W55</f>
        <v>690</v>
      </c>
      <c r="Y55" s="34" t="n">
        <f aca="false">T55+U55-V55-W55</f>
        <v>0</v>
      </c>
      <c r="Z55" s="34" t="n">
        <f aca="false">AC54</f>
        <v>774.070162122934</v>
      </c>
      <c r="AA55" s="34" t="n">
        <f aca="false">Z55*$T$5/12</f>
        <v>12.8947187840312</v>
      </c>
      <c r="AB55" s="29" t="n">
        <f aca="false">MIN($T$6,Z55+AA55)</f>
        <v>45</v>
      </c>
      <c r="AC55" s="34" t="n">
        <f aca="false">Z55+AA55-AB55</f>
        <v>741.964880906965</v>
      </c>
      <c r="AD55" s="34" t="n">
        <f aca="false">AI54</f>
        <v>0</v>
      </c>
      <c r="AE55" s="34" t="n">
        <f aca="false">AD55*$AD$5/12</f>
        <v>0</v>
      </c>
      <c r="AF55" s="29" t="n">
        <f aca="false">MIN($AD$6,AD55+AE55)</f>
        <v>0</v>
      </c>
      <c r="AG55" s="30" t="n">
        <f aca="false">MAX(0,MIN(X55,AD55+AE55-AF55))</f>
        <v>0</v>
      </c>
      <c r="AH55" s="29" t="n">
        <f aca="false">X55-AG55</f>
        <v>690</v>
      </c>
      <c r="AI55" s="34" t="n">
        <f aca="false">AD55+AE55-AF55-AG55</f>
        <v>0</v>
      </c>
      <c r="AJ55" s="34" t="n">
        <f aca="false">AM54</f>
        <v>0</v>
      </c>
      <c r="AK55" s="34" t="n">
        <f aca="false">AJ55*$AD$5/12</f>
        <v>0</v>
      </c>
      <c r="AL55" s="29" t="n">
        <f aca="false">MIN($AD$6,AJ55+AK55)</f>
        <v>0</v>
      </c>
      <c r="AM55" s="34" t="n">
        <f aca="false">AJ55+AK55-AL55</f>
        <v>0</v>
      </c>
      <c r="AN55" s="34" t="n">
        <f aca="false">AS54</f>
        <v>0</v>
      </c>
      <c r="AO55" s="34" t="n">
        <f aca="false">AN55*$AN$5/12</f>
        <v>0</v>
      </c>
      <c r="AP55" s="29" t="n">
        <f aca="false">MIN($AN$6,AN55+AO55)</f>
        <v>0</v>
      </c>
      <c r="AQ55" s="30" t="n">
        <f aca="false">MAX(0,MIN(AH55,AN55+AO55-AP55))</f>
        <v>0</v>
      </c>
      <c r="AR55" s="29" t="n">
        <f aca="false">AH55-AQ55</f>
        <v>690</v>
      </c>
      <c r="AS55" s="34" t="n">
        <f aca="false">AN55+AO55-AP55-AQ55</f>
        <v>0</v>
      </c>
      <c r="AT55" s="34" t="n">
        <f aca="false">AW54</f>
        <v>8169.07713585282</v>
      </c>
      <c r="AU55" s="34" t="n">
        <f aca="false">AT55*$AN$5/12</f>
        <v>37.4416035393254</v>
      </c>
      <c r="AV55" s="29" t="n">
        <f aca="false">MIN($AN$6,AT55+AU55)</f>
        <v>130</v>
      </c>
      <c r="AW55" s="34" t="n">
        <f aca="false">AT55+AU55-AV55</f>
        <v>8076.51873939214</v>
      </c>
      <c r="AX55" s="30" t="n">
        <f aca="false">BC54</f>
        <v>0</v>
      </c>
      <c r="AY55" s="30" t="n">
        <f aca="false">AX55*$AX$5/12</f>
        <v>0</v>
      </c>
      <c r="AZ55" s="30" t="n">
        <f aca="false">MIN($AX$6,AX55+AY55)</f>
        <v>0</v>
      </c>
      <c r="BA55" s="30" t="n">
        <f aca="false">MAX(0,MIN(AR55,AX55+AY55-AZ55))</f>
        <v>0</v>
      </c>
      <c r="BB55" s="29" t="n">
        <f aca="false">AR55-BA55</f>
        <v>690</v>
      </c>
      <c r="BC55" s="30" t="n">
        <f aca="false">AX55+AY55-AZ55-BA55</f>
        <v>0</v>
      </c>
      <c r="BD55" s="30" t="n">
        <f aca="false">BG54</f>
        <v>0</v>
      </c>
      <c r="BE55" s="30" t="n">
        <f aca="false">BD55*$AX$5/12</f>
        <v>0</v>
      </c>
      <c r="BF55" s="30" t="n">
        <f aca="false">MIN($AX$6,BD55+BE55)</f>
        <v>0</v>
      </c>
      <c r="BG55" s="30" t="n">
        <f aca="false">BD55+BE55-BF55</f>
        <v>0</v>
      </c>
      <c r="BH55" s="30" t="n">
        <f aca="false">BM54</f>
        <v>0</v>
      </c>
      <c r="BI55" s="30" t="n">
        <f aca="false">BH55*$BH$5/12</f>
        <v>0</v>
      </c>
      <c r="BJ55" s="30" t="n">
        <f aca="false">MIN($BH$6,BH55+BI55)</f>
        <v>0</v>
      </c>
      <c r="BK55" s="30" t="n">
        <f aca="false">MAX(0,MIN(BB55,BH55+BI55-BJ55))</f>
        <v>0</v>
      </c>
      <c r="BL55" s="29" t="n">
        <f aca="false">BB55-BK55</f>
        <v>690</v>
      </c>
      <c r="BM55" s="30" t="n">
        <f aca="false">BH55+BI55-BJ55-BK55</f>
        <v>0</v>
      </c>
      <c r="BN55" s="30" t="n">
        <f aca="false">BQ54</f>
        <v>0</v>
      </c>
      <c r="BO55" s="30" t="n">
        <f aca="false">BN55*$BH$5/12</f>
        <v>0</v>
      </c>
      <c r="BP55" s="30" t="n">
        <f aca="false">MIN($BH$6,BN55+BO55)</f>
        <v>0</v>
      </c>
      <c r="BQ55" s="30" t="n">
        <f aca="false">BN55+BO55-BP55</f>
        <v>0</v>
      </c>
      <c r="BR55" s="30" t="n">
        <f aca="false">BW54</f>
        <v>0</v>
      </c>
      <c r="BS55" s="30" t="n">
        <f aca="false">BR55*$BR$5/12</f>
        <v>0</v>
      </c>
      <c r="BT55" s="30" t="n">
        <f aca="false">MIN($BR$6,BR55+BS55)</f>
        <v>0</v>
      </c>
      <c r="BU55" s="30" t="n">
        <f aca="false">MAX(0,MIN(BL55,BR55+BS55-BT55))</f>
        <v>0</v>
      </c>
      <c r="BV55" s="29" t="n">
        <f aca="false">BL55-BU55</f>
        <v>690</v>
      </c>
      <c r="BW55" s="30" t="n">
        <f aca="false">BR55+BS55-BT55-BU55</f>
        <v>0</v>
      </c>
      <c r="BX55" s="30" t="n">
        <f aca="false">CA54</f>
        <v>0</v>
      </c>
      <c r="BY55" s="30" t="n">
        <f aca="false">BX55*$BR$5/12</f>
        <v>0</v>
      </c>
      <c r="BZ55" s="30" t="n">
        <f aca="false">MIN($BR$6,BX55+BY55)</f>
        <v>0</v>
      </c>
      <c r="CA55" s="30" t="n">
        <f aca="false">BX55+BY55-BZ55</f>
        <v>0</v>
      </c>
      <c r="CB55" s="30" t="n">
        <f aca="false">CG54</f>
        <v>0</v>
      </c>
      <c r="CC55" s="30" t="n">
        <f aca="false">CB55*$CB$5/12</f>
        <v>0</v>
      </c>
      <c r="CD55" s="30" t="n">
        <f aca="false">MIN($CB$6,CB55+CC55)</f>
        <v>0</v>
      </c>
      <c r="CE55" s="30" t="n">
        <f aca="false">MAX(0,MIN(BV55,CB55+CC55-CD55))</f>
        <v>0</v>
      </c>
      <c r="CF55" s="29" t="n">
        <f aca="false">BV55-CE55</f>
        <v>690</v>
      </c>
      <c r="CG55" s="30" t="n">
        <f aca="false">CB55+CC55-CD55-CE55</f>
        <v>0</v>
      </c>
      <c r="CH55" s="30" t="n">
        <f aca="false">CK54</f>
        <v>0</v>
      </c>
      <c r="CI55" s="30" t="n">
        <f aca="false">CH55*$CB$5/12</f>
        <v>0</v>
      </c>
      <c r="CJ55" s="30" t="n">
        <f aca="false">MIN($CB$6,CH55+CI55)</f>
        <v>0</v>
      </c>
      <c r="CK55" s="30" t="n">
        <f aca="false">CH55+CI55-CJ55</f>
        <v>0</v>
      </c>
    </row>
    <row r="56" customFormat="false" ht="15" hidden="false" customHeight="false" outlineLevel="0" collapsed="false">
      <c r="A56" s="0" t="n">
        <v>48</v>
      </c>
      <c r="B56" s="29" t="n">
        <f aca="false">'1 Your debts'!$B$16-(L56+V56+AF56+AP56+AZ56+BJ56+BT56+CD56)</f>
        <v>690</v>
      </c>
      <c r="C56" s="34" t="n">
        <f aca="false">O56+Y56+AI56+AS56+BC56+BM56+BW56+CG56</f>
        <v>0</v>
      </c>
      <c r="D56" s="34" t="n">
        <f aca="false">K56+U56+AE56+AO56+AY56+BI56+BS56+CC56</f>
        <v>0</v>
      </c>
      <c r="F56" s="34" t="n">
        <f aca="false">S56+AC56+AM56+AW56+BG56+BQ56+CA56+CK56</f>
        <v>11470.3218620669</v>
      </c>
      <c r="G56" s="34" t="n">
        <f aca="false">Q56+AA56+AK56+AU56+BE56+BO56+BY56+CI56</f>
        <v>108.179959589682</v>
      </c>
      <c r="J56" s="34" t="n">
        <f aca="false">O55</f>
        <v>0</v>
      </c>
      <c r="K56" s="34" t="n">
        <f aca="false">J56*$J$5/12</f>
        <v>0</v>
      </c>
      <c r="L56" s="29" t="n">
        <f aca="false">MIN($J$6,J56+K56)</f>
        <v>0</v>
      </c>
      <c r="M56" s="30" t="n">
        <f aca="false">MAX(0,MIN($B56,J56+K56-L56))</f>
        <v>0</v>
      </c>
      <c r="N56" s="29" t="n">
        <f aca="false">$B56-M56</f>
        <v>690</v>
      </c>
      <c r="O56" s="34" t="n">
        <f aca="false">J56+K56-L56-M56</f>
        <v>0</v>
      </c>
      <c r="P56" s="34" t="n">
        <f aca="false">S55</f>
        <v>2823.65828217812</v>
      </c>
      <c r="Q56" s="34" t="n">
        <f aca="false">P56*$J$5/12</f>
        <v>58.8026837263594</v>
      </c>
      <c r="R56" s="29" t="n">
        <f aca="false">MIN($J$6,P56+Q56)</f>
        <v>105</v>
      </c>
      <c r="S56" s="34" t="n">
        <f aca="false">P56+Q56-R56</f>
        <v>2777.46096590448</v>
      </c>
      <c r="T56" s="34" t="n">
        <f aca="false">Y55</f>
        <v>0</v>
      </c>
      <c r="U56" s="34" t="n">
        <f aca="false">T56*$T$5/12</f>
        <v>0</v>
      </c>
      <c r="V56" s="29" t="n">
        <f aca="false">MIN($T$6,T56+U56)</f>
        <v>0</v>
      </c>
      <c r="W56" s="30" t="n">
        <f aca="false">MAX(0,MIN(N56,T56+U56-V56))</f>
        <v>0</v>
      </c>
      <c r="X56" s="29" t="n">
        <f aca="false">N56-W56</f>
        <v>690</v>
      </c>
      <c r="Y56" s="34" t="n">
        <f aca="false">T56+U56-V56-W56</f>
        <v>0</v>
      </c>
      <c r="Z56" s="34" t="n">
        <f aca="false">AC55</f>
        <v>741.964880906965</v>
      </c>
      <c r="AA56" s="34" t="n">
        <f aca="false">Z56*$T$5/12</f>
        <v>12.3598983077752</v>
      </c>
      <c r="AB56" s="29" t="n">
        <f aca="false">MIN($T$6,Z56+AA56)</f>
        <v>45</v>
      </c>
      <c r="AC56" s="34" t="n">
        <f aca="false">Z56+AA56-AB56</f>
        <v>709.32477921474</v>
      </c>
      <c r="AD56" s="34" t="n">
        <f aca="false">AI55</f>
        <v>0</v>
      </c>
      <c r="AE56" s="34" t="n">
        <f aca="false">AD56*$AD$5/12</f>
        <v>0</v>
      </c>
      <c r="AF56" s="29" t="n">
        <f aca="false">MIN($AD$6,AD56+AE56)</f>
        <v>0</v>
      </c>
      <c r="AG56" s="30" t="n">
        <f aca="false">MAX(0,MIN(X56,AD56+AE56-AF56))</f>
        <v>0</v>
      </c>
      <c r="AH56" s="29" t="n">
        <f aca="false">X56-AG56</f>
        <v>690</v>
      </c>
      <c r="AI56" s="34" t="n">
        <f aca="false">AD56+AE56-AF56-AG56</f>
        <v>0</v>
      </c>
      <c r="AJ56" s="34" t="n">
        <f aca="false">AM55</f>
        <v>0</v>
      </c>
      <c r="AK56" s="34" t="n">
        <f aca="false">AJ56*$AD$5/12</f>
        <v>0</v>
      </c>
      <c r="AL56" s="29" t="n">
        <f aca="false">MIN($AD$6,AJ56+AK56)</f>
        <v>0</v>
      </c>
      <c r="AM56" s="34" t="n">
        <f aca="false">AJ56+AK56-AL56</f>
        <v>0</v>
      </c>
      <c r="AN56" s="34" t="n">
        <f aca="false">AS55</f>
        <v>0</v>
      </c>
      <c r="AO56" s="34" t="n">
        <f aca="false">AN56*$AN$5/12</f>
        <v>0</v>
      </c>
      <c r="AP56" s="29" t="n">
        <f aca="false">MIN($AN$6,AN56+AO56)</f>
        <v>0</v>
      </c>
      <c r="AQ56" s="30" t="n">
        <f aca="false">MAX(0,MIN(AH56,AN56+AO56-AP56))</f>
        <v>0</v>
      </c>
      <c r="AR56" s="29" t="n">
        <f aca="false">AH56-AQ56</f>
        <v>690</v>
      </c>
      <c r="AS56" s="34" t="n">
        <f aca="false">AN56+AO56-AP56-AQ56</f>
        <v>0</v>
      </c>
      <c r="AT56" s="34" t="n">
        <f aca="false">AW55</f>
        <v>8076.51873939214</v>
      </c>
      <c r="AU56" s="34" t="n">
        <f aca="false">AT56*$AN$5/12</f>
        <v>37.0173775555473</v>
      </c>
      <c r="AV56" s="29" t="n">
        <f aca="false">MIN($AN$6,AT56+AU56)</f>
        <v>130</v>
      </c>
      <c r="AW56" s="34" t="n">
        <f aca="false">AT56+AU56-AV56</f>
        <v>7983.53611694769</v>
      </c>
      <c r="AX56" s="30" t="n">
        <f aca="false">BC55</f>
        <v>0</v>
      </c>
      <c r="AY56" s="30" t="n">
        <f aca="false">AX56*$AX$5/12</f>
        <v>0</v>
      </c>
      <c r="AZ56" s="30" t="n">
        <f aca="false">MIN($AX$6,AX56+AY56)</f>
        <v>0</v>
      </c>
      <c r="BA56" s="30" t="n">
        <f aca="false">MAX(0,MIN(AR56,AX56+AY56-AZ56))</f>
        <v>0</v>
      </c>
      <c r="BB56" s="29" t="n">
        <f aca="false">AR56-BA56</f>
        <v>690</v>
      </c>
      <c r="BC56" s="30" t="n">
        <f aca="false">AX56+AY56-AZ56-BA56</f>
        <v>0</v>
      </c>
      <c r="BD56" s="30" t="n">
        <f aca="false">BG55</f>
        <v>0</v>
      </c>
      <c r="BE56" s="30" t="n">
        <f aca="false">BD56*$AX$5/12</f>
        <v>0</v>
      </c>
      <c r="BF56" s="30" t="n">
        <f aca="false">MIN($AX$6,BD56+BE56)</f>
        <v>0</v>
      </c>
      <c r="BG56" s="30" t="n">
        <f aca="false">BD56+BE56-BF56</f>
        <v>0</v>
      </c>
      <c r="BH56" s="30" t="n">
        <f aca="false">BM55</f>
        <v>0</v>
      </c>
      <c r="BI56" s="30" t="n">
        <f aca="false">BH56*$BH$5/12</f>
        <v>0</v>
      </c>
      <c r="BJ56" s="30" t="n">
        <f aca="false">MIN($BH$6,BH56+BI56)</f>
        <v>0</v>
      </c>
      <c r="BK56" s="30" t="n">
        <f aca="false">MAX(0,MIN(BB56,BH56+BI56-BJ56))</f>
        <v>0</v>
      </c>
      <c r="BL56" s="29" t="n">
        <f aca="false">BB56-BK56</f>
        <v>690</v>
      </c>
      <c r="BM56" s="30" t="n">
        <f aca="false">BH56+BI56-BJ56-BK56</f>
        <v>0</v>
      </c>
      <c r="BN56" s="30" t="n">
        <f aca="false">BQ55</f>
        <v>0</v>
      </c>
      <c r="BO56" s="30" t="n">
        <f aca="false">BN56*$BH$5/12</f>
        <v>0</v>
      </c>
      <c r="BP56" s="30" t="n">
        <f aca="false">MIN($BH$6,BN56+BO56)</f>
        <v>0</v>
      </c>
      <c r="BQ56" s="30" t="n">
        <f aca="false">BN56+BO56-BP56</f>
        <v>0</v>
      </c>
      <c r="BR56" s="30" t="n">
        <f aca="false">BW55</f>
        <v>0</v>
      </c>
      <c r="BS56" s="30" t="n">
        <f aca="false">BR56*$BR$5/12</f>
        <v>0</v>
      </c>
      <c r="BT56" s="30" t="n">
        <f aca="false">MIN($BR$6,BR56+BS56)</f>
        <v>0</v>
      </c>
      <c r="BU56" s="30" t="n">
        <f aca="false">MAX(0,MIN(BL56,BR56+BS56-BT56))</f>
        <v>0</v>
      </c>
      <c r="BV56" s="29" t="n">
        <f aca="false">BL56-BU56</f>
        <v>690</v>
      </c>
      <c r="BW56" s="30" t="n">
        <f aca="false">BR56+BS56-BT56-BU56</f>
        <v>0</v>
      </c>
      <c r="BX56" s="30" t="n">
        <f aca="false">CA55</f>
        <v>0</v>
      </c>
      <c r="BY56" s="30" t="n">
        <f aca="false">BX56*$BR$5/12</f>
        <v>0</v>
      </c>
      <c r="BZ56" s="30" t="n">
        <f aca="false">MIN($BR$6,BX56+BY56)</f>
        <v>0</v>
      </c>
      <c r="CA56" s="30" t="n">
        <f aca="false">BX56+BY56-BZ56</f>
        <v>0</v>
      </c>
      <c r="CB56" s="30" t="n">
        <f aca="false">CG55</f>
        <v>0</v>
      </c>
      <c r="CC56" s="30" t="n">
        <f aca="false">CB56*$CB$5/12</f>
        <v>0</v>
      </c>
      <c r="CD56" s="30" t="n">
        <f aca="false">MIN($CB$6,CB56+CC56)</f>
        <v>0</v>
      </c>
      <c r="CE56" s="30" t="n">
        <f aca="false">MAX(0,MIN(BV56,CB56+CC56-CD56))</f>
        <v>0</v>
      </c>
      <c r="CF56" s="29" t="n">
        <f aca="false">BV56-CE56</f>
        <v>690</v>
      </c>
      <c r="CG56" s="30" t="n">
        <f aca="false">CB56+CC56-CD56-CE56</f>
        <v>0</v>
      </c>
      <c r="CH56" s="30" t="n">
        <f aca="false">CK55</f>
        <v>0</v>
      </c>
      <c r="CI56" s="30" t="n">
        <f aca="false">CH56*$CB$5/12</f>
        <v>0</v>
      </c>
      <c r="CJ56" s="30" t="n">
        <f aca="false">MIN($CB$6,CH56+CI56)</f>
        <v>0</v>
      </c>
      <c r="CK56" s="30" t="n">
        <f aca="false">CH56+CI56-CJ56</f>
        <v>0</v>
      </c>
    </row>
    <row r="57" customFormat="false" ht="15" hidden="false" customHeight="false" outlineLevel="0" collapsed="false">
      <c r="A57" s="0" t="n">
        <v>49</v>
      </c>
      <c r="B57" s="29" t="n">
        <f aca="false">'1 Your debts'!$B$16-(L57+V57+AF57+AP57+AZ57+BJ57+BT57+CD57)</f>
        <v>690</v>
      </c>
      <c r="C57" s="34" t="n">
        <f aca="false">O57+Y57+AI57+AS57+BC57+BM57+BW57+CG57</f>
        <v>0</v>
      </c>
      <c r="D57" s="34" t="n">
        <f aca="false">K57+U57+AE57+AO57+AY57+BI57+BS57+CC57</f>
        <v>0</v>
      </c>
      <c r="F57" s="34" t="n">
        <f aca="false">S57+AC57+AM57+AW57+BG57+BQ57+CA57+CK57</f>
        <v>11296.5698624983</v>
      </c>
      <c r="G57" s="34" t="n">
        <f aca="false">Q57+AA57+AK57+AU57+BE57+BO57+BY57+CI57</f>
        <v>106.24800043139</v>
      </c>
      <c r="J57" s="34" t="n">
        <f aca="false">O56</f>
        <v>0</v>
      </c>
      <c r="K57" s="34" t="n">
        <f aca="false">J57*$J$5/12</f>
        <v>0</v>
      </c>
      <c r="L57" s="29" t="n">
        <f aca="false">MIN($J$6,J57+K57)</f>
        <v>0</v>
      </c>
      <c r="M57" s="30" t="n">
        <f aca="false">MAX(0,MIN($B57,J57+K57-L57))</f>
        <v>0</v>
      </c>
      <c r="N57" s="29" t="n">
        <f aca="false">$B57-M57</f>
        <v>690</v>
      </c>
      <c r="O57" s="34" t="n">
        <f aca="false">J57+K57-L57-M57</f>
        <v>0</v>
      </c>
      <c r="P57" s="34" t="n">
        <f aca="false">S56</f>
        <v>2777.46096590448</v>
      </c>
      <c r="Q57" s="34" t="n">
        <f aca="false">P57*$J$5/12</f>
        <v>57.8406246149608</v>
      </c>
      <c r="R57" s="29" t="n">
        <f aca="false">MIN($J$6,P57+Q57)</f>
        <v>105</v>
      </c>
      <c r="S57" s="34" t="n">
        <f aca="false">P57+Q57-R57</f>
        <v>2730.30159051944</v>
      </c>
      <c r="T57" s="34" t="n">
        <f aca="false">Y56</f>
        <v>0</v>
      </c>
      <c r="U57" s="34" t="n">
        <f aca="false">T57*$T$5/12</f>
        <v>0</v>
      </c>
      <c r="V57" s="29" t="n">
        <f aca="false">MIN($T$6,T57+U57)</f>
        <v>0</v>
      </c>
      <c r="W57" s="30" t="n">
        <f aca="false">MAX(0,MIN(N57,T57+U57-V57))</f>
        <v>0</v>
      </c>
      <c r="X57" s="29" t="n">
        <f aca="false">N57-W57</f>
        <v>690</v>
      </c>
      <c r="Y57" s="34" t="n">
        <f aca="false">T57+U57-V57-W57</f>
        <v>0</v>
      </c>
      <c r="Z57" s="34" t="n">
        <f aca="false">AC56</f>
        <v>709.32477921474</v>
      </c>
      <c r="AA57" s="34" t="n">
        <f aca="false">Z57*$T$5/12</f>
        <v>11.8161686137522</v>
      </c>
      <c r="AB57" s="29" t="n">
        <f aca="false">MIN($T$6,Z57+AA57)</f>
        <v>45</v>
      </c>
      <c r="AC57" s="34" t="n">
        <f aca="false">Z57+AA57-AB57</f>
        <v>676.140947828493</v>
      </c>
      <c r="AD57" s="34" t="n">
        <f aca="false">AI56</f>
        <v>0</v>
      </c>
      <c r="AE57" s="34" t="n">
        <f aca="false">AD57*$AD$5/12</f>
        <v>0</v>
      </c>
      <c r="AF57" s="29" t="n">
        <f aca="false">MIN($AD$6,AD57+AE57)</f>
        <v>0</v>
      </c>
      <c r="AG57" s="30" t="n">
        <f aca="false">MAX(0,MIN(X57,AD57+AE57-AF57))</f>
        <v>0</v>
      </c>
      <c r="AH57" s="29" t="n">
        <f aca="false">X57-AG57</f>
        <v>690</v>
      </c>
      <c r="AI57" s="34" t="n">
        <f aca="false">AD57+AE57-AF57-AG57</f>
        <v>0</v>
      </c>
      <c r="AJ57" s="34" t="n">
        <f aca="false">AM56</f>
        <v>0</v>
      </c>
      <c r="AK57" s="34" t="n">
        <f aca="false">AJ57*$AD$5/12</f>
        <v>0</v>
      </c>
      <c r="AL57" s="29" t="n">
        <f aca="false">MIN($AD$6,AJ57+AK57)</f>
        <v>0</v>
      </c>
      <c r="AM57" s="34" t="n">
        <f aca="false">AJ57+AK57-AL57</f>
        <v>0</v>
      </c>
      <c r="AN57" s="34" t="n">
        <f aca="false">AS56</f>
        <v>0</v>
      </c>
      <c r="AO57" s="34" t="n">
        <f aca="false">AN57*$AN$5/12</f>
        <v>0</v>
      </c>
      <c r="AP57" s="29" t="n">
        <f aca="false">MIN($AN$6,AN57+AO57)</f>
        <v>0</v>
      </c>
      <c r="AQ57" s="30" t="n">
        <f aca="false">MAX(0,MIN(AH57,AN57+AO57-AP57))</f>
        <v>0</v>
      </c>
      <c r="AR57" s="29" t="n">
        <f aca="false">AH57-AQ57</f>
        <v>690</v>
      </c>
      <c r="AS57" s="34" t="n">
        <f aca="false">AN57+AO57-AP57-AQ57</f>
        <v>0</v>
      </c>
      <c r="AT57" s="34" t="n">
        <f aca="false">AW56</f>
        <v>7983.53611694769</v>
      </c>
      <c r="AU57" s="34" t="n">
        <f aca="false">AT57*$AN$5/12</f>
        <v>36.5912072026769</v>
      </c>
      <c r="AV57" s="29" t="n">
        <f aca="false">MIN($AN$6,AT57+AU57)</f>
        <v>130</v>
      </c>
      <c r="AW57" s="34" t="n">
        <f aca="false">AT57+AU57-AV57</f>
        <v>7890.12732415037</v>
      </c>
      <c r="AX57" s="30" t="n">
        <f aca="false">BC56</f>
        <v>0</v>
      </c>
      <c r="AY57" s="30" t="n">
        <f aca="false">AX57*$AX$5/12</f>
        <v>0</v>
      </c>
      <c r="AZ57" s="30" t="n">
        <f aca="false">MIN($AX$6,AX57+AY57)</f>
        <v>0</v>
      </c>
      <c r="BA57" s="30" t="n">
        <f aca="false">MAX(0,MIN(AR57,AX57+AY57-AZ57))</f>
        <v>0</v>
      </c>
      <c r="BB57" s="29" t="n">
        <f aca="false">AR57-BA57</f>
        <v>690</v>
      </c>
      <c r="BC57" s="30" t="n">
        <f aca="false">AX57+AY57-AZ57-BA57</f>
        <v>0</v>
      </c>
      <c r="BD57" s="30" t="n">
        <f aca="false">BG56</f>
        <v>0</v>
      </c>
      <c r="BE57" s="30" t="n">
        <f aca="false">BD57*$AX$5/12</f>
        <v>0</v>
      </c>
      <c r="BF57" s="30" t="n">
        <f aca="false">MIN($AX$6,BD57+BE57)</f>
        <v>0</v>
      </c>
      <c r="BG57" s="30" t="n">
        <f aca="false">BD57+BE57-BF57</f>
        <v>0</v>
      </c>
      <c r="BH57" s="30" t="n">
        <f aca="false">BM56</f>
        <v>0</v>
      </c>
      <c r="BI57" s="30" t="n">
        <f aca="false">BH57*$BH$5/12</f>
        <v>0</v>
      </c>
      <c r="BJ57" s="30" t="n">
        <f aca="false">MIN($BH$6,BH57+BI57)</f>
        <v>0</v>
      </c>
      <c r="BK57" s="30" t="n">
        <f aca="false">MAX(0,MIN(BB57,BH57+BI57-BJ57))</f>
        <v>0</v>
      </c>
      <c r="BL57" s="29" t="n">
        <f aca="false">BB57-BK57</f>
        <v>690</v>
      </c>
      <c r="BM57" s="30" t="n">
        <f aca="false">BH57+BI57-BJ57-BK57</f>
        <v>0</v>
      </c>
      <c r="BN57" s="30" t="n">
        <f aca="false">BQ56</f>
        <v>0</v>
      </c>
      <c r="BO57" s="30" t="n">
        <f aca="false">BN57*$BH$5/12</f>
        <v>0</v>
      </c>
      <c r="BP57" s="30" t="n">
        <f aca="false">MIN($BH$6,BN57+BO57)</f>
        <v>0</v>
      </c>
      <c r="BQ57" s="30" t="n">
        <f aca="false">BN57+BO57-BP57</f>
        <v>0</v>
      </c>
      <c r="BR57" s="30" t="n">
        <f aca="false">BW56</f>
        <v>0</v>
      </c>
      <c r="BS57" s="30" t="n">
        <f aca="false">BR57*$BR$5/12</f>
        <v>0</v>
      </c>
      <c r="BT57" s="30" t="n">
        <f aca="false">MIN($BR$6,BR57+BS57)</f>
        <v>0</v>
      </c>
      <c r="BU57" s="30" t="n">
        <f aca="false">MAX(0,MIN(BL57,BR57+BS57-BT57))</f>
        <v>0</v>
      </c>
      <c r="BV57" s="29" t="n">
        <f aca="false">BL57-BU57</f>
        <v>690</v>
      </c>
      <c r="BW57" s="30" t="n">
        <f aca="false">BR57+BS57-BT57-BU57</f>
        <v>0</v>
      </c>
      <c r="BX57" s="30" t="n">
        <f aca="false">CA56</f>
        <v>0</v>
      </c>
      <c r="BY57" s="30" t="n">
        <f aca="false">BX57*$BR$5/12</f>
        <v>0</v>
      </c>
      <c r="BZ57" s="30" t="n">
        <f aca="false">MIN($BR$6,BX57+BY57)</f>
        <v>0</v>
      </c>
      <c r="CA57" s="30" t="n">
        <f aca="false">BX57+BY57-BZ57</f>
        <v>0</v>
      </c>
      <c r="CB57" s="30" t="n">
        <f aca="false">CG56</f>
        <v>0</v>
      </c>
      <c r="CC57" s="30" t="n">
        <f aca="false">CB57*$CB$5/12</f>
        <v>0</v>
      </c>
      <c r="CD57" s="30" t="n">
        <f aca="false">MIN($CB$6,CB57+CC57)</f>
        <v>0</v>
      </c>
      <c r="CE57" s="30" t="n">
        <f aca="false">MAX(0,MIN(BV57,CB57+CC57-CD57))</f>
        <v>0</v>
      </c>
      <c r="CF57" s="29" t="n">
        <f aca="false">BV57-CE57</f>
        <v>690</v>
      </c>
      <c r="CG57" s="30" t="n">
        <f aca="false">CB57+CC57-CD57-CE57</f>
        <v>0</v>
      </c>
      <c r="CH57" s="30" t="n">
        <f aca="false">CK56</f>
        <v>0</v>
      </c>
      <c r="CI57" s="30" t="n">
        <f aca="false">CH57*$CB$5/12</f>
        <v>0</v>
      </c>
      <c r="CJ57" s="30" t="n">
        <f aca="false">MIN($CB$6,CH57+CI57)</f>
        <v>0</v>
      </c>
      <c r="CK57" s="30" t="n">
        <f aca="false">CH57+CI57-CJ57</f>
        <v>0</v>
      </c>
    </row>
    <row r="58" customFormat="false" ht="15" hidden="false" customHeight="false" outlineLevel="0" collapsed="false">
      <c r="A58" s="0" t="n">
        <v>50</v>
      </c>
      <c r="B58" s="29" t="n">
        <f aca="false">'1 Your debts'!$B$16-(L58+V58+AF58+AP58+AZ58+BJ58+BT58+CD58)</f>
        <v>690</v>
      </c>
      <c r="C58" s="34" t="n">
        <f aca="false">O58+Y58+AI58+AS58+BC58+BM58+BW58+CG58</f>
        <v>0</v>
      </c>
      <c r="D58" s="34" t="n">
        <f aca="false">K58+U58+AE58+AO58+AY58+BI58+BS58+CC58</f>
        <v>0</v>
      </c>
      <c r="F58" s="34" t="n">
        <f aca="false">S58+AC58+AM58+AW58+BG58+BQ58+CA58+CK58</f>
        <v>11120.8548579791</v>
      </c>
      <c r="G58" s="34" t="n">
        <f aca="false">Q58+AA58+AK58+AU58+BE58+BO58+BY58+CI58</f>
        <v>104.284995480833</v>
      </c>
      <c r="J58" s="34" t="n">
        <f aca="false">O57</f>
        <v>0</v>
      </c>
      <c r="K58" s="34" t="n">
        <f aca="false">J58*$J$5/12</f>
        <v>0</v>
      </c>
      <c r="L58" s="29" t="n">
        <f aca="false">MIN($J$6,J58+K58)</f>
        <v>0</v>
      </c>
      <c r="M58" s="30" t="n">
        <f aca="false">MAX(0,MIN($B58,J58+K58-L58))</f>
        <v>0</v>
      </c>
      <c r="N58" s="29" t="n">
        <f aca="false">$B58-M58</f>
        <v>690</v>
      </c>
      <c r="O58" s="34" t="n">
        <f aca="false">J58+K58-L58-M58</f>
        <v>0</v>
      </c>
      <c r="P58" s="34" t="n">
        <f aca="false">S57</f>
        <v>2730.30159051944</v>
      </c>
      <c r="Q58" s="34" t="n">
        <f aca="false">P58*$J$5/12</f>
        <v>56.8585306225674</v>
      </c>
      <c r="R58" s="29" t="n">
        <f aca="false">MIN($J$6,P58+Q58)</f>
        <v>105</v>
      </c>
      <c r="S58" s="34" t="n">
        <f aca="false">P58+Q58-R58</f>
        <v>2682.16012114201</v>
      </c>
      <c r="T58" s="34" t="n">
        <f aca="false">Y57</f>
        <v>0</v>
      </c>
      <c r="U58" s="34" t="n">
        <f aca="false">T58*$T$5/12</f>
        <v>0</v>
      </c>
      <c r="V58" s="29" t="n">
        <f aca="false">MIN($T$6,T58+U58)</f>
        <v>0</v>
      </c>
      <c r="W58" s="30" t="n">
        <f aca="false">MAX(0,MIN(N58,T58+U58-V58))</f>
        <v>0</v>
      </c>
      <c r="X58" s="29" t="n">
        <f aca="false">N58-W58</f>
        <v>690</v>
      </c>
      <c r="Y58" s="34" t="n">
        <f aca="false">T58+U58-V58-W58</f>
        <v>0</v>
      </c>
      <c r="Z58" s="34" t="n">
        <f aca="false">AC57</f>
        <v>676.140947828493</v>
      </c>
      <c r="AA58" s="34" t="n">
        <f aca="false">Z58*$T$5/12</f>
        <v>11.263381289243</v>
      </c>
      <c r="AB58" s="29" t="n">
        <f aca="false">MIN($T$6,Z58+AA58)</f>
        <v>45</v>
      </c>
      <c r="AC58" s="34" t="n">
        <f aca="false">Z58+AA58-AB58</f>
        <v>642.404329117736</v>
      </c>
      <c r="AD58" s="34" t="n">
        <f aca="false">AI57</f>
        <v>0</v>
      </c>
      <c r="AE58" s="34" t="n">
        <f aca="false">AD58*$AD$5/12</f>
        <v>0</v>
      </c>
      <c r="AF58" s="29" t="n">
        <f aca="false">MIN($AD$6,AD58+AE58)</f>
        <v>0</v>
      </c>
      <c r="AG58" s="30" t="n">
        <f aca="false">MAX(0,MIN(X58,AD58+AE58-AF58))</f>
        <v>0</v>
      </c>
      <c r="AH58" s="29" t="n">
        <f aca="false">X58-AG58</f>
        <v>690</v>
      </c>
      <c r="AI58" s="34" t="n">
        <f aca="false">AD58+AE58-AF58-AG58</f>
        <v>0</v>
      </c>
      <c r="AJ58" s="34" t="n">
        <f aca="false">AM57</f>
        <v>0</v>
      </c>
      <c r="AK58" s="34" t="n">
        <f aca="false">AJ58*$AD$5/12</f>
        <v>0</v>
      </c>
      <c r="AL58" s="29" t="n">
        <f aca="false">MIN($AD$6,AJ58+AK58)</f>
        <v>0</v>
      </c>
      <c r="AM58" s="34" t="n">
        <f aca="false">AJ58+AK58-AL58</f>
        <v>0</v>
      </c>
      <c r="AN58" s="34" t="n">
        <f aca="false">AS57</f>
        <v>0</v>
      </c>
      <c r="AO58" s="34" t="n">
        <f aca="false">AN58*$AN$5/12</f>
        <v>0</v>
      </c>
      <c r="AP58" s="29" t="n">
        <f aca="false">MIN($AN$6,AN58+AO58)</f>
        <v>0</v>
      </c>
      <c r="AQ58" s="30" t="n">
        <f aca="false">MAX(0,MIN(AH58,AN58+AO58-AP58))</f>
        <v>0</v>
      </c>
      <c r="AR58" s="29" t="n">
        <f aca="false">AH58-AQ58</f>
        <v>690</v>
      </c>
      <c r="AS58" s="34" t="n">
        <f aca="false">AN58+AO58-AP58-AQ58</f>
        <v>0</v>
      </c>
      <c r="AT58" s="34" t="n">
        <f aca="false">AW57</f>
        <v>7890.12732415037</v>
      </c>
      <c r="AU58" s="34" t="n">
        <f aca="false">AT58*$AN$5/12</f>
        <v>36.1630835690225</v>
      </c>
      <c r="AV58" s="29" t="n">
        <f aca="false">MIN($AN$6,AT58+AU58)</f>
        <v>130</v>
      </c>
      <c r="AW58" s="34" t="n">
        <f aca="false">AT58+AU58-AV58</f>
        <v>7796.29040771939</v>
      </c>
      <c r="AX58" s="30" t="n">
        <f aca="false">BC57</f>
        <v>0</v>
      </c>
      <c r="AY58" s="30" t="n">
        <f aca="false">AX58*$AX$5/12</f>
        <v>0</v>
      </c>
      <c r="AZ58" s="30" t="n">
        <f aca="false">MIN($AX$6,AX58+AY58)</f>
        <v>0</v>
      </c>
      <c r="BA58" s="30" t="n">
        <f aca="false">MAX(0,MIN(AR58,AX58+AY58-AZ58))</f>
        <v>0</v>
      </c>
      <c r="BB58" s="29" t="n">
        <f aca="false">AR58-BA58</f>
        <v>690</v>
      </c>
      <c r="BC58" s="30" t="n">
        <f aca="false">AX58+AY58-AZ58-BA58</f>
        <v>0</v>
      </c>
      <c r="BD58" s="30" t="n">
        <f aca="false">BG57</f>
        <v>0</v>
      </c>
      <c r="BE58" s="30" t="n">
        <f aca="false">BD58*$AX$5/12</f>
        <v>0</v>
      </c>
      <c r="BF58" s="30" t="n">
        <f aca="false">MIN($AX$6,BD58+BE58)</f>
        <v>0</v>
      </c>
      <c r="BG58" s="30" t="n">
        <f aca="false">BD58+BE58-BF58</f>
        <v>0</v>
      </c>
      <c r="BH58" s="30" t="n">
        <f aca="false">BM57</f>
        <v>0</v>
      </c>
      <c r="BI58" s="30" t="n">
        <f aca="false">BH58*$BH$5/12</f>
        <v>0</v>
      </c>
      <c r="BJ58" s="30" t="n">
        <f aca="false">MIN($BH$6,BH58+BI58)</f>
        <v>0</v>
      </c>
      <c r="BK58" s="30" t="n">
        <f aca="false">MAX(0,MIN(BB58,BH58+BI58-BJ58))</f>
        <v>0</v>
      </c>
      <c r="BL58" s="29" t="n">
        <f aca="false">BB58-BK58</f>
        <v>690</v>
      </c>
      <c r="BM58" s="30" t="n">
        <f aca="false">BH58+BI58-BJ58-BK58</f>
        <v>0</v>
      </c>
      <c r="BN58" s="30" t="n">
        <f aca="false">BQ57</f>
        <v>0</v>
      </c>
      <c r="BO58" s="30" t="n">
        <f aca="false">BN58*$BH$5/12</f>
        <v>0</v>
      </c>
      <c r="BP58" s="30" t="n">
        <f aca="false">MIN($BH$6,BN58+BO58)</f>
        <v>0</v>
      </c>
      <c r="BQ58" s="30" t="n">
        <f aca="false">BN58+BO58-BP58</f>
        <v>0</v>
      </c>
      <c r="BR58" s="30" t="n">
        <f aca="false">BW57</f>
        <v>0</v>
      </c>
      <c r="BS58" s="30" t="n">
        <f aca="false">BR58*$BR$5/12</f>
        <v>0</v>
      </c>
      <c r="BT58" s="30" t="n">
        <f aca="false">MIN($BR$6,BR58+BS58)</f>
        <v>0</v>
      </c>
      <c r="BU58" s="30" t="n">
        <f aca="false">MAX(0,MIN(BL58,BR58+BS58-BT58))</f>
        <v>0</v>
      </c>
      <c r="BV58" s="29" t="n">
        <f aca="false">BL58-BU58</f>
        <v>690</v>
      </c>
      <c r="BW58" s="30" t="n">
        <f aca="false">BR58+BS58-BT58-BU58</f>
        <v>0</v>
      </c>
      <c r="BX58" s="30" t="n">
        <f aca="false">CA57</f>
        <v>0</v>
      </c>
      <c r="BY58" s="30" t="n">
        <f aca="false">BX58*$BR$5/12</f>
        <v>0</v>
      </c>
      <c r="BZ58" s="30" t="n">
        <f aca="false">MIN($BR$6,BX58+BY58)</f>
        <v>0</v>
      </c>
      <c r="CA58" s="30" t="n">
        <f aca="false">BX58+BY58-BZ58</f>
        <v>0</v>
      </c>
      <c r="CB58" s="30" t="n">
        <f aca="false">CG57</f>
        <v>0</v>
      </c>
      <c r="CC58" s="30" t="n">
        <f aca="false">CB58*$CB$5/12</f>
        <v>0</v>
      </c>
      <c r="CD58" s="30" t="n">
        <f aca="false">MIN($CB$6,CB58+CC58)</f>
        <v>0</v>
      </c>
      <c r="CE58" s="30" t="n">
        <f aca="false">MAX(0,MIN(BV58,CB58+CC58-CD58))</f>
        <v>0</v>
      </c>
      <c r="CF58" s="29" t="n">
        <f aca="false">BV58-CE58</f>
        <v>690</v>
      </c>
      <c r="CG58" s="30" t="n">
        <f aca="false">CB58+CC58-CD58-CE58</f>
        <v>0</v>
      </c>
      <c r="CH58" s="30" t="n">
        <f aca="false">CK57</f>
        <v>0</v>
      </c>
      <c r="CI58" s="30" t="n">
        <f aca="false">CH58*$CB$5/12</f>
        <v>0</v>
      </c>
      <c r="CJ58" s="30" t="n">
        <f aca="false">MIN($CB$6,CH58+CI58)</f>
        <v>0</v>
      </c>
      <c r="CK58" s="30" t="n">
        <f aca="false">CH58+CI58-CJ58</f>
        <v>0</v>
      </c>
    </row>
    <row r="59" customFormat="false" ht="15" hidden="false" customHeight="false" outlineLevel="0" collapsed="false">
      <c r="A59" s="0" t="n">
        <v>51</v>
      </c>
      <c r="B59" s="29" t="n">
        <f aca="false">'1 Your debts'!$B$16-(L59+V59+AF59+AP59+AZ59+BJ59+BT59+CD59)</f>
        <v>690</v>
      </c>
      <c r="C59" s="34" t="n">
        <f aca="false">O59+Y59+AI59+AS59+BC59+BM59+BW59+CG59</f>
        <v>0</v>
      </c>
      <c r="D59" s="34" t="n">
        <f aca="false">K59+U59+AE59+AO59+AY59+BI59+BS59+CC59</f>
        <v>0</v>
      </c>
      <c r="F59" s="34" t="n">
        <f aca="false">S59+AC59+AM59+AW59+BG59+BQ59+CA59+CK59</f>
        <v>10943.1452256532</v>
      </c>
      <c r="G59" s="34" t="n">
        <f aca="false">Q59+AA59+AK59+AU59+BE59+BO59+BY59+CI59</f>
        <v>102.290367674049</v>
      </c>
      <c r="J59" s="34" t="n">
        <f aca="false">O58</f>
        <v>0</v>
      </c>
      <c r="K59" s="34" t="n">
        <f aca="false">J59*$J$5/12</f>
        <v>0</v>
      </c>
      <c r="L59" s="29" t="n">
        <f aca="false">MIN($J$6,J59+K59)</f>
        <v>0</v>
      </c>
      <c r="M59" s="30" t="n">
        <f aca="false">MAX(0,MIN($B59,J59+K59-L59))</f>
        <v>0</v>
      </c>
      <c r="N59" s="29" t="n">
        <f aca="false">$B59-M59</f>
        <v>690</v>
      </c>
      <c r="O59" s="34" t="n">
        <f aca="false">J59+K59-L59-M59</f>
        <v>0</v>
      </c>
      <c r="P59" s="34" t="n">
        <f aca="false">S58</f>
        <v>2682.16012114201</v>
      </c>
      <c r="Q59" s="34" t="n">
        <f aca="false">P59*$J$5/12</f>
        <v>55.8559845227823</v>
      </c>
      <c r="R59" s="29" t="n">
        <f aca="false">MIN($J$6,P59+Q59)</f>
        <v>105</v>
      </c>
      <c r="S59" s="34" t="n">
        <f aca="false">P59+Q59-R59</f>
        <v>2633.01610566479</v>
      </c>
      <c r="T59" s="34" t="n">
        <f aca="false">Y58</f>
        <v>0</v>
      </c>
      <c r="U59" s="34" t="n">
        <f aca="false">T59*$T$5/12</f>
        <v>0</v>
      </c>
      <c r="V59" s="29" t="n">
        <f aca="false">MIN($T$6,T59+U59)</f>
        <v>0</v>
      </c>
      <c r="W59" s="30" t="n">
        <f aca="false">MAX(0,MIN(N59,T59+U59-V59))</f>
        <v>0</v>
      </c>
      <c r="X59" s="29" t="n">
        <f aca="false">N59-W59</f>
        <v>690</v>
      </c>
      <c r="Y59" s="34" t="n">
        <f aca="false">T59+U59-V59-W59</f>
        <v>0</v>
      </c>
      <c r="Z59" s="34" t="n">
        <f aca="false">AC58</f>
        <v>642.404329117736</v>
      </c>
      <c r="AA59" s="34" t="n">
        <f aca="false">Z59*$T$5/12</f>
        <v>10.7013854492196</v>
      </c>
      <c r="AB59" s="29" t="n">
        <f aca="false">MIN($T$6,Z59+AA59)</f>
        <v>45</v>
      </c>
      <c r="AC59" s="34" t="n">
        <f aca="false">Z59+AA59-AB59</f>
        <v>608.105714566955</v>
      </c>
      <c r="AD59" s="34" t="n">
        <f aca="false">AI58</f>
        <v>0</v>
      </c>
      <c r="AE59" s="34" t="n">
        <f aca="false">AD59*$AD$5/12</f>
        <v>0</v>
      </c>
      <c r="AF59" s="29" t="n">
        <f aca="false">MIN($AD$6,AD59+AE59)</f>
        <v>0</v>
      </c>
      <c r="AG59" s="30" t="n">
        <f aca="false">MAX(0,MIN(X59,AD59+AE59-AF59))</f>
        <v>0</v>
      </c>
      <c r="AH59" s="29" t="n">
        <f aca="false">X59-AG59</f>
        <v>690</v>
      </c>
      <c r="AI59" s="34" t="n">
        <f aca="false">AD59+AE59-AF59-AG59</f>
        <v>0</v>
      </c>
      <c r="AJ59" s="34" t="n">
        <f aca="false">AM58</f>
        <v>0</v>
      </c>
      <c r="AK59" s="34" t="n">
        <f aca="false">AJ59*$AD$5/12</f>
        <v>0</v>
      </c>
      <c r="AL59" s="29" t="n">
        <f aca="false">MIN($AD$6,AJ59+AK59)</f>
        <v>0</v>
      </c>
      <c r="AM59" s="34" t="n">
        <f aca="false">AJ59+AK59-AL59</f>
        <v>0</v>
      </c>
      <c r="AN59" s="34" t="n">
        <f aca="false">AS58</f>
        <v>0</v>
      </c>
      <c r="AO59" s="34" t="n">
        <f aca="false">AN59*$AN$5/12</f>
        <v>0</v>
      </c>
      <c r="AP59" s="29" t="n">
        <f aca="false">MIN($AN$6,AN59+AO59)</f>
        <v>0</v>
      </c>
      <c r="AQ59" s="30" t="n">
        <f aca="false">MAX(0,MIN(AH59,AN59+AO59-AP59))</f>
        <v>0</v>
      </c>
      <c r="AR59" s="29" t="n">
        <f aca="false">AH59-AQ59</f>
        <v>690</v>
      </c>
      <c r="AS59" s="34" t="n">
        <f aca="false">AN59+AO59-AP59-AQ59</f>
        <v>0</v>
      </c>
      <c r="AT59" s="34" t="n">
        <f aca="false">AW58</f>
        <v>7796.29040771939</v>
      </c>
      <c r="AU59" s="34" t="n">
        <f aca="false">AT59*$AN$5/12</f>
        <v>35.7329977020472</v>
      </c>
      <c r="AV59" s="29" t="n">
        <f aca="false">MIN($AN$6,AT59+AU59)</f>
        <v>130</v>
      </c>
      <c r="AW59" s="34" t="n">
        <f aca="false">AT59+AU59-AV59</f>
        <v>7702.02340542144</v>
      </c>
      <c r="AX59" s="30" t="n">
        <f aca="false">BC58</f>
        <v>0</v>
      </c>
      <c r="AY59" s="30" t="n">
        <f aca="false">AX59*$AX$5/12</f>
        <v>0</v>
      </c>
      <c r="AZ59" s="30" t="n">
        <f aca="false">MIN($AX$6,AX59+AY59)</f>
        <v>0</v>
      </c>
      <c r="BA59" s="30" t="n">
        <f aca="false">MAX(0,MIN(AR59,AX59+AY59-AZ59))</f>
        <v>0</v>
      </c>
      <c r="BB59" s="29" t="n">
        <f aca="false">AR59-BA59</f>
        <v>690</v>
      </c>
      <c r="BC59" s="30" t="n">
        <f aca="false">AX59+AY59-AZ59-BA59</f>
        <v>0</v>
      </c>
      <c r="BD59" s="30" t="n">
        <f aca="false">BG58</f>
        <v>0</v>
      </c>
      <c r="BE59" s="30" t="n">
        <f aca="false">BD59*$AX$5/12</f>
        <v>0</v>
      </c>
      <c r="BF59" s="30" t="n">
        <f aca="false">MIN($AX$6,BD59+BE59)</f>
        <v>0</v>
      </c>
      <c r="BG59" s="30" t="n">
        <f aca="false">BD59+BE59-BF59</f>
        <v>0</v>
      </c>
      <c r="BH59" s="30" t="n">
        <f aca="false">BM58</f>
        <v>0</v>
      </c>
      <c r="BI59" s="30" t="n">
        <f aca="false">BH59*$BH$5/12</f>
        <v>0</v>
      </c>
      <c r="BJ59" s="30" t="n">
        <f aca="false">MIN($BH$6,BH59+BI59)</f>
        <v>0</v>
      </c>
      <c r="BK59" s="30" t="n">
        <f aca="false">MAX(0,MIN(BB59,BH59+BI59-BJ59))</f>
        <v>0</v>
      </c>
      <c r="BL59" s="29" t="n">
        <f aca="false">BB59-BK59</f>
        <v>690</v>
      </c>
      <c r="BM59" s="30" t="n">
        <f aca="false">BH59+BI59-BJ59-BK59</f>
        <v>0</v>
      </c>
      <c r="BN59" s="30" t="n">
        <f aca="false">BQ58</f>
        <v>0</v>
      </c>
      <c r="BO59" s="30" t="n">
        <f aca="false">BN59*$BH$5/12</f>
        <v>0</v>
      </c>
      <c r="BP59" s="30" t="n">
        <f aca="false">MIN($BH$6,BN59+BO59)</f>
        <v>0</v>
      </c>
      <c r="BQ59" s="30" t="n">
        <f aca="false">BN59+BO59-BP59</f>
        <v>0</v>
      </c>
      <c r="BR59" s="30" t="n">
        <f aca="false">BW58</f>
        <v>0</v>
      </c>
      <c r="BS59" s="30" t="n">
        <f aca="false">BR59*$BR$5/12</f>
        <v>0</v>
      </c>
      <c r="BT59" s="30" t="n">
        <f aca="false">MIN($BR$6,BR59+BS59)</f>
        <v>0</v>
      </c>
      <c r="BU59" s="30" t="n">
        <f aca="false">MAX(0,MIN(BL59,BR59+BS59-BT59))</f>
        <v>0</v>
      </c>
      <c r="BV59" s="29" t="n">
        <f aca="false">BL59-BU59</f>
        <v>690</v>
      </c>
      <c r="BW59" s="30" t="n">
        <f aca="false">BR59+BS59-BT59-BU59</f>
        <v>0</v>
      </c>
      <c r="BX59" s="30" t="n">
        <f aca="false">CA58</f>
        <v>0</v>
      </c>
      <c r="BY59" s="30" t="n">
        <f aca="false">BX59*$BR$5/12</f>
        <v>0</v>
      </c>
      <c r="BZ59" s="30" t="n">
        <f aca="false">MIN($BR$6,BX59+BY59)</f>
        <v>0</v>
      </c>
      <c r="CA59" s="30" t="n">
        <f aca="false">BX59+BY59-BZ59</f>
        <v>0</v>
      </c>
      <c r="CB59" s="30" t="n">
        <f aca="false">CG58</f>
        <v>0</v>
      </c>
      <c r="CC59" s="30" t="n">
        <f aca="false">CB59*$CB$5/12</f>
        <v>0</v>
      </c>
      <c r="CD59" s="30" t="n">
        <f aca="false">MIN($CB$6,CB59+CC59)</f>
        <v>0</v>
      </c>
      <c r="CE59" s="30" t="n">
        <f aca="false">MAX(0,MIN(BV59,CB59+CC59-CD59))</f>
        <v>0</v>
      </c>
      <c r="CF59" s="29" t="n">
        <f aca="false">BV59-CE59</f>
        <v>690</v>
      </c>
      <c r="CG59" s="30" t="n">
        <f aca="false">CB59+CC59-CD59-CE59</f>
        <v>0</v>
      </c>
      <c r="CH59" s="30" t="n">
        <f aca="false">CK58</f>
        <v>0</v>
      </c>
      <c r="CI59" s="30" t="n">
        <f aca="false">CH59*$CB$5/12</f>
        <v>0</v>
      </c>
      <c r="CJ59" s="30" t="n">
        <f aca="false">MIN($CB$6,CH59+CI59)</f>
        <v>0</v>
      </c>
      <c r="CK59" s="30" t="n">
        <f aca="false">CH59+CI59-CJ59</f>
        <v>0</v>
      </c>
    </row>
    <row r="60" customFormat="false" ht="15" hidden="false" customHeight="false" outlineLevel="0" collapsed="false">
      <c r="A60" s="0" t="n">
        <v>52</v>
      </c>
      <c r="B60" s="29" t="n">
        <f aca="false">'1 Your debts'!$B$16-(L60+V60+AF60+AP60+AZ60+BJ60+BT60+CD60)</f>
        <v>690</v>
      </c>
      <c r="C60" s="34" t="n">
        <f aca="false">O60+Y60+AI60+AS60+BC60+BM60+BW60+CG60</f>
        <v>0</v>
      </c>
      <c r="D60" s="34" t="n">
        <f aca="false">K60+U60+AE60+AO60+AY60+BI60+BS60+CC60</f>
        <v>0</v>
      </c>
      <c r="F60" s="34" t="n">
        <f aca="false">S60+AC60+AM60+AW60+BG60+BQ60+CA60+CK60</f>
        <v>10763.408754357</v>
      </c>
      <c r="G60" s="34" t="n">
        <f aca="false">Q60+AA60+AK60+AU60+BE60+BO60+BY60+CI60</f>
        <v>100.263528703812</v>
      </c>
      <c r="J60" s="34" t="n">
        <f aca="false">O59</f>
        <v>0</v>
      </c>
      <c r="K60" s="34" t="n">
        <f aca="false">J60*$J$5/12</f>
        <v>0</v>
      </c>
      <c r="L60" s="29" t="n">
        <f aca="false">MIN($J$6,J60+K60)</f>
        <v>0</v>
      </c>
      <c r="M60" s="30" t="n">
        <f aca="false">MAX(0,MIN($B60,J60+K60-L60))</f>
        <v>0</v>
      </c>
      <c r="N60" s="29" t="n">
        <f aca="false">$B60-M60</f>
        <v>690</v>
      </c>
      <c r="O60" s="34" t="n">
        <f aca="false">J60+K60-L60-M60</f>
        <v>0</v>
      </c>
      <c r="P60" s="34" t="n">
        <f aca="false">S59</f>
        <v>2633.01610566479</v>
      </c>
      <c r="Q60" s="34" t="n">
        <f aca="false">P60*$J$5/12</f>
        <v>54.8325604004693</v>
      </c>
      <c r="R60" s="29" t="n">
        <f aca="false">MIN($J$6,P60+Q60)</f>
        <v>105</v>
      </c>
      <c r="S60" s="34" t="n">
        <f aca="false">P60+Q60-R60</f>
        <v>2582.84866606526</v>
      </c>
      <c r="T60" s="34" t="n">
        <f aca="false">Y59</f>
        <v>0</v>
      </c>
      <c r="U60" s="34" t="n">
        <f aca="false">T60*$T$5/12</f>
        <v>0</v>
      </c>
      <c r="V60" s="29" t="n">
        <f aca="false">MIN($T$6,T60+U60)</f>
        <v>0</v>
      </c>
      <c r="W60" s="30" t="n">
        <f aca="false">MAX(0,MIN(N60,T60+U60-V60))</f>
        <v>0</v>
      </c>
      <c r="X60" s="29" t="n">
        <f aca="false">N60-W60</f>
        <v>690</v>
      </c>
      <c r="Y60" s="34" t="n">
        <f aca="false">T60+U60-V60-W60</f>
        <v>0</v>
      </c>
      <c r="Z60" s="34" t="n">
        <f aca="false">AC59</f>
        <v>608.105714566955</v>
      </c>
      <c r="AA60" s="34" t="n">
        <f aca="false">Z60*$T$5/12</f>
        <v>10.1300276951612</v>
      </c>
      <c r="AB60" s="29" t="n">
        <f aca="false">MIN($T$6,Z60+AA60)</f>
        <v>45</v>
      </c>
      <c r="AC60" s="34" t="n">
        <f aca="false">Z60+AA60-AB60</f>
        <v>573.235742262116</v>
      </c>
      <c r="AD60" s="34" t="n">
        <f aca="false">AI59</f>
        <v>0</v>
      </c>
      <c r="AE60" s="34" t="n">
        <f aca="false">AD60*$AD$5/12</f>
        <v>0</v>
      </c>
      <c r="AF60" s="29" t="n">
        <f aca="false">MIN($AD$6,AD60+AE60)</f>
        <v>0</v>
      </c>
      <c r="AG60" s="30" t="n">
        <f aca="false">MAX(0,MIN(X60,AD60+AE60-AF60))</f>
        <v>0</v>
      </c>
      <c r="AH60" s="29" t="n">
        <f aca="false">X60-AG60</f>
        <v>690</v>
      </c>
      <c r="AI60" s="34" t="n">
        <f aca="false">AD60+AE60-AF60-AG60</f>
        <v>0</v>
      </c>
      <c r="AJ60" s="34" t="n">
        <f aca="false">AM59</f>
        <v>0</v>
      </c>
      <c r="AK60" s="34" t="n">
        <f aca="false">AJ60*$AD$5/12</f>
        <v>0</v>
      </c>
      <c r="AL60" s="29" t="n">
        <f aca="false">MIN($AD$6,AJ60+AK60)</f>
        <v>0</v>
      </c>
      <c r="AM60" s="34" t="n">
        <f aca="false">AJ60+AK60-AL60</f>
        <v>0</v>
      </c>
      <c r="AN60" s="34" t="n">
        <f aca="false">AS59</f>
        <v>0</v>
      </c>
      <c r="AO60" s="34" t="n">
        <f aca="false">AN60*$AN$5/12</f>
        <v>0</v>
      </c>
      <c r="AP60" s="29" t="n">
        <f aca="false">MIN($AN$6,AN60+AO60)</f>
        <v>0</v>
      </c>
      <c r="AQ60" s="30" t="n">
        <f aca="false">MAX(0,MIN(AH60,AN60+AO60-AP60))</f>
        <v>0</v>
      </c>
      <c r="AR60" s="29" t="n">
        <f aca="false">AH60-AQ60</f>
        <v>690</v>
      </c>
      <c r="AS60" s="34" t="n">
        <f aca="false">AN60+AO60-AP60-AQ60</f>
        <v>0</v>
      </c>
      <c r="AT60" s="34" t="n">
        <f aca="false">AW59</f>
        <v>7702.02340542144</v>
      </c>
      <c r="AU60" s="34" t="n">
        <f aca="false">AT60*$AN$5/12</f>
        <v>35.3009406081816</v>
      </c>
      <c r="AV60" s="29" t="n">
        <f aca="false">MIN($AN$6,AT60+AU60)</f>
        <v>130</v>
      </c>
      <c r="AW60" s="34" t="n">
        <f aca="false">AT60+AU60-AV60</f>
        <v>7607.32434602962</v>
      </c>
      <c r="AX60" s="30" t="n">
        <f aca="false">BC59</f>
        <v>0</v>
      </c>
      <c r="AY60" s="30" t="n">
        <f aca="false">AX60*$AX$5/12</f>
        <v>0</v>
      </c>
      <c r="AZ60" s="30" t="n">
        <f aca="false">MIN($AX$6,AX60+AY60)</f>
        <v>0</v>
      </c>
      <c r="BA60" s="30" t="n">
        <f aca="false">MAX(0,MIN(AR60,AX60+AY60-AZ60))</f>
        <v>0</v>
      </c>
      <c r="BB60" s="29" t="n">
        <f aca="false">AR60-BA60</f>
        <v>690</v>
      </c>
      <c r="BC60" s="30" t="n">
        <f aca="false">AX60+AY60-AZ60-BA60</f>
        <v>0</v>
      </c>
      <c r="BD60" s="30" t="n">
        <f aca="false">BG59</f>
        <v>0</v>
      </c>
      <c r="BE60" s="30" t="n">
        <f aca="false">BD60*$AX$5/12</f>
        <v>0</v>
      </c>
      <c r="BF60" s="30" t="n">
        <f aca="false">MIN($AX$6,BD60+BE60)</f>
        <v>0</v>
      </c>
      <c r="BG60" s="30" t="n">
        <f aca="false">BD60+BE60-BF60</f>
        <v>0</v>
      </c>
      <c r="BH60" s="30" t="n">
        <f aca="false">BM59</f>
        <v>0</v>
      </c>
      <c r="BI60" s="30" t="n">
        <f aca="false">BH60*$BH$5/12</f>
        <v>0</v>
      </c>
      <c r="BJ60" s="30" t="n">
        <f aca="false">MIN($BH$6,BH60+BI60)</f>
        <v>0</v>
      </c>
      <c r="BK60" s="30" t="n">
        <f aca="false">MAX(0,MIN(BB60,BH60+BI60-BJ60))</f>
        <v>0</v>
      </c>
      <c r="BL60" s="29" t="n">
        <f aca="false">BB60-BK60</f>
        <v>690</v>
      </c>
      <c r="BM60" s="30" t="n">
        <f aca="false">BH60+BI60-BJ60-BK60</f>
        <v>0</v>
      </c>
      <c r="BN60" s="30" t="n">
        <f aca="false">BQ59</f>
        <v>0</v>
      </c>
      <c r="BO60" s="30" t="n">
        <f aca="false">BN60*$BH$5/12</f>
        <v>0</v>
      </c>
      <c r="BP60" s="30" t="n">
        <f aca="false">MIN($BH$6,BN60+BO60)</f>
        <v>0</v>
      </c>
      <c r="BQ60" s="30" t="n">
        <f aca="false">BN60+BO60-BP60</f>
        <v>0</v>
      </c>
      <c r="BR60" s="30" t="n">
        <f aca="false">BW59</f>
        <v>0</v>
      </c>
      <c r="BS60" s="30" t="n">
        <f aca="false">BR60*$BR$5/12</f>
        <v>0</v>
      </c>
      <c r="BT60" s="30" t="n">
        <f aca="false">MIN($BR$6,BR60+BS60)</f>
        <v>0</v>
      </c>
      <c r="BU60" s="30" t="n">
        <f aca="false">MAX(0,MIN(BL60,BR60+BS60-BT60))</f>
        <v>0</v>
      </c>
      <c r="BV60" s="29" t="n">
        <f aca="false">BL60-BU60</f>
        <v>690</v>
      </c>
      <c r="BW60" s="30" t="n">
        <f aca="false">BR60+BS60-BT60-BU60</f>
        <v>0</v>
      </c>
      <c r="BX60" s="30" t="n">
        <f aca="false">CA59</f>
        <v>0</v>
      </c>
      <c r="BY60" s="30" t="n">
        <f aca="false">BX60*$BR$5/12</f>
        <v>0</v>
      </c>
      <c r="BZ60" s="30" t="n">
        <f aca="false">MIN($BR$6,BX60+BY60)</f>
        <v>0</v>
      </c>
      <c r="CA60" s="30" t="n">
        <f aca="false">BX60+BY60-BZ60</f>
        <v>0</v>
      </c>
      <c r="CB60" s="30" t="n">
        <f aca="false">CG59</f>
        <v>0</v>
      </c>
      <c r="CC60" s="30" t="n">
        <f aca="false">CB60*$CB$5/12</f>
        <v>0</v>
      </c>
      <c r="CD60" s="30" t="n">
        <f aca="false">MIN($CB$6,CB60+CC60)</f>
        <v>0</v>
      </c>
      <c r="CE60" s="30" t="n">
        <f aca="false">MAX(0,MIN(BV60,CB60+CC60-CD60))</f>
        <v>0</v>
      </c>
      <c r="CF60" s="29" t="n">
        <f aca="false">BV60-CE60</f>
        <v>690</v>
      </c>
      <c r="CG60" s="30" t="n">
        <f aca="false">CB60+CC60-CD60-CE60</f>
        <v>0</v>
      </c>
      <c r="CH60" s="30" t="n">
        <f aca="false">CK59</f>
        <v>0</v>
      </c>
      <c r="CI60" s="30" t="n">
        <f aca="false">CH60*$CB$5/12</f>
        <v>0</v>
      </c>
      <c r="CJ60" s="30" t="n">
        <f aca="false">MIN($CB$6,CH60+CI60)</f>
        <v>0</v>
      </c>
      <c r="CK60" s="30" t="n">
        <f aca="false">CH60+CI60-CJ60</f>
        <v>0</v>
      </c>
    </row>
    <row r="61" customFormat="false" ht="15" hidden="false" customHeight="false" outlineLevel="0" collapsed="false">
      <c r="A61" s="0" t="n">
        <v>53</v>
      </c>
      <c r="B61" s="29" t="n">
        <f aca="false">'1 Your debts'!$B$16-(L61+V61+AF61+AP61+AZ61+BJ61+BT61+CD61)</f>
        <v>690</v>
      </c>
      <c r="C61" s="34" t="n">
        <f aca="false">O61+Y61+AI61+AS61+BC61+BM61+BW61+CG61</f>
        <v>0</v>
      </c>
      <c r="D61" s="34" t="n">
        <f aca="false">K61+U61+AE61+AO61+AY61+BI61+BS61+CC61</f>
        <v>0</v>
      </c>
      <c r="F61" s="34" t="n">
        <f aca="false">S61+AC61+AM61+AW61+BG61+BQ61+CA61+CK61</f>
        <v>10581.6126331536</v>
      </c>
      <c r="G61" s="34" t="n">
        <f aca="false">Q61+AA61+AK61+AU61+BE61+BO61+BY61+CI61</f>
        <v>98.2038787966279</v>
      </c>
      <c r="J61" s="34" t="n">
        <f aca="false">O60</f>
        <v>0</v>
      </c>
      <c r="K61" s="34" t="n">
        <f aca="false">J61*$J$5/12</f>
        <v>0</v>
      </c>
      <c r="L61" s="29" t="n">
        <f aca="false">MIN($J$6,J61+K61)</f>
        <v>0</v>
      </c>
      <c r="M61" s="30" t="n">
        <f aca="false">MAX(0,MIN($B61,J61+K61-L61))</f>
        <v>0</v>
      </c>
      <c r="N61" s="29" t="n">
        <f aca="false">$B61-M61</f>
        <v>690</v>
      </c>
      <c r="O61" s="34" t="n">
        <f aca="false">J61+K61-L61-M61</f>
        <v>0</v>
      </c>
      <c r="P61" s="34" t="n">
        <f aca="false">S60</f>
        <v>2582.84866606526</v>
      </c>
      <c r="Q61" s="34" t="n">
        <f aca="false">P61*$J$5/12</f>
        <v>53.787823470809</v>
      </c>
      <c r="R61" s="29" t="n">
        <f aca="false">MIN($J$6,P61+Q61)</f>
        <v>105</v>
      </c>
      <c r="S61" s="34" t="n">
        <f aca="false">P61+Q61-R61</f>
        <v>2531.63648953607</v>
      </c>
      <c r="T61" s="34" t="n">
        <f aca="false">Y60</f>
        <v>0</v>
      </c>
      <c r="U61" s="34" t="n">
        <f aca="false">T61*$T$5/12</f>
        <v>0</v>
      </c>
      <c r="V61" s="29" t="n">
        <f aca="false">MIN($T$6,T61+U61)</f>
        <v>0</v>
      </c>
      <c r="W61" s="30" t="n">
        <f aca="false">MAX(0,MIN(N61,T61+U61-V61))</f>
        <v>0</v>
      </c>
      <c r="X61" s="29" t="n">
        <f aca="false">N61-W61</f>
        <v>690</v>
      </c>
      <c r="Y61" s="34" t="n">
        <f aca="false">T61+U61-V61-W61</f>
        <v>0</v>
      </c>
      <c r="Z61" s="34" t="n">
        <f aca="false">AC60</f>
        <v>573.235742262116</v>
      </c>
      <c r="AA61" s="34" t="n">
        <f aca="false">Z61*$T$5/12</f>
        <v>9.54915207318309</v>
      </c>
      <c r="AB61" s="29" t="n">
        <f aca="false">MIN($T$6,Z61+AA61)</f>
        <v>45</v>
      </c>
      <c r="AC61" s="34" t="n">
        <f aca="false">Z61+AA61-AB61</f>
        <v>537.784894335299</v>
      </c>
      <c r="AD61" s="34" t="n">
        <f aca="false">AI60</f>
        <v>0</v>
      </c>
      <c r="AE61" s="34" t="n">
        <f aca="false">AD61*$AD$5/12</f>
        <v>0</v>
      </c>
      <c r="AF61" s="29" t="n">
        <f aca="false">MIN($AD$6,AD61+AE61)</f>
        <v>0</v>
      </c>
      <c r="AG61" s="30" t="n">
        <f aca="false">MAX(0,MIN(X61,AD61+AE61-AF61))</f>
        <v>0</v>
      </c>
      <c r="AH61" s="29" t="n">
        <f aca="false">X61-AG61</f>
        <v>690</v>
      </c>
      <c r="AI61" s="34" t="n">
        <f aca="false">AD61+AE61-AF61-AG61</f>
        <v>0</v>
      </c>
      <c r="AJ61" s="34" t="n">
        <f aca="false">AM60</f>
        <v>0</v>
      </c>
      <c r="AK61" s="34" t="n">
        <f aca="false">AJ61*$AD$5/12</f>
        <v>0</v>
      </c>
      <c r="AL61" s="29" t="n">
        <f aca="false">MIN($AD$6,AJ61+AK61)</f>
        <v>0</v>
      </c>
      <c r="AM61" s="34" t="n">
        <f aca="false">AJ61+AK61-AL61</f>
        <v>0</v>
      </c>
      <c r="AN61" s="34" t="n">
        <f aca="false">AS60</f>
        <v>0</v>
      </c>
      <c r="AO61" s="34" t="n">
        <f aca="false">AN61*$AN$5/12</f>
        <v>0</v>
      </c>
      <c r="AP61" s="29" t="n">
        <f aca="false">MIN($AN$6,AN61+AO61)</f>
        <v>0</v>
      </c>
      <c r="AQ61" s="30" t="n">
        <f aca="false">MAX(0,MIN(AH61,AN61+AO61-AP61))</f>
        <v>0</v>
      </c>
      <c r="AR61" s="29" t="n">
        <f aca="false">AH61-AQ61</f>
        <v>690</v>
      </c>
      <c r="AS61" s="34" t="n">
        <f aca="false">AN61+AO61-AP61-AQ61</f>
        <v>0</v>
      </c>
      <c r="AT61" s="34" t="n">
        <f aca="false">AW60</f>
        <v>7607.32434602962</v>
      </c>
      <c r="AU61" s="34" t="n">
        <f aca="false">AT61*$AN$5/12</f>
        <v>34.8669032526358</v>
      </c>
      <c r="AV61" s="29" t="n">
        <f aca="false">MIN($AN$6,AT61+AU61)</f>
        <v>130</v>
      </c>
      <c r="AW61" s="34" t="n">
        <f aca="false">AT61+AU61-AV61</f>
        <v>7512.19124928225</v>
      </c>
      <c r="AX61" s="30" t="n">
        <f aca="false">BC60</f>
        <v>0</v>
      </c>
      <c r="AY61" s="30" t="n">
        <f aca="false">AX61*$AX$5/12</f>
        <v>0</v>
      </c>
      <c r="AZ61" s="30" t="n">
        <f aca="false">MIN($AX$6,AX61+AY61)</f>
        <v>0</v>
      </c>
      <c r="BA61" s="30" t="n">
        <f aca="false">MAX(0,MIN(AR61,AX61+AY61-AZ61))</f>
        <v>0</v>
      </c>
      <c r="BB61" s="29" t="n">
        <f aca="false">AR61-BA61</f>
        <v>690</v>
      </c>
      <c r="BC61" s="30" t="n">
        <f aca="false">AX61+AY61-AZ61-BA61</f>
        <v>0</v>
      </c>
      <c r="BD61" s="30" t="n">
        <f aca="false">BG60</f>
        <v>0</v>
      </c>
      <c r="BE61" s="30" t="n">
        <f aca="false">BD61*$AX$5/12</f>
        <v>0</v>
      </c>
      <c r="BF61" s="30" t="n">
        <f aca="false">MIN($AX$6,BD61+BE61)</f>
        <v>0</v>
      </c>
      <c r="BG61" s="30" t="n">
        <f aca="false">BD61+BE61-BF61</f>
        <v>0</v>
      </c>
      <c r="BH61" s="30" t="n">
        <f aca="false">BM60</f>
        <v>0</v>
      </c>
      <c r="BI61" s="30" t="n">
        <f aca="false">BH61*$BH$5/12</f>
        <v>0</v>
      </c>
      <c r="BJ61" s="30" t="n">
        <f aca="false">MIN($BH$6,BH61+BI61)</f>
        <v>0</v>
      </c>
      <c r="BK61" s="30" t="n">
        <f aca="false">MAX(0,MIN(BB61,BH61+BI61-BJ61))</f>
        <v>0</v>
      </c>
      <c r="BL61" s="29" t="n">
        <f aca="false">BB61-BK61</f>
        <v>690</v>
      </c>
      <c r="BM61" s="30" t="n">
        <f aca="false">BH61+BI61-BJ61-BK61</f>
        <v>0</v>
      </c>
      <c r="BN61" s="30" t="n">
        <f aca="false">BQ60</f>
        <v>0</v>
      </c>
      <c r="BO61" s="30" t="n">
        <f aca="false">BN61*$BH$5/12</f>
        <v>0</v>
      </c>
      <c r="BP61" s="30" t="n">
        <f aca="false">MIN($BH$6,BN61+BO61)</f>
        <v>0</v>
      </c>
      <c r="BQ61" s="30" t="n">
        <f aca="false">BN61+BO61-BP61</f>
        <v>0</v>
      </c>
      <c r="BR61" s="30" t="n">
        <f aca="false">BW60</f>
        <v>0</v>
      </c>
      <c r="BS61" s="30" t="n">
        <f aca="false">BR61*$BR$5/12</f>
        <v>0</v>
      </c>
      <c r="BT61" s="30" t="n">
        <f aca="false">MIN($BR$6,BR61+BS61)</f>
        <v>0</v>
      </c>
      <c r="BU61" s="30" t="n">
        <f aca="false">MAX(0,MIN(BL61,BR61+BS61-BT61))</f>
        <v>0</v>
      </c>
      <c r="BV61" s="29" t="n">
        <f aca="false">BL61-BU61</f>
        <v>690</v>
      </c>
      <c r="BW61" s="30" t="n">
        <f aca="false">BR61+BS61-BT61-BU61</f>
        <v>0</v>
      </c>
      <c r="BX61" s="30" t="n">
        <f aca="false">CA60</f>
        <v>0</v>
      </c>
      <c r="BY61" s="30" t="n">
        <f aca="false">BX61*$BR$5/12</f>
        <v>0</v>
      </c>
      <c r="BZ61" s="30" t="n">
        <f aca="false">MIN($BR$6,BX61+BY61)</f>
        <v>0</v>
      </c>
      <c r="CA61" s="30" t="n">
        <f aca="false">BX61+BY61-BZ61</f>
        <v>0</v>
      </c>
      <c r="CB61" s="30" t="n">
        <f aca="false">CG60</f>
        <v>0</v>
      </c>
      <c r="CC61" s="30" t="n">
        <f aca="false">CB61*$CB$5/12</f>
        <v>0</v>
      </c>
      <c r="CD61" s="30" t="n">
        <f aca="false">MIN($CB$6,CB61+CC61)</f>
        <v>0</v>
      </c>
      <c r="CE61" s="30" t="n">
        <f aca="false">MAX(0,MIN(BV61,CB61+CC61-CD61))</f>
        <v>0</v>
      </c>
      <c r="CF61" s="29" t="n">
        <f aca="false">BV61-CE61</f>
        <v>690</v>
      </c>
      <c r="CG61" s="30" t="n">
        <f aca="false">CB61+CC61-CD61-CE61</f>
        <v>0</v>
      </c>
      <c r="CH61" s="30" t="n">
        <f aca="false">CK60</f>
        <v>0</v>
      </c>
      <c r="CI61" s="30" t="n">
        <f aca="false">CH61*$CB$5/12</f>
        <v>0</v>
      </c>
      <c r="CJ61" s="30" t="n">
        <f aca="false">MIN($CB$6,CH61+CI61)</f>
        <v>0</v>
      </c>
      <c r="CK61" s="30" t="n">
        <f aca="false">CH61+CI61-CJ61</f>
        <v>0</v>
      </c>
    </row>
    <row r="62" customFormat="false" ht="15" hidden="false" customHeight="false" outlineLevel="0" collapsed="false">
      <c r="A62" s="0" t="n">
        <v>54</v>
      </c>
      <c r="B62" s="29" t="n">
        <f aca="false">'1 Your debts'!$B$16-(L62+V62+AF62+AP62+AZ62+BJ62+BT62+CD62)</f>
        <v>690</v>
      </c>
      <c r="C62" s="34" t="n">
        <f aca="false">O62+Y62+AI62+AS62+BC62+BM62+BW62+CG62</f>
        <v>0</v>
      </c>
      <c r="D62" s="34" t="n">
        <f aca="false">K62+U62+AE62+AO62+AY62+BI62+BS62+CC62</f>
        <v>0</v>
      </c>
      <c r="F62" s="34" t="n">
        <f aca="false">S62+AC62+AM62+AW62+BG62+BQ62+CA62+CK62</f>
        <v>10397.7234396389</v>
      </c>
      <c r="G62" s="34" t="n">
        <f aca="false">Q62+AA62+AK62+AU62+BE62+BO62+BY62+CI62</f>
        <v>96.1108064852678</v>
      </c>
      <c r="J62" s="34" t="n">
        <f aca="false">O61</f>
        <v>0</v>
      </c>
      <c r="K62" s="34" t="n">
        <f aca="false">J62*$J$5/12</f>
        <v>0</v>
      </c>
      <c r="L62" s="29" t="n">
        <f aca="false">MIN($J$6,J62+K62)</f>
        <v>0</v>
      </c>
      <c r="M62" s="30" t="n">
        <f aca="false">MAX(0,MIN($B62,J62+K62-L62))</f>
        <v>0</v>
      </c>
      <c r="N62" s="29" t="n">
        <f aca="false">$B62-M62</f>
        <v>690</v>
      </c>
      <c r="O62" s="34" t="n">
        <f aca="false">J62+K62-L62-M62</f>
        <v>0</v>
      </c>
      <c r="P62" s="34" t="n">
        <f aca="false">S61</f>
        <v>2531.63648953607</v>
      </c>
      <c r="Q62" s="34" t="n">
        <f aca="false">P62*$J$5/12</f>
        <v>52.7213298945886</v>
      </c>
      <c r="R62" s="29" t="n">
        <f aca="false">MIN($J$6,P62+Q62)</f>
        <v>105</v>
      </c>
      <c r="S62" s="34" t="n">
        <f aca="false">P62+Q62-R62</f>
        <v>2479.35781943066</v>
      </c>
      <c r="T62" s="34" t="n">
        <f aca="false">Y61</f>
        <v>0</v>
      </c>
      <c r="U62" s="34" t="n">
        <f aca="false">T62*$T$5/12</f>
        <v>0</v>
      </c>
      <c r="V62" s="29" t="n">
        <f aca="false">MIN($T$6,T62+U62)</f>
        <v>0</v>
      </c>
      <c r="W62" s="30" t="n">
        <f aca="false">MAX(0,MIN(N62,T62+U62-V62))</f>
        <v>0</v>
      </c>
      <c r="X62" s="29" t="n">
        <f aca="false">N62-W62</f>
        <v>690</v>
      </c>
      <c r="Y62" s="34" t="n">
        <f aca="false">T62+U62-V62-W62</f>
        <v>0</v>
      </c>
      <c r="Z62" s="34" t="n">
        <f aca="false">AC61</f>
        <v>537.784894335299</v>
      </c>
      <c r="AA62" s="34" t="n">
        <f aca="false">Z62*$T$5/12</f>
        <v>8.95860003146886</v>
      </c>
      <c r="AB62" s="29" t="n">
        <f aca="false">MIN($T$6,Z62+AA62)</f>
        <v>45</v>
      </c>
      <c r="AC62" s="34" t="n">
        <f aca="false">Z62+AA62-AB62</f>
        <v>501.743494366768</v>
      </c>
      <c r="AD62" s="34" t="n">
        <f aca="false">AI61</f>
        <v>0</v>
      </c>
      <c r="AE62" s="34" t="n">
        <f aca="false">AD62*$AD$5/12</f>
        <v>0</v>
      </c>
      <c r="AF62" s="29" t="n">
        <f aca="false">MIN($AD$6,AD62+AE62)</f>
        <v>0</v>
      </c>
      <c r="AG62" s="30" t="n">
        <f aca="false">MAX(0,MIN(X62,AD62+AE62-AF62))</f>
        <v>0</v>
      </c>
      <c r="AH62" s="29" t="n">
        <f aca="false">X62-AG62</f>
        <v>690</v>
      </c>
      <c r="AI62" s="34" t="n">
        <f aca="false">AD62+AE62-AF62-AG62</f>
        <v>0</v>
      </c>
      <c r="AJ62" s="34" t="n">
        <f aca="false">AM61</f>
        <v>0</v>
      </c>
      <c r="AK62" s="34" t="n">
        <f aca="false">AJ62*$AD$5/12</f>
        <v>0</v>
      </c>
      <c r="AL62" s="29" t="n">
        <f aca="false">MIN($AD$6,AJ62+AK62)</f>
        <v>0</v>
      </c>
      <c r="AM62" s="34" t="n">
        <f aca="false">AJ62+AK62-AL62</f>
        <v>0</v>
      </c>
      <c r="AN62" s="34" t="n">
        <f aca="false">AS61</f>
        <v>0</v>
      </c>
      <c r="AO62" s="34" t="n">
        <f aca="false">AN62*$AN$5/12</f>
        <v>0</v>
      </c>
      <c r="AP62" s="29" t="n">
        <f aca="false">MIN($AN$6,AN62+AO62)</f>
        <v>0</v>
      </c>
      <c r="AQ62" s="30" t="n">
        <f aca="false">MAX(0,MIN(AH62,AN62+AO62-AP62))</f>
        <v>0</v>
      </c>
      <c r="AR62" s="29" t="n">
        <f aca="false">AH62-AQ62</f>
        <v>690</v>
      </c>
      <c r="AS62" s="34" t="n">
        <f aca="false">AN62+AO62-AP62-AQ62</f>
        <v>0</v>
      </c>
      <c r="AT62" s="34" t="n">
        <f aca="false">AW61</f>
        <v>7512.19124928225</v>
      </c>
      <c r="AU62" s="34" t="n">
        <f aca="false">AT62*$AN$5/12</f>
        <v>34.4308765592103</v>
      </c>
      <c r="AV62" s="29" t="n">
        <f aca="false">MIN($AN$6,AT62+AU62)</f>
        <v>130</v>
      </c>
      <c r="AW62" s="34" t="n">
        <f aca="false">AT62+AU62-AV62</f>
        <v>7416.62212584146</v>
      </c>
      <c r="AX62" s="30" t="n">
        <f aca="false">BC61</f>
        <v>0</v>
      </c>
      <c r="AY62" s="30" t="n">
        <f aca="false">AX62*$AX$5/12</f>
        <v>0</v>
      </c>
      <c r="AZ62" s="30" t="n">
        <f aca="false">MIN($AX$6,AX62+AY62)</f>
        <v>0</v>
      </c>
      <c r="BA62" s="30" t="n">
        <f aca="false">MAX(0,MIN(AR62,AX62+AY62-AZ62))</f>
        <v>0</v>
      </c>
      <c r="BB62" s="29" t="n">
        <f aca="false">AR62-BA62</f>
        <v>690</v>
      </c>
      <c r="BC62" s="30" t="n">
        <f aca="false">AX62+AY62-AZ62-BA62</f>
        <v>0</v>
      </c>
      <c r="BD62" s="30" t="n">
        <f aca="false">BG61</f>
        <v>0</v>
      </c>
      <c r="BE62" s="30" t="n">
        <f aca="false">BD62*$AX$5/12</f>
        <v>0</v>
      </c>
      <c r="BF62" s="30" t="n">
        <f aca="false">MIN($AX$6,BD62+BE62)</f>
        <v>0</v>
      </c>
      <c r="BG62" s="30" t="n">
        <f aca="false">BD62+BE62-BF62</f>
        <v>0</v>
      </c>
      <c r="BH62" s="30" t="n">
        <f aca="false">BM61</f>
        <v>0</v>
      </c>
      <c r="BI62" s="30" t="n">
        <f aca="false">BH62*$BH$5/12</f>
        <v>0</v>
      </c>
      <c r="BJ62" s="30" t="n">
        <f aca="false">MIN($BH$6,BH62+BI62)</f>
        <v>0</v>
      </c>
      <c r="BK62" s="30" t="n">
        <f aca="false">MAX(0,MIN(BB62,BH62+BI62-BJ62))</f>
        <v>0</v>
      </c>
      <c r="BL62" s="29" t="n">
        <f aca="false">BB62-BK62</f>
        <v>690</v>
      </c>
      <c r="BM62" s="30" t="n">
        <f aca="false">BH62+BI62-BJ62-BK62</f>
        <v>0</v>
      </c>
      <c r="BN62" s="30" t="n">
        <f aca="false">BQ61</f>
        <v>0</v>
      </c>
      <c r="BO62" s="30" t="n">
        <f aca="false">BN62*$BH$5/12</f>
        <v>0</v>
      </c>
      <c r="BP62" s="30" t="n">
        <f aca="false">MIN($BH$6,BN62+BO62)</f>
        <v>0</v>
      </c>
      <c r="BQ62" s="30" t="n">
        <f aca="false">BN62+BO62-BP62</f>
        <v>0</v>
      </c>
      <c r="BR62" s="30" t="n">
        <f aca="false">BW61</f>
        <v>0</v>
      </c>
      <c r="BS62" s="30" t="n">
        <f aca="false">BR62*$BR$5/12</f>
        <v>0</v>
      </c>
      <c r="BT62" s="30" t="n">
        <f aca="false">MIN($BR$6,BR62+BS62)</f>
        <v>0</v>
      </c>
      <c r="BU62" s="30" t="n">
        <f aca="false">MAX(0,MIN(BL62,BR62+BS62-BT62))</f>
        <v>0</v>
      </c>
      <c r="BV62" s="29" t="n">
        <f aca="false">BL62-BU62</f>
        <v>690</v>
      </c>
      <c r="BW62" s="30" t="n">
        <f aca="false">BR62+BS62-BT62-BU62</f>
        <v>0</v>
      </c>
      <c r="BX62" s="30" t="n">
        <f aca="false">CA61</f>
        <v>0</v>
      </c>
      <c r="BY62" s="30" t="n">
        <f aca="false">BX62*$BR$5/12</f>
        <v>0</v>
      </c>
      <c r="BZ62" s="30" t="n">
        <f aca="false">MIN($BR$6,BX62+BY62)</f>
        <v>0</v>
      </c>
      <c r="CA62" s="30" t="n">
        <f aca="false">BX62+BY62-BZ62</f>
        <v>0</v>
      </c>
      <c r="CB62" s="30" t="n">
        <f aca="false">CG61</f>
        <v>0</v>
      </c>
      <c r="CC62" s="30" t="n">
        <f aca="false">CB62*$CB$5/12</f>
        <v>0</v>
      </c>
      <c r="CD62" s="30" t="n">
        <f aca="false">MIN($CB$6,CB62+CC62)</f>
        <v>0</v>
      </c>
      <c r="CE62" s="30" t="n">
        <f aca="false">MAX(0,MIN(BV62,CB62+CC62-CD62))</f>
        <v>0</v>
      </c>
      <c r="CF62" s="29" t="n">
        <f aca="false">BV62-CE62</f>
        <v>690</v>
      </c>
      <c r="CG62" s="30" t="n">
        <f aca="false">CB62+CC62-CD62-CE62</f>
        <v>0</v>
      </c>
      <c r="CH62" s="30" t="n">
        <f aca="false">CK61</f>
        <v>0</v>
      </c>
      <c r="CI62" s="30" t="n">
        <f aca="false">CH62*$CB$5/12</f>
        <v>0</v>
      </c>
      <c r="CJ62" s="30" t="n">
        <f aca="false">MIN($CB$6,CH62+CI62)</f>
        <v>0</v>
      </c>
      <c r="CK62" s="30" t="n">
        <f aca="false">CH62+CI62-CJ62</f>
        <v>0</v>
      </c>
    </row>
    <row r="63" customFormat="false" ht="15" hidden="false" customHeight="false" outlineLevel="0" collapsed="false">
      <c r="A63" s="0" t="n">
        <v>55</v>
      </c>
      <c r="B63" s="29" t="n">
        <f aca="false">'1 Your debts'!$B$16-(L63+V63+AF63+AP63+AZ63+BJ63+BT63+CD63)</f>
        <v>690</v>
      </c>
      <c r="C63" s="34" t="n">
        <f aca="false">O63+Y63+AI63+AS63+BC63+BM63+BW63+CG63</f>
        <v>0</v>
      </c>
      <c r="D63" s="34" t="n">
        <f aca="false">K63+U63+AE63+AO63+AY63+BI63+BS63+CC63</f>
        <v>0</v>
      </c>
      <c r="F63" s="34" t="n">
        <f aca="false">S63+AC63+AM63+AW63+BG63+BQ63+CA63+CK63</f>
        <v>10211.7071280156</v>
      </c>
      <c r="G63" s="34" t="n">
        <f aca="false">Q63+AA63+AK63+AU63+BE63+BO63+BY63+CI63</f>
        <v>93.9836883767433</v>
      </c>
      <c r="J63" s="34" t="n">
        <f aca="false">O62</f>
        <v>0</v>
      </c>
      <c r="K63" s="34" t="n">
        <f aca="false">J63*$J$5/12</f>
        <v>0</v>
      </c>
      <c r="L63" s="29" t="n">
        <f aca="false">MIN($J$6,J63+K63)</f>
        <v>0</v>
      </c>
      <c r="M63" s="30" t="n">
        <f aca="false">MAX(0,MIN($B63,J63+K63-L63))</f>
        <v>0</v>
      </c>
      <c r="N63" s="29" t="n">
        <f aca="false">$B63-M63</f>
        <v>690</v>
      </c>
      <c r="O63" s="34" t="n">
        <f aca="false">J63+K63-L63-M63</f>
        <v>0</v>
      </c>
      <c r="P63" s="34" t="n">
        <f aca="false">S62</f>
        <v>2479.35781943066</v>
      </c>
      <c r="Q63" s="34" t="n">
        <f aca="false">P63*$J$5/12</f>
        <v>51.6326265896434</v>
      </c>
      <c r="R63" s="29" t="n">
        <f aca="false">MIN($J$6,P63+Q63)</f>
        <v>105</v>
      </c>
      <c r="S63" s="34" t="n">
        <f aca="false">P63+Q63-R63</f>
        <v>2425.9904460203</v>
      </c>
      <c r="T63" s="34" t="n">
        <f aca="false">Y62</f>
        <v>0</v>
      </c>
      <c r="U63" s="34" t="n">
        <f aca="false">T63*$T$5/12</f>
        <v>0</v>
      </c>
      <c r="V63" s="29" t="n">
        <f aca="false">MIN($T$6,T63+U63)</f>
        <v>0</v>
      </c>
      <c r="W63" s="30" t="n">
        <f aca="false">MAX(0,MIN(N63,T63+U63-V63))</f>
        <v>0</v>
      </c>
      <c r="X63" s="29" t="n">
        <f aca="false">N63-W63</f>
        <v>690</v>
      </c>
      <c r="Y63" s="34" t="n">
        <f aca="false">T63+U63-V63-W63</f>
        <v>0</v>
      </c>
      <c r="Z63" s="34" t="n">
        <f aca="false">AC62</f>
        <v>501.743494366768</v>
      </c>
      <c r="AA63" s="34" t="n">
        <f aca="false">Z63*$T$5/12</f>
        <v>8.35821037699308</v>
      </c>
      <c r="AB63" s="29" t="n">
        <f aca="false">MIN($T$6,Z63+AA63)</f>
        <v>45</v>
      </c>
      <c r="AC63" s="34" t="n">
        <f aca="false">Z63+AA63-AB63</f>
        <v>465.101704743761</v>
      </c>
      <c r="AD63" s="34" t="n">
        <f aca="false">AI62</f>
        <v>0</v>
      </c>
      <c r="AE63" s="34" t="n">
        <f aca="false">AD63*$AD$5/12</f>
        <v>0</v>
      </c>
      <c r="AF63" s="29" t="n">
        <f aca="false">MIN($AD$6,AD63+AE63)</f>
        <v>0</v>
      </c>
      <c r="AG63" s="30" t="n">
        <f aca="false">MAX(0,MIN(X63,AD63+AE63-AF63))</f>
        <v>0</v>
      </c>
      <c r="AH63" s="29" t="n">
        <f aca="false">X63-AG63</f>
        <v>690</v>
      </c>
      <c r="AI63" s="34" t="n">
        <f aca="false">AD63+AE63-AF63-AG63</f>
        <v>0</v>
      </c>
      <c r="AJ63" s="34" t="n">
        <f aca="false">AM62</f>
        <v>0</v>
      </c>
      <c r="AK63" s="34" t="n">
        <f aca="false">AJ63*$AD$5/12</f>
        <v>0</v>
      </c>
      <c r="AL63" s="29" t="n">
        <f aca="false">MIN($AD$6,AJ63+AK63)</f>
        <v>0</v>
      </c>
      <c r="AM63" s="34" t="n">
        <f aca="false">AJ63+AK63-AL63</f>
        <v>0</v>
      </c>
      <c r="AN63" s="34" t="n">
        <f aca="false">AS62</f>
        <v>0</v>
      </c>
      <c r="AO63" s="34" t="n">
        <f aca="false">AN63*$AN$5/12</f>
        <v>0</v>
      </c>
      <c r="AP63" s="29" t="n">
        <f aca="false">MIN($AN$6,AN63+AO63)</f>
        <v>0</v>
      </c>
      <c r="AQ63" s="30" t="n">
        <f aca="false">MAX(0,MIN(AH63,AN63+AO63-AP63))</f>
        <v>0</v>
      </c>
      <c r="AR63" s="29" t="n">
        <f aca="false">AH63-AQ63</f>
        <v>690</v>
      </c>
      <c r="AS63" s="34" t="n">
        <f aca="false">AN63+AO63-AP63-AQ63</f>
        <v>0</v>
      </c>
      <c r="AT63" s="34" t="n">
        <f aca="false">AW62</f>
        <v>7416.62212584146</v>
      </c>
      <c r="AU63" s="34" t="n">
        <f aca="false">AT63*$AN$5/12</f>
        <v>33.9928514101067</v>
      </c>
      <c r="AV63" s="29" t="n">
        <f aca="false">MIN($AN$6,AT63+AU63)</f>
        <v>130</v>
      </c>
      <c r="AW63" s="34" t="n">
        <f aca="false">AT63+AU63-AV63</f>
        <v>7320.61497725157</v>
      </c>
      <c r="AX63" s="30" t="n">
        <f aca="false">BC62</f>
        <v>0</v>
      </c>
      <c r="AY63" s="30" t="n">
        <f aca="false">AX63*$AX$5/12</f>
        <v>0</v>
      </c>
      <c r="AZ63" s="30" t="n">
        <f aca="false">MIN($AX$6,AX63+AY63)</f>
        <v>0</v>
      </c>
      <c r="BA63" s="30" t="n">
        <f aca="false">MAX(0,MIN(AR63,AX63+AY63-AZ63))</f>
        <v>0</v>
      </c>
      <c r="BB63" s="29" t="n">
        <f aca="false">AR63-BA63</f>
        <v>690</v>
      </c>
      <c r="BC63" s="30" t="n">
        <f aca="false">AX63+AY63-AZ63-BA63</f>
        <v>0</v>
      </c>
      <c r="BD63" s="30" t="n">
        <f aca="false">BG62</f>
        <v>0</v>
      </c>
      <c r="BE63" s="30" t="n">
        <f aca="false">BD63*$AX$5/12</f>
        <v>0</v>
      </c>
      <c r="BF63" s="30" t="n">
        <f aca="false">MIN($AX$6,BD63+BE63)</f>
        <v>0</v>
      </c>
      <c r="BG63" s="30" t="n">
        <f aca="false">BD63+BE63-BF63</f>
        <v>0</v>
      </c>
      <c r="BH63" s="30" t="n">
        <f aca="false">BM62</f>
        <v>0</v>
      </c>
      <c r="BI63" s="30" t="n">
        <f aca="false">BH63*$BH$5/12</f>
        <v>0</v>
      </c>
      <c r="BJ63" s="30" t="n">
        <f aca="false">MIN($BH$6,BH63+BI63)</f>
        <v>0</v>
      </c>
      <c r="BK63" s="30" t="n">
        <f aca="false">MAX(0,MIN(BB63,BH63+BI63-BJ63))</f>
        <v>0</v>
      </c>
      <c r="BL63" s="29" t="n">
        <f aca="false">BB63-BK63</f>
        <v>690</v>
      </c>
      <c r="BM63" s="30" t="n">
        <f aca="false">BH63+BI63-BJ63-BK63</f>
        <v>0</v>
      </c>
      <c r="BN63" s="30" t="n">
        <f aca="false">BQ62</f>
        <v>0</v>
      </c>
      <c r="BO63" s="30" t="n">
        <f aca="false">BN63*$BH$5/12</f>
        <v>0</v>
      </c>
      <c r="BP63" s="30" t="n">
        <f aca="false">MIN($BH$6,BN63+BO63)</f>
        <v>0</v>
      </c>
      <c r="BQ63" s="30" t="n">
        <f aca="false">BN63+BO63-BP63</f>
        <v>0</v>
      </c>
      <c r="BR63" s="30" t="n">
        <f aca="false">BW62</f>
        <v>0</v>
      </c>
      <c r="BS63" s="30" t="n">
        <f aca="false">BR63*$BR$5/12</f>
        <v>0</v>
      </c>
      <c r="BT63" s="30" t="n">
        <f aca="false">MIN($BR$6,BR63+BS63)</f>
        <v>0</v>
      </c>
      <c r="BU63" s="30" t="n">
        <f aca="false">MAX(0,MIN(BL63,BR63+BS63-BT63))</f>
        <v>0</v>
      </c>
      <c r="BV63" s="29" t="n">
        <f aca="false">BL63-BU63</f>
        <v>690</v>
      </c>
      <c r="BW63" s="30" t="n">
        <f aca="false">BR63+BS63-BT63-BU63</f>
        <v>0</v>
      </c>
      <c r="BX63" s="30" t="n">
        <f aca="false">CA62</f>
        <v>0</v>
      </c>
      <c r="BY63" s="30" t="n">
        <f aca="false">BX63*$BR$5/12</f>
        <v>0</v>
      </c>
      <c r="BZ63" s="30" t="n">
        <f aca="false">MIN($BR$6,BX63+BY63)</f>
        <v>0</v>
      </c>
      <c r="CA63" s="30" t="n">
        <f aca="false">BX63+BY63-BZ63</f>
        <v>0</v>
      </c>
      <c r="CB63" s="30" t="n">
        <f aca="false">CG62</f>
        <v>0</v>
      </c>
      <c r="CC63" s="30" t="n">
        <f aca="false">CB63*$CB$5/12</f>
        <v>0</v>
      </c>
      <c r="CD63" s="30" t="n">
        <f aca="false">MIN($CB$6,CB63+CC63)</f>
        <v>0</v>
      </c>
      <c r="CE63" s="30" t="n">
        <f aca="false">MAX(0,MIN(BV63,CB63+CC63-CD63))</f>
        <v>0</v>
      </c>
      <c r="CF63" s="29" t="n">
        <f aca="false">BV63-CE63</f>
        <v>690</v>
      </c>
      <c r="CG63" s="30" t="n">
        <f aca="false">CB63+CC63-CD63-CE63</f>
        <v>0</v>
      </c>
      <c r="CH63" s="30" t="n">
        <f aca="false">CK62</f>
        <v>0</v>
      </c>
      <c r="CI63" s="30" t="n">
        <f aca="false">CH63*$CB$5/12</f>
        <v>0</v>
      </c>
      <c r="CJ63" s="30" t="n">
        <f aca="false">MIN($CB$6,CH63+CI63)</f>
        <v>0</v>
      </c>
      <c r="CK63" s="30" t="n">
        <f aca="false">CH63+CI63-CJ63</f>
        <v>0</v>
      </c>
    </row>
    <row r="64" customFormat="false" ht="15" hidden="false" customHeight="false" outlineLevel="0" collapsed="false">
      <c r="A64" s="0" t="n">
        <v>56</v>
      </c>
      <c r="B64" s="29" t="n">
        <f aca="false">'1 Your debts'!$B$16-(L64+V64+AF64+AP64+AZ64+BJ64+BT64+CD64)</f>
        <v>690</v>
      </c>
      <c r="C64" s="34" t="n">
        <f aca="false">O64+Y64+AI64+AS64+BC64+BM64+BW64+CG64</f>
        <v>0</v>
      </c>
      <c r="D64" s="34" t="n">
        <f aca="false">K64+U64+AE64+AO64+AY64+BI64+BS64+CC64</f>
        <v>0</v>
      </c>
      <c r="F64" s="34" t="n">
        <f aca="false">S64+AC64+AM64+AW64+BG64+BQ64+CA64+CK64</f>
        <v>10023.5290169313</v>
      </c>
      <c r="G64" s="34" t="n">
        <f aca="false">Q64+AA64+AK64+AU64+BE64+BO64+BY64+CI64</f>
        <v>91.8218889156323</v>
      </c>
      <c r="J64" s="34" t="n">
        <f aca="false">O63</f>
        <v>0</v>
      </c>
      <c r="K64" s="34" t="n">
        <f aca="false">J64*$J$5/12</f>
        <v>0</v>
      </c>
      <c r="L64" s="29" t="n">
        <f aca="false">MIN($J$6,J64+K64)</f>
        <v>0</v>
      </c>
      <c r="M64" s="30" t="n">
        <f aca="false">MAX(0,MIN($B64,J64+K64-L64))</f>
        <v>0</v>
      </c>
      <c r="N64" s="29" t="n">
        <f aca="false">$B64-M64</f>
        <v>690</v>
      </c>
      <c r="O64" s="34" t="n">
        <f aca="false">J64+K64-L64-M64</f>
        <v>0</v>
      </c>
      <c r="P64" s="34" t="n">
        <f aca="false">S63</f>
        <v>2425.9904460203</v>
      </c>
      <c r="Q64" s="34" t="n">
        <f aca="false">P64*$J$5/12</f>
        <v>50.5212510383728</v>
      </c>
      <c r="R64" s="29" t="n">
        <f aca="false">MIN($J$6,P64+Q64)</f>
        <v>105</v>
      </c>
      <c r="S64" s="34" t="n">
        <f aca="false">P64+Q64-R64</f>
        <v>2371.51169705867</v>
      </c>
      <c r="T64" s="34" t="n">
        <f aca="false">Y63</f>
        <v>0</v>
      </c>
      <c r="U64" s="34" t="n">
        <f aca="false">T64*$T$5/12</f>
        <v>0</v>
      </c>
      <c r="V64" s="29" t="n">
        <f aca="false">MIN($T$6,T64+U64)</f>
        <v>0</v>
      </c>
      <c r="W64" s="30" t="n">
        <f aca="false">MAX(0,MIN(N64,T64+U64-V64))</f>
        <v>0</v>
      </c>
      <c r="X64" s="29" t="n">
        <f aca="false">N64-W64</f>
        <v>690</v>
      </c>
      <c r="Y64" s="34" t="n">
        <f aca="false">T64+U64-V64-W64</f>
        <v>0</v>
      </c>
      <c r="Z64" s="34" t="n">
        <f aca="false">AC63</f>
        <v>465.101704743761</v>
      </c>
      <c r="AA64" s="34" t="n">
        <f aca="false">Z64*$T$5/12</f>
        <v>7.74781923152316</v>
      </c>
      <c r="AB64" s="29" t="n">
        <f aca="false">MIN($T$6,Z64+AA64)</f>
        <v>45</v>
      </c>
      <c r="AC64" s="34" t="n">
        <f aca="false">Z64+AA64-AB64</f>
        <v>427.849523975285</v>
      </c>
      <c r="AD64" s="34" t="n">
        <f aca="false">AI63</f>
        <v>0</v>
      </c>
      <c r="AE64" s="34" t="n">
        <f aca="false">AD64*$AD$5/12</f>
        <v>0</v>
      </c>
      <c r="AF64" s="29" t="n">
        <f aca="false">MIN($AD$6,AD64+AE64)</f>
        <v>0</v>
      </c>
      <c r="AG64" s="30" t="n">
        <f aca="false">MAX(0,MIN(X64,AD64+AE64-AF64))</f>
        <v>0</v>
      </c>
      <c r="AH64" s="29" t="n">
        <f aca="false">X64-AG64</f>
        <v>690</v>
      </c>
      <c r="AI64" s="34" t="n">
        <f aca="false">AD64+AE64-AF64-AG64</f>
        <v>0</v>
      </c>
      <c r="AJ64" s="34" t="n">
        <f aca="false">AM63</f>
        <v>0</v>
      </c>
      <c r="AK64" s="34" t="n">
        <f aca="false">AJ64*$AD$5/12</f>
        <v>0</v>
      </c>
      <c r="AL64" s="29" t="n">
        <f aca="false">MIN($AD$6,AJ64+AK64)</f>
        <v>0</v>
      </c>
      <c r="AM64" s="34" t="n">
        <f aca="false">AJ64+AK64-AL64</f>
        <v>0</v>
      </c>
      <c r="AN64" s="34" t="n">
        <f aca="false">AS63</f>
        <v>0</v>
      </c>
      <c r="AO64" s="34" t="n">
        <f aca="false">AN64*$AN$5/12</f>
        <v>0</v>
      </c>
      <c r="AP64" s="29" t="n">
        <f aca="false">MIN($AN$6,AN64+AO64)</f>
        <v>0</v>
      </c>
      <c r="AQ64" s="30" t="n">
        <f aca="false">MAX(0,MIN(AH64,AN64+AO64-AP64))</f>
        <v>0</v>
      </c>
      <c r="AR64" s="29" t="n">
        <f aca="false">AH64-AQ64</f>
        <v>690</v>
      </c>
      <c r="AS64" s="34" t="n">
        <f aca="false">AN64+AO64-AP64-AQ64</f>
        <v>0</v>
      </c>
      <c r="AT64" s="34" t="n">
        <f aca="false">AW63</f>
        <v>7320.61497725157</v>
      </c>
      <c r="AU64" s="34" t="n">
        <f aca="false">AT64*$AN$5/12</f>
        <v>33.5528186457364</v>
      </c>
      <c r="AV64" s="29" t="n">
        <f aca="false">MIN($AN$6,AT64+AU64)</f>
        <v>130</v>
      </c>
      <c r="AW64" s="34" t="n">
        <f aca="false">AT64+AU64-AV64</f>
        <v>7224.16779589731</v>
      </c>
      <c r="AX64" s="30" t="n">
        <f aca="false">BC63</f>
        <v>0</v>
      </c>
      <c r="AY64" s="30" t="n">
        <f aca="false">AX64*$AX$5/12</f>
        <v>0</v>
      </c>
      <c r="AZ64" s="30" t="n">
        <f aca="false">MIN($AX$6,AX64+AY64)</f>
        <v>0</v>
      </c>
      <c r="BA64" s="30" t="n">
        <f aca="false">MAX(0,MIN(AR64,AX64+AY64-AZ64))</f>
        <v>0</v>
      </c>
      <c r="BB64" s="29" t="n">
        <f aca="false">AR64-BA64</f>
        <v>690</v>
      </c>
      <c r="BC64" s="30" t="n">
        <f aca="false">AX64+AY64-AZ64-BA64</f>
        <v>0</v>
      </c>
      <c r="BD64" s="30" t="n">
        <f aca="false">BG63</f>
        <v>0</v>
      </c>
      <c r="BE64" s="30" t="n">
        <f aca="false">BD64*$AX$5/12</f>
        <v>0</v>
      </c>
      <c r="BF64" s="30" t="n">
        <f aca="false">MIN($AX$6,BD64+BE64)</f>
        <v>0</v>
      </c>
      <c r="BG64" s="30" t="n">
        <f aca="false">BD64+BE64-BF64</f>
        <v>0</v>
      </c>
      <c r="BH64" s="30" t="n">
        <f aca="false">BM63</f>
        <v>0</v>
      </c>
      <c r="BI64" s="30" t="n">
        <f aca="false">BH64*$BH$5/12</f>
        <v>0</v>
      </c>
      <c r="BJ64" s="30" t="n">
        <f aca="false">MIN($BH$6,BH64+BI64)</f>
        <v>0</v>
      </c>
      <c r="BK64" s="30" t="n">
        <f aca="false">MAX(0,MIN(BB64,BH64+BI64-BJ64))</f>
        <v>0</v>
      </c>
      <c r="BL64" s="29" t="n">
        <f aca="false">BB64-BK64</f>
        <v>690</v>
      </c>
      <c r="BM64" s="30" t="n">
        <f aca="false">BH64+BI64-BJ64-BK64</f>
        <v>0</v>
      </c>
      <c r="BN64" s="30" t="n">
        <f aca="false">BQ63</f>
        <v>0</v>
      </c>
      <c r="BO64" s="30" t="n">
        <f aca="false">BN64*$BH$5/12</f>
        <v>0</v>
      </c>
      <c r="BP64" s="30" t="n">
        <f aca="false">MIN($BH$6,BN64+BO64)</f>
        <v>0</v>
      </c>
      <c r="BQ64" s="30" t="n">
        <f aca="false">BN64+BO64-BP64</f>
        <v>0</v>
      </c>
      <c r="BR64" s="30" t="n">
        <f aca="false">BW63</f>
        <v>0</v>
      </c>
      <c r="BS64" s="30" t="n">
        <f aca="false">BR64*$BR$5/12</f>
        <v>0</v>
      </c>
      <c r="BT64" s="30" t="n">
        <f aca="false">MIN($BR$6,BR64+BS64)</f>
        <v>0</v>
      </c>
      <c r="BU64" s="30" t="n">
        <f aca="false">MAX(0,MIN(BL64,BR64+BS64-BT64))</f>
        <v>0</v>
      </c>
      <c r="BV64" s="29" t="n">
        <f aca="false">BL64-BU64</f>
        <v>690</v>
      </c>
      <c r="BW64" s="30" t="n">
        <f aca="false">BR64+BS64-BT64-BU64</f>
        <v>0</v>
      </c>
      <c r="BX64" s="30" t="n">
        <f aca="false">CA63</f>
        <v>0</v>
      </c>
      <c r="BY64" s="30" t="n">
        <f aca="false">BX64*$BR$5/12</f>
        <v>0</v>
      </c>
      <c r="BZ64" s="30" t="n">
        <f aca="false">MIN($BR$6,BX64+BY64)</f>
        <v>0</v>
      </c>
      <c r="CA64" s="30" t="n">
        <f aca="false">BX64+BY64-BZ64</f>
        <v>0</v>
      </c>
      <c r="CB64" s="30" t="n">
        <f aca="false">CG63</f>
        <v>0</v>
      </c>
      <c r="CC64" s="30" t="n">
        <f aca="false">CB64*$CB$5/12</f>
        <v>0</v>
      </c>
      <c r="CD64" s="30" t="n">
        <f aca="false">MIN($CB$6,CB64+CC64)</f>
        <v>0</v>
      </c>
      <c r="CE64" s="30" t="n">
        <f aca="false">MAX(0,MIN(BV64,CB64+CC64-CD64))</f>
        <v>0</v>
      </c>
      <c r="CF64" s="29" t="n">
        <f aca="false">BV64-CE64</f>
        <v>690</v>
      </c>
      <c r="CG64" s="30" t="n">
        <f aca="false">CB64+CC64-CD64-CE64</f>
        <v>0</v>
      </c>
      <c r="CH64" s="30" t="n">
        <f aca="false">CK63</f>
        <v>0</v>
      </c>
      <c r="CI64" s="30" t="n">
        <f aca="false">CH64*$CB$5/12</f>
        <v>0</v>
      </c>
      <c r="CJ64" s="30" t="n">
        <f aca="false">MIN($CB$6,CH64+CI64)</f>
        <v>0</v>
      </c>
      <c r="CK64" s="30" t="n">
        <f aca="false">CH64+CI64-CJ64</f>
        <v>0</v>
      </c>
    </row>
    <row r="65" customFormat="false" ht="15" hidden="false" customHeight="false" outlineLevel="0" collapsed="false">
      <c r="A65" s="0" t="n">
        <v>57</v>
      </c>
      <c r="B65" s="29" t="n">
        <f aca="false">'1 Your debts'!$B$16-(L65+V65+AF65+AP65+AZ65+BJ65+BT65+CD65)</f>
        <v>690</v>
      </c>
      <c r="C65" s="34" t="n">
        <f aca="false">O65+Y65+AI65+AS65+BC65+BM65+BW65+CG65</f>
        <v>0</v>
      </c>
      <c r="D65" s="34" t="n">
        <f aca="false">K65+U65+AE65+AO65+AY65+BI65+BS65+CC65</f>
        <v>0</v>
      </c>
      <c r="F65" s="34" t="n">
        <f aca="false">S65+AC65+AM65+AW65+BG65+BQ65+CA65+CK65</f>
        <v>9833.15377707393</v>
      </c>
      <c r="G65" s="34" t="n">
        <f aca="false">Q65+AA65+AK65+AU65+BE65+BO65+BY65+CI65</f>
        <v>89.6247601426645</v>
      </c>
      <c r="J65" s="34" t="n">
        <f aca="false">O64</f>
        <v>0</v>
      </c>
      <c r="K65" s="34" t="n">
        <f aca="false">J65*$J$5/12</f>
        <v>0</v>
      </c>
      <c r="L65" s="29" t="n">
        <f aca="false">MIN($J$6,J65+K65)</f>
        <v>0</v>
      </c>
      <c r="M65" s="30" t="n">
        <f aca="false">MAX(0,MIN($B65,J65+K65-L65))</f>
        <v>0</v>
      </c>
      <c r="N65" s="29" t="n">
        <f aca="false">$B65-M65</f>
        <v>690</v>
      </c>
      <c r="O65" s="34" t="n">
        <f aca="false">J65+K65-L65-M65</f>
        <v>0</v>
      </c>
      <c r="P65" s="34" t="n">
        <f aca="false">S64</f>
        <v>2371.51169705867</v>
      </c>
      <c r="Q65" s="34" t="n">
        <f aca="false">P65*$J$5/12</f>
        <v>49.3867310912469</v>
      </c>
      <c r="R65" s="29" t="n">
        <f aca="false">MIN($J$6,P65+Q65)</f>
        <v>105</v>
      </c>
      <c r="S65" s="34" t="n">
        <f aca="false">P65+Q65-R65</f>
        <v>2315.89842814992</v>
      </c>
      <c r="T65" s="34" t="n">
        <f aca="false">Y64</f>
        <v>0</v>
      </c>
      <c r="U65" s="34" t="n">
        <f aca="false">T65*$T$5/12</f>
        <v>0</v>
      </c>
      <c r="V65" s="29" t="n">
        <f aca="false">MIN($T$6,T65+U65)</f>
        <v>0</v>
      </c>
      <c r="W65" s="30" t="n">
        <f aca="false">MAX(0,MIN(N65,T65+U65-V65))</f>
        <v>0</v>
      </c>
      <c r="X65" s="29" t="n">
        <f aca="false">N65-W65</f>
        <v>690</v>
      </c>
      <c r="Y65" s="34" t="n">
        <f aca="false">T65+U65-V65-W65</f>
        <v>0</v>
      </c>
      <c r="Z65" s="34" t="n">
        <f aca="false">AC64</f>
        <v>427.849523975285</v>
      </c>
      <c r="AA65" s="34" t="n">
        <f aca="false">Z65*$T$5/12</f>
        <v>7.12725998688828</v>
      </c>
      <c r="AB65" s="29" t="n">
        <f aca="false">MIN($T$6,Z65+AA65)</f>
        <v>45</v>
      </c>
      <c r="AC65" s="34" t="n">
        <f aca="false">Z65+AA65-AB65</f>
        <v>389.976783962173</v>
      </c>
      <c r="AD65" s="34" t="n">
        <f aca="false">AI64</f>
        <v>0</v>
      </c>
      <c r="AE65" s="34" t="n">
        <f aca="false">AD65*$AD$5/12</f>
        <v>0</v>
      </c>
      <c r="AF65" s="29" t="n">
        <f aca="false">MIN($AD$6,AD65+AE65)</f>
        <v>0</v>
      </c>
      <c r="AG65" s="30" t="n">
        <f aca="false">MAX(0,MIN(X65,AD65+AE65-AF65))</f>
        <v>0</v>
      </c>
      <c r="AH65" s="29" t="n">
        <f aca="false">X65-AG65</f>
        <v>690</v>
      </c>
      <c r="AI65" s="34" t="n">
        <f aca="false">AD65+AE65-AF65-AG65</f>
        <v>0</v>
      </c>
      <c r="AJ65" s="34" t="n">
        <f aca="false">AM64</f>
        <v>0</v>
      </c>
      <c r="AK65" s="34" t="n">
        <f aca="false">AJ65*$AD$5/12</f>
        <v>0</v>
      </c>
      <c r="AL65" s="29" t="n">
        <f aca="false">MIN($AD$6,AJ65+AK65)</f>
        <v>0</v>
      </c>
      <c r="AM65" s="34" t="n">
        <f aca="false">AJ65+AK65-AL65</f>
        <v>0</v>
      </c>
      <c r="AN65" s="34" t="n">
        <f aca="false">AS64</f>
        <v>0</v>
      </c>
      <c r="AO65" s="34" t="n">
        <f aca="false">AN65*$AN$5/12</f>
        <v>0</v>
      </c>
      <c r="AP65" s="29" t="n">
        <f aca="false">MIN($AN$6,AN65+AO65)</f>
        <v>0</v>
      </c>
      <c r="AQ65" s="30" t="n">
        <f aca="false">MAX(0,MIN(AH65,AN65+AO65-AP65))</f>
        <v>0</v>
      </c>
      <c r="AR65" s="29" t="n">
        <f aca="false">AH65-AQ65</f>
        <v>690</v>
      </c>
      <c r="AS65" s="34" t="n">
        <f aca="false">AN65+AO65-AP65-AQ65</f>
        <v>0</v>
      </c>
      <c r="AT65" s="34" t="n">
        <f aca="false">AW64</f>
        <v>7224.16779589731</v>
      </c>
      <c r="AU65" s="34" t="n">
        <f aca="false">AT65*$AN$5/12</f>
        <v>33.1107690645293</v>
      </c>
      <c r="AV65" s="29" t="n">
        <f aca="false">MIN($AN$6,AT65+AU65)</f>
        <v>130</v>
      </c>
      <c r="AW65" s="34" t="n">
        <f aca="false">AT65+AU65-AV65</f>
        <v>7127.27856496184</v>
      </c>
      <c r="AX65" s="30" t="n">
        <f aca="false">BC64</f>
        <v>0</v>
      </c>
      <c r="AY65" s="30" t="n">
        <f aca="false">AX65*$AX$5/12</f>
        <v>0</v>
      </c>
      <c r="AZ65" s="30" t="n">
        <f aca="false">MIN($AX$6,AX65+AY65)</f>
        <v>0</v>
      </c>
      <c r="BA65" s="30" t="n">
        <f aca="false">MAX(0,MIN(AR65,AX65+AY65-AZ65))</f>
        <v>0</v>
      </c>
      <c r="BB65" s="29" t="n">
        <f aca="false">AR65-BA65</f>
        <v>690</v>
      </c>
      <c r="BC65" s="30" t="n">
        <f aca="false">AX65+AY65-AZ65-BA65</f>
        <v>0</v>
      </c>
      <c r="BD65" s="30" t="n">
        <f aca="false">BG64</f>
        <v>0</v>
      </c>
      <c r="BE65" s="30" t="n">
        <f aca="false">BD65*$AX$5/12</f>
        <v>0</v>
      </c>
      <c r="BF65" s="30" t="n">
        <f aca="false">MIN($AX$6,BD65+BE65)</f>
        <v>0</v>
      </c>
      <c r="BG65" s="30" t="n">
        <f aca="false">BD65+BE65-BF65</f>
        <v>0</v>
      </c>
      <c r="BH65" s="30" t="n">
        <f aca="false">BM64</f>
        <v>0</v>
      </c>
      <c r="BI65" s="30" t="n">
        <f aca="false">BH65*$BH$5/12</f>
        <v>0</v>
      </c>
      <c r="BJ65" s="30" t="n">
        <f aca="false">MIN($BH$6,BH65+BI65)</f>
        <v>0</v>
      </c>
      <c r="BK65" s="30" t="n">
        <f aca="false">MAX(0,MIN(BB65,BH65+BI65-BJ65))</f>
        <v>0</v>
      </c>
      <c r="BL65" s="29" t="n">
        <f aca="false">BB65-BK65</f>
        <v>690</v>
      </c>
      <c r="BM65" s="30" t="n">
        <f aca="false">BH65+BI65-BJ65-BK65</f>
        <v>0</v>
      </c>
      <c r="BN65" s="30" t="n">
        <f aca="false">BQ64</f>
        <v>0</v>
      </c>
      <c r="BO65" s="30" t="n">
        <f aca="false">BN65*$BH$5/12</f>
        <v>0</v>
      </c>
      <c r="BP65" s="30" t="n">
        <f aca="false">MIN($BH$6,BN65+BO65)</f>
        <v>0</v>
      </c>
      <c r="BQ65" s="30" t="n">
        <f aca="false">BN65+BO65-BP65</f>
        <v>0</v>
      </c>
      <c r="BR65" s="30" t="n">
        <f aca="false">BW64</f>
        <v>0</v>
      </c>
      <c r="BS65" s="30" t="n">
        <f aca="false">BR65*$BR$5/12</f>
        <v>0</v>
      </c>
      <c r="BT65" s="30" t="n">
        <f aca="false">MIN($BR$6,BR65+BS65)</f>
        <v>0</v>
      </c>
      <c r="BU65" s="30" t="n">
        <f aca="false">MAX(0,MIN(BL65,BR65+BS65-BT65))</f>
        <v>0</v>
      </c>
      <c r="BV65" s="29" t="n">
        <f aca="false">BL65-BU65</f>
        <v>690</v>
      </c>
      <c r="BW65" s="30" t="n">
        <f aca="false">BR65+BS65-BT65-BU65</f>
        <v>0</v>
      </c>
      <c r="BX65" s="30" t="n">
        <f aca="false">CA64</f>
        <v>0</v>
      </c>
      <c r="BY65" s="30" t="n">
        <f aca="false">BX65*$BR$5/12</f>
        <v>0</v>
      </c>
      <c r="BZ65" s="30" t="n">
        <f aca="false">MIN($BR$6,BX65+BY65)</f>
        <v>0</v>
      </c>
      <c r="CA65" s="30" t="n">
        <f aca="false">BX65+BY65-BZ65</f>
        <v>0</v>
      </c>
      <c r="CB65" s="30" t="n">
        <f aca="false">CG64</f>
        <v>0</v>
      </c>
      <c r="CC65" s="30" t="n">
        <f aca="false">CB65*$CB$5/12</f>
        <v>0</v>
      </c>
      <c r="CD65" s="30" t="n">
        <f aca="false">MIN($CB$6,CB65+CC65)</f>
        <v>0</v>
      </c>
      <c r="CE65" s="30" t="n">
        <f aca="false">MAX(0,MIN(BV65,CB65+CC65-CD65))</f>
        <v>0</v>
      </c>
      <c r="CF65" s="29" t="n">
        <f aca="false">BV65-CE65</f>
        <v>690</v>
      </c>
      <c r="CG65" s="30" t="n">
        <f aca="false">CB65+CC65-CD65-CE65</f>
        <v>0</v>
      </c>
      <c r="CH65" s="30" t="n">
        <f aca="false">CK64</f>
        <v>0</v>
      </c>
      <c r="CI65" s="30" t="n">
        <f aca="false">CH65*$CB$5/12</f>
        <v>0</v>
      </c>
      <c r="CJ65" s="30" t="n">
        <f aca="false">MIN($CB$6,CH65+CI65)</f>
        <v>0</v>
      </c>
      <c r="CK65" s="30" t="n">
        <f aca="false">CH65+CI65-CJ65</f>
        <v>0</v>
      </c>
    </row>
    <row r="66" customFormat="false" ht="15" hidden="false" customHeight="false" outlineLevel="0" collapsed="false">
      <c r="A66" s="0" t="n">
        <v>58</v>
      </c>
      <c r="B66" s="29" t="n">
        <f aca="false">'1 Your debts'!$B$16-(L66+V66+AF66+AP66+AZ66+BJ66+BT66+CD66)</f>
        <v>690</v>
      </c>
      <c r="C66" s="34" t="n">
        <f aca="false">O66+Y66+AI66+AS66+BC66+BM66+BW66+CG66</f>
        <v>0</v>
      </c>
      <c r="D66" s="34" t="n">
        <f aca="false">K66+U66+AE66+AO66+AY66+BI66+BS66+CC66</f>
        <v>0</v>
      </c>
      <c r="F66" s="34" t="n">
        <f aca="false">S66+AC66+AM66+AW66+BG66+BQ66+CA66+CK66</f>
        <v>9640.5454185224</v>
      </c>
      <c r="G66" s="34" t="n">
        <f aca="false">Q66+AA66+AK66+AU66+BE66+BO66+BY66+CI66</f>
        <v>87.391641448467</v>
      </c>
      <c r="J66" s="34" t="n">
        <f aca="false">O65</f>
        <v>0</v>
      </c>
      <c r="K66" s="34" t="n">
        <f aca="false">J66*$J$5/12</f>
        <v>0</v>
      </c>
      <c r="L66" s="29" t="n">
        <f aca="false">MIN($J$6,J66+K66)</f>
        <v>0</v>
      </c>
      <c r="M66" s="30" t="n">
        <f aca="false">MAX(0,MIN($B66,J66+K66-L66))</f>
        <v>0</v>
      </c>
      <c r="N66" s="29" t="n">
        <f aca="false">$B66-M66</f>
        <v>690</v>
      </c>
      <c r="O66" s="34" t="n">
        <f aca="false">J66+K66-L66-M66</f>
        <v>0</v>
      </c>
      <c r="P66" s="34" t="n">
        <f aca="false">S65</f>
        <v>2315.89842814992</v>
      </c>
      <c r="Q66" s="34" t="n">
        <f aca="false">P66*$J$5/12</f>
        <v>48.2285847662221</v>
      </c>
      <c r="R66" s="29" t="n">
        <f aca="false">MIN($J$6,P66+Q66)</f>
        <v>105</v>
      </c>
      <c r="S66" s="34" t="n">
        <f aca="false">P66+Q66-R66</f>
        <v>2259.12701291614</v>
      </c>
      <c r="T66" s="34" t="n">
        <f aca="false">Y65</f>
        <v>0</v>
      </c>
      <c r="U66" s="34" t="n">
        <f aca="false">T66*$T$5/12</f>
        <v>0</v>
      </c>
      <c r="V66" s="29" t="n">
        <f aca="false">MIN($T$6,T66+U66)</f>
        <v>0</v>
      </c>
      <c r="W66" s="30" t="n">
        <f aca="false">MAX(0,MIN(N66,T66+U66-V66))</f>
        <v>0</v>
      </c>
      <c r="X66" s="29" t="n">
        <f aca="false">N66-W66</f>
        <v>690</v>
      </c>
      <c r="Y66" s="34" t="n">
        <f aca="false">T66+U66-V66-W66</f>
        <v>0</v>
      </c>
      <c r="Z66" s="34" t="n">
        <f aca="false">AC65</f>
        <v>389.976783962173</v>
      </c>
      <c r="AA66" s="34" t="n">
        <f aca="false">Z66*$T$5/12</f>
        <v>6.4963632595032</v>
      </c>
      <c r="AB66" s="29" t="n">
        <f aca="false">MIN($T$6,Z66+AA66)</f>
        <v>45</v>
      </c>
      <c r="AC66" s="34" t="n">
        <f aca="false">Z66+AA66-AB66</f>
        <v>351.473147221676</v>
      </c>
      <c r="AD66" s="34" t="n">
        <f aca="false">AI65</f>
        <v>0</v>
      </c>
      <c r="AE66" s="34" t="n">
        <f aca="false">AD66*$AD$5/12</f>
        <v>0</v>
      </c>
      <c r="AF66" s="29" t="n">
        <f aca="false">MIN($AD$6,AD66+AE66)</f>
        <v>0</v>
      </c>
      <c r="AG66" s="30" t="n">
        <f aca="false">MAX(0,MIN(X66,AD66+AE66-AF66))</f>
        <v>0</v>
      </c>
      <c r="AH66" s="29" t="n">
        <f aca="false">X66-AG66</f>
        <v>690</v>
      </c>
      <c r="AI66" s="34" t="n">
        <f aca="false">AD66+AE66-AF66-AG66</f>
        <v>0</v>
      </c>
      <c r="AJ66" s="34" t="n">
        <f aca="false">AM65</f>
        <v>0</v>
      </c>
      <c r="AK66" s="34" t="n">
        <f aca="false">AJ66*$AD$5/12</f>
        <v>0</v>
      </c>
      <c r="AL66" s="29" t="n">
        <f aca="false">MIN($AD$6,AJ66+AK66)</f>
        <v>0</v>
      </c>
      <c r="AM66" s="34" t="n">
        <f aca="false">AJ66+AK66-AL66</f>
        <v>0</v>
      </c>
      <c r="AN66" s="34" t="n">
        <f aca="false">AS65</f>
        <v>0</v>
      </c>
      <c r="AO66" s="34" t="n">
        <f aca="false">AN66*$AN$5/12</f>
        <v>0</v>
      </c>
      <c r="AP66" s="29" t="n">
        <f aca="false">MIN($AN$6,AN66+AO66)</f>
        <v>0</v>
      </c>
      <c r="AQ66" s="30" t="n">
        <f aca="false">MAX(0,MIN(AH66,AN66+AO66-AP66))</f>
        <v>0</v>
      </c>
      <c r="AR66" s="29" t="n">
        <f aca="false">AH66-AQ66</f>
        <v>690</v>
      </c>
      <c r="AS66" s="34" t="n">
        <f aca="false">AN66+AO66-AP66-AQ66</f>
        <v>0</v>
      </c>
      <c r="AT66" s="34" t="n">
        <f aca="false">AW65</f>
        <v>7127.27856496184</v>
      </c>
      <c r="AU66" s="34" t="n">
        <f aca="false">AT66*$AN$5/12</f>
        <v>32.6666934227418</v>
      </c>
      <c r="AV66" s="29" t="n">
        <f aca="false">MIN($AN$6,AT66+AU66)</f>
        <v>130</v>
      </c>
      <c r="AW66" s="34" t="n">
        <f aca="false">AT66+AU66-AV66</f>
        <v>7029.94525838458</v>
      </c>
      <c r="AX66" s="30" t="n">
        <f aca="false">BC65</f>
        <v>0</v>
      </c>
      <c r="AY66" s="30" t="n">
        <f aca="false">AX66*$AX$5/12</f>
        <v>0</v>
      </c>
      <c r="AZ66" s="30" t="n">
        <f aca="false">MIN($AX$6,AX66+AY66)</f>
        <v>0</v>
      </c>
      <c r="BA66" s="30" t="n">
        <f aca="false">MAX(0,MIN(AR66,AX66+AY66-AZ66))</f>
        <v>0</v>
      </c>
      <c r="BB66" s="29" t="n">
        <f aca="false">AR66-BA66</f>
        <v>690</v>
      </c>
      <c r="BC66" s="30" t="n">
        <f aca="false">AX66+AY66-AZ66-BA66</f>
        <v>0</v>
      </c>
      <c r="BD66" s="30" t="n">
        <f aca="false">BG65</f>
        <v>0</v>
      </c>
      <c r="BE66" s="30" t="n">
        <f aca="false">BD66*$AX$5/12</f>
        <v>0</v>
      </c>
      <c r="BF66" s="30" t="n">
        <f aca="false">MIN($AX$6,BD66+BE66)</f>
        <v>0</v>
      </c>
      <c r="BG66" s="30" t="n">
        <f aca="false">BD66+BE66-BF66</f>
        <v>0</v>
      </c>
      <c r="BH66" s="30" t="n">
        <f aca="false">BM65</f>
        <v>0</v>
      </c>
      <c r="BI66" s="30" t="n">
        <f aca="false">BH66*$BH$5/12</f>
        <v>0</v>
      </c>
      <c r="BJ66" s="30" t="n">
        <f aca="false">MIN($BH$6,BH66+BI66)</f>
        <v>0</v>
      </c>
      <c r="BK66" s="30" t="n">
        <f aca="false">MAX(0,MIN(BB66,BH66+BI66-BJ66))</f>
        <v>0</v>
      </c>
      <c r="BL66" s="29" t="n">
        <f aca="false">BB66-BK66</f>
        <v>690</v>
      </c>
      <c r="BM66" s="30" t="n">
        <f aca="false">BH66+BI66-BJ66-BK66</f>
        <v>0</v>
      </c>
      <c r="BN66" s="30" t="n">
        <f aca="false">BQ65</f>
        <v>0</v>
      </c>
      <c r="BO66" s="30" t="n">
        <f aca="false">BN66*$BH$5/12</f>
        <v>0</v>
      </c>
      <c r="BP66" s="30" t="n">
        <f aca="false">MIN($BH$6,BN66+BO66)</f>
        <v>0</v>
      </c>
      <c r="BQ66" s="30" t="n">
        <f aca="false">BN66+BO66-BP66</f>
        <v>0</v>
      </c>
      <c r="BR66" s="30" t="n">
        <f aca="false">BW65</f>
        <v>0</v>
      </c>
      <c r="BS66" s="30" t="n">
        <f aca="false">BR66*$BR$5/12</f>
        <v>0</v>
      </c>
      <c r="BT66" s="30" t="n">
        <f aca="false">MIN($BR$6,BR66+BS66)</f>
        <v>0</v>
      </c>
      <c r="BU66" s="30" t="n">
        <f aca="false">MAX(0,MIN(BL66,BR66+BS66-BT66))</f>
        <v>0</v>
      </c>
      <c r="BV66" s="29" t="n">
        <f aca="false">BL66-BU66</f>
        <v>690</v>
      </c>
      <c r="BW66" s="30" t="n">
        <f aca="false">BR66+BS66-BT66-BU66</f>
        <v>0</v>
      </c>
      <c r="BX66" s="30" t="n">
        <f aca="false">CA65</f>
        <v>0</v>
      </c>
      <c r="BY66" s="30" t="n">
        <f aca="false">BX66*$BR$5/12</f>
        <v>0</v>
      </c>
      <c r="BZ66" s="30" t="n">
        <f aca="false">MIN($BR$6,BX66+BY66)</f>
        <v>0</v>
      </c>
      <c r="CA66" s="30" t="n">
        <f aca="false">BX66+BY66-BZ66</f>
        <v>0</v>
      </c>
      <c r="CB66" s="30" t="n">
        <f aca="false">CG65</f>
        <v>0</v>
      </c>
      <c r="CC66" s="30" t="n">
        <f aca="false">CB66*$CB$5/12</f>
        <v>0</v>
      </c>
      <c r="CD66" s="30" t="n">
        <f aca="false">MIN($CB$6,CB66+CC66)</f>
        <v>0</v>
      </c>
      <c r="CE66" s="30" t="n">
        <f aca="false">MAX(0,MIN(BV66,CB66+CC66-CD66))</f>
        <v>0</v>
      </c>
      <c r="CF66" s="29" t="n">
        <f aca="false">BV66-CE66</f>
        <v>690</v>
      </c>
      <c r="CG66" s="30" t="n">
        <f aca="false">CB66+CC66-CD66-CE66</f>
        <v>0</v>
      </c>
      <c r="CH66" s="30" t="n">
        <f aca="false">CK65</f>
        <v>0</v>
      </c>
      <c r="CI66" s="30" t="n">
        <f aca="false">CH66*$CB$5/12</f>
        <v>0</v>
      </c>
      <c r="CJ66" s="30" t="n">
        <f aca="false">MIN($CB$6,CH66+CI66)</f>
        <v>0</v>
      </c>
      <c r="CK66" s="30" t="n">
        <f aca="false">CH66+CI66-CJ66</f>
        <v>0</v>
      </c>
    </row>
    <row r="67" customFormat="false" ht="15" hidden="false" customHeight="false" outlineLevel="0" collapsed="false">
      <c r="A67" s="0" t="n">
        <v>59</v>
      </c>
      <c r="B67" s="29" t="n">
        <f aca="false">'1 Your debts'!$B$16-(L67+V67+AF67+AP67+AZ67+BJ67+BT67+CD67)</f>
        <v>690</v>
      </c>
      <c r="C67" s="34" t="n">
        <f aca="false">O67+Y67+AI67+AS67+BC67+BM67+BW67+CG67</f>
        <v>0</v>
      </c>
      <c r="D67" s="34" t="n">
        <f aca="false">K67+U67+AE67+AO67+AY67+BI67+BS67+CC67</f>
        <v>0</v>
      </c>
      <c r="F67" s="34" t="n">
        <f aca="false">S67+AC67+AM67+AW67+BG67+BQ67+CA67+CK67</f>
        <v>9445.66727784477</v>
      </c>
      <c r="G67" s="34" t="n">
        <f aca="false">Q67+AA67+AK67+AU67+BE67+BO67+BY67+CI67</f>
        <v>85.1218593223757</v>
      </c>
      <c r="J67" s="34" t="n">
        <f aca="false">O66</f>
        <v>0</v>
      </c>
      <c r="K67" s="34" t="n">
        <f aca="false">J67*$J$5/12</f>
        <v>0</v>
      </c>
      <c r="L67" s="29" t="n">
        <f aca="false">MIN($J$6,J67+K67)</f>
        <v>0</v>
      </c>
      <c r="M67" s="30" t="n">
        <f aca="false">MAX(0,MIN($B67,J67+K67-L67))</f>
        <v>0</v>
      </c>
      <c r="N67" s="29" t="n">
        <f aca="false">$B67-M67</f>
        <v>690</v>
      </c>
      <c r="O67" s="34" t="n">
        <f aca="false">J67+K67-L67-M67</f>
        <v>0</v>
      </c>
      <c r="P67" s="34" t="n">
        <f aca="false">S66</f>
        <v>2259.12701291614</v>
      </c>
      <c r="Q67" s="34" t="n">
        <f aca="false">P67*$J$5/12</f>
        <v>47.0463200439787</v>
      </c>
      <c r="R67" s="29" t="n">
        <f aca="false">MIN($J$6,P67+Q67)</f>
        <v>105</v>
      </c>
      <c r="S67" s="34" t="n">
        <f aca="false">P67+Q67-R67</f>
        <v>2201.17333296012</v>
      </c>
      <c r="T67" s="34" t="n">
        <f aca="false">Y66</f>
        <v>0</v>
      </c>
      <c r="U67" s="34" t="n">
        <f aca="false">T67*$T$5/12</f>
        <v>0</v>
      </c>
      <c r="V67" s="29" t="n">
        <f aca="false">MIN($T$6,T67+U67)</f>
        <v>0</v>
      </c>
      <c r="W67" s="30" t="n">
        <f aca="false">MAX(0,MIN(N67,T67+U67-V67))</f>
        <v>0</v>
      </c>
      <c r="X67" s="29" t="n">
        <f aca="false">N67-W67</f>
        <v>690</v>
      </c>
      <c r="Y67" s="34" t="n">
        <f aca="false">T67+U67-V67-W67</f>
        <v>0</v>
      </c>
      <c r="Z67" s="34" t="n">
        <f aca="false">AC66</f>
        <v>351.473147221676</v>
      </c>
      <c r="AA67" s="34" t="n">
        <f aca="false">Z67*$T$5/12</f>
        <v>5.85495684413442</v>
      </c>
      <c r="AB67" s="29" t="n">
        <f aca="false">MIN($T$6,Z67+AA67)</f>
        <v>45</v>
      </c>
      <c r="AC67" s="34" t="n">
        <f aca="false">Z67+AA67-AB67</f>
        <v>312.328104065811</v>
      </c>
      <c r="AD67" s="34" t="n">
        <f aca="false">AI66</f>
        <v>0</v>
      </c>
      <c r="AE67" s="34" t="n">
        <f aca="false">AD67*$AD$5/12</f>
        <v>0</v>
      </c>
      <c r="AF67" s="29" t="n">
        <f aca="false">MIN($AD$6,AD67+AE67)</f>
        <v>0</v>
      </c>
      <c r="AG67" s="30" t="n">
        <f aca="false">MAX(0,MIN(X67,AD67+AE67-AF67))</f>
        <v>0</v>
      </c>
      <c r="AH67" s="29" t="n">
        <f aca="false">X67-AG67</f>
        <v>690</v>
      </c>
      <c r="AI67" s="34" t="n">
        <f aca="false">AD67+AE67-AF67-AG67</f>
        <v>0</v>
      </c>
      <c r="AJ67" s="34" t="n">
        <f aca="false">AM66</f>
        <v>0</v>
      </c>
      <c r="AK67" s="34" t="n">
        <f aca="false">AJ67*$AD$5/12</f>
        <v>0</v>
      </c>
      <c r="AL67" s="29" t="n">
        <f aca="false">MIN($AD$6,AJ67+AK67)</f>
        <v>0</v>
      </c>
      <c r="AM67" s="34" t="n">
        <f aca="false">AJ67+AK67-AL67</f>
        <v>0</v>
      </c>
      <c r="AN67" s="34" t="n">
        <f aca="false">AS66</f>
        <v>0</v>
      </c>
      <c r="AO67" s="34" t="n">
        <f aca="false">AN67*$AN$5/12</f>
        <v>0</v>
      </c>
      <c r="AP67" s="29" t="n">
        <f aca="false">MIN($AN$6,AN67+AO67)</f>
        <v>0</v>
      </c>
      <c r="AQ67" s="30" t="n">
        <f aca="false">MAX(0,MIN(AH67,AN67+AO67-AP67))</f>
        <v>0</v>
      </c>
      <c r="AR67" s="29" t="n">
        <f aca="false">AH67-AQ67</f>
        <v>690</v>
      </c>
      <c r="AS67" s="34" t="n">
        <f aca="false">AN67+AO67-AP67-AQ67</f>
        <v>0</v>
      </c>
      <c r="AT67" s="34" t="n">
        <f aca="false">AW66</f>
        <v>7029.94525838458</v>
      </c>
      <c r="AU67" s="34" t="n">
        <f aca="false">AT67*$AN$5/12</f>
        <v>32.2205824342627</v>
      </c>
      <c r="AV67" s="29" t="n">
        <f aca="false">MIN($AN$6,AT67+AU67)</f>
        <v>130</v>
      </c>
      <c r="AW67" s="34" t="n">
        <f aca="false">AT67+AU67-AV67</f>
        <v>6932.16584081884</v>
      </c>
      <c r="AX67" s="30" t="n">
        <f aca="false">BC66</f>
        <v>0</v>
      </c>
      <c r="AY67" s="30" t="n">
        <f aca="false">AX67*$AX$5/12</f>
        <v>0</v>
      </c>
      <c r="AZ67" s="30" t="n">
        <f aca="false">MIN($AX$6,AX67+AY67)</f>
        <v>0</v>
      </c>
      <c r="BA67" s="30" t="n">
        <f aca="false">MAX(0,MIN(AR67,AX67+AY67-AZ67))</f>
        <v>0</v>
      </c>
      <c r="BB67" s="29" t="n">
        <f aca="false">AR67-BA67</f>
        <v>690</v>
      </c>
      <c r="BC67" s="30" t="n">
        <f aca="false">AX67+AY67-AZ67-BA67</f>
        <v>0</v>
      </c>
      <c r="BD67" s="30" t="n">
        <f aca="false">BG66</f>
        <v>0</v>
      </c>
      <c r="BE67" s="30" t="n">
        <f aca="false">BD67*$AX$5/12</f>
        <v>0</v>
      </c>
      <c r="BF67" s="30" t="n">
        <f aca="false">MIN($AX$6,BD67+BE67)</f>
        <v>0</v>
      </c>
      <c r="BG67" s="30" t="n">
        <f aca="false">BD67+BE67-BF67</f>
        <v>0</v>
      </c>
      <c r="BH67" s="30" t="n">
        <f aca="false">BM66</f>
        <v>0</v>
      </c>
      <c r="BI67" s="30" t="n">
        <f aca="false">BH67*$BH$5/12</f>
        <v>0</v>
      </c>
      <c r="BJ67" s="30" t="n">
        <f aca="false">MIN($BH$6,BH67+BI67)</f>
        <v>0</v>
      </c>
      <c r="BK67" s="30" t="n">
        <f aca="false">MAX(0,MIN(BB67,BH67+BI67-BJ67))</f>
        <v>0</v>
      </c>
      <c r="BL67" s="29" t="n">
        <f aca="false">BB67-BK67</f>
        <v>690</v>
      </c>
      <c r="BM67" s="30" t="n">
        <f aca="false">BH67+BI67-BJ67-BK67</f>
        <v>0</v>
      </c>
      <c r="BN67" s="30" t="n">
        <f aca="false">BQ66</f>
        <v>0</v>
      </c>
      <c r="BO67" s="30" t="n">
        <f aca="false">BN67*$BH$5/12</f>
        <v>0</v>
      </c>
      <c r="BP67" s="30" t="n">
        <f aca="false">MIN($BH$6,BN67+BO67)</f>
        <v>0</v>
      </c>
      <c r="BQ67" s="30" t="n">
        <f aca="false">BN67+BO67-BP67</f>
        <v>0</v>
      </c>
      <c r="BR67" s="30" t="n">
        <f aca="false">BW66</f>
        <v>0</v>
      </c>
      <c r="BS67" s="30" t="n">
        <f aca="false">BR67*$BR$5/12</f>
        <v>0</v>
      </c>
      <c r="BT67" s="30" t="n">
        <f aca="false">MIN($BR$6,BR67+BS67)</f>
        <v>0</v>
      </c>
      <c r="BU67" s="30" t="n">
        <f aca="false">MAX(0,MIN(BL67,BR67+BS67-BT67))</f>
        <v>0</v>
      </c>
      <c r="BV67" s="29" t="n">
        <f aca="false">BL67-BU67</f>
        <v>690</v>
      </c>
      <c r="BW67" s="30" t="n">
        <f aca="false">BR67+BS67-BT67-BU67</f>
        <v>0</v>
      </c>
      <c r="BX67" s="30" t="n">
        <f aca="false">CA66</f>
        <v>0</v>
      </c>
      <c r="BY67" s="30" t="n">
        <f aca="false">BX67*$BR$5/12</f>
        <v>0</v>
      </c>
      <c r="BZ67" s="30" t="n">
        <f aca="false">MIN($BR$6,BX67+BY67)</f>
        <v>0</v>
      </c>
      <c r="CA67" s="30" t="n">
        <f aca="false">BX67+BY67-BZ67</f>
        <v>0</v>
      </c>
      <c r="CB67" s="30" t="n">
        <f aca="false">CG66</f>
        <v>0</v>
      </c>
      <c r="CC67" s="30" t="n">
        <f aca="false">CB67*$CB$5/12</f>
        <v>0</v>
      </c>
      <c r="CD67" s="30" t="n">
        <f aca="false">MIN($CB$6,CB67+CC67)</f>
        <v>0</v>
      </c>
      <c r="CE67" s="30" t="n">
        <f aca="false">MAX(0,MIN(BV67,CB67+CC67-CD67))</f>
        <v>0</v>
      </c>
      <c r="CF67" s="29" t="n">
        <f aca="false">BV67-CE67</f>
        <v>690</v>
      </c>
      <c r="CG67" s="30" t="n">
        <f aca="false">CB67+CC67-CD67-CE67</f>
        <v>0</v>
      </c>
      <c r="CH67" s="30" t="n">
        <f aca="false">CK66</f>
        <v>0</v>
      </c>
      <c r="CI67" s="30" t="n">
        <f aca="false">CH67*$CB$5/12</f>
        <v>0</v>
      </c>
      <c r="CJ67" s="30" t="n">
        <f aca="false">MIN($CB$6,CH67+CI67)</f>
        <v>0</v>
      </c>
      <c r="CK67" s="30" t="n">
        <f aca="false">CH67+CI67-CJ67</f>
        <v>0</v>
      </c>
    </row>
    <row r="68" customFormat="false" ht="15" hidden="false" customHeight="false" outlineLevel="0" collapsed="false">
      <c r="A68" s="0" t="n">
        <v>60</v>
      </c>
      <c r="B68" s="29" t="n">
        <f aca="false">'1 Your debts'!$B$16-(L68+V68+AF68+AP68+AZ68+BJ68+BT68+CD68)</f>
        <v>690</v>
      </c>
      <c r="C68" s="34" t="n">
        <f aca="false">O68+Y68+AI68+AS68+BC68+BM68+BW68+CG68</f>
        <v>0</v>
      </c>
      <c r="D68" s="34" t="n">
        <f aca="false">K68+U68+AE68+AO68+AY68+BI68+BS68+CC68</f>
        <v>0</v>
      </c>
      <c r="F68" s="34" t="n">
        <f aca="false">S68+AC68+AM68+AW68+BG68+BQ68+CA68+CK68</f>
        <v>9248.48200494098</v>
      </c>
      <c r="G68" s="34" t="n">
        <f aca="false">Q68+AA68+AK68+AU68+BE68+BO68+BY68+CI68</f>
        <v>82.8147270962105</v>
      </c>
      <c r="J68" s="34" t="n">
        <f aca="false">O67</f>
        <v>0</v>
      </c>
      <c r="K68" s="34" t="n">
        <f aca="false">J68*$J$5/12</f>
        <v>0</v>
      </c>
      <c r="L68" s="29" t="n">
        <f aca="false">MIN($J$6,J68+K68)</f>
        <v>0</v>
      </c>
      <c r="M68" s="30" t="n">
        <f aca="false">MAX(0,MIN($B68,J68+K68-L68))</f>
        <v>0</v>
      </c>
      <c r="N68" s="29" t="n">
        <f aca="false">$B68-M68</f>
        <v>690</v>
      </c>
      <c r="O68" s="34" t="n">
        <f aca="false">J68+K68-L68-M68</f>
        <v>0</v>
      </c>
      <c r="P68" s="34" t="n">
        <f aca="false">S67</f>
        <v>2201.17333296012</v>
      </c>
      <c r="Q68" s="34" t="n">
        <f aca="false">P68*$J$5/12</f>
        <v>45.8394346588945</v>
      </c>
      <c r="R68" s="29" t="n">
        <f aca="false">MIN($J$6,P68+Q68)</f>
        <v>105</v>
      </c>
      <c r="S68" s="34" t="n">
        <f aca="false">P68+Q68-R68</f>
        <v>2142.01276761902</v>
      </c>
      <c r="T68" s="34" t="n">
        <f aca="false">Y67</f>
        <v>0</v>
      </c>
      <c r="U68" s="34" t="n">
        <f aca="false">T68*$T$5/12</f>
        <v>0</v>
      </c>
      <c r="V68" s="29" t="n">
        <f aca="false">MIN($T$6,T68+U68)</f>
        <v>0</v>
      </c>
      <c r="W68" s="30" t="n">
        <f aca="false">MAX(0,MIN(N68,T68+U68-V68))</f>
        <v>0</v>
      </c>
      <c r="X68" s="29" t="n">
        <f aca="false">N68-W68</f>
        <v>690</v>
      </c>
      <c r="Y68" s="34" t="n">
        <f aca="false">T68+U68-V68-W68</f>
        <v>0</v>
      </c>
      <c r="Z68" s="34" t="n">
        <f aca="false">AC67</f>
        <v>312.328104065811</v>
      </c>
      <c r="AA68" s="34" t="n">
        <f aca="false">Z68*$T$5/12</f>
        <v>5.2028656668963</v>
      </c>
      <c r="AB68" s="29" t="n">
        <f aca="false">MIN($T$6,Z68+AA68)</f>
        <v>45</v>
      </c>
      <c r="AC68" s="34" t="n">
        <f aca="false">Z68+AA68-AB68</f>
        <v>272.530969732707</v>
      </c>
      <c r="AD68" s="34" t="n">
        <f aca="false">AI67</f>
        <v>0</v>
      </c>
      <c r="AE68" s="34" t="n">
        <f aca="false">AD68*$AD$5/12</f>
        <v>0</v>
      </c>
      <c r="AF68" s="29" t="n">
        <f aca="false">MIN($AD$6,AD68+AE68)</f>
        <v>0</v>
      </c>
      <c r="AG68" s="30" t="n">
        <f aca="false">MAX(0,MIN(X68,AD68+AE68-AF68))</f>
        <v>0</v>
      </c>
      <c r="AH68" s="29" t="n">
        <f aca="false">X68-AG68</f>
        <v>690</v>
      </c>
      <c r="AI68" s="34" t="n">
        <f aca="false">AD68+AE68-AF68-AG68</f>
        <v>0</v>
      </c>
      <c r="AJ68" s="34" t="n">
        <f aca="false">AM67</f>
        <v>0</v>
      </c>
      <c r="AK68" s="34" t="n">
        <f aca="false">AJ68*$AD$5/12</f>
        <v>0</v>
      </c>
      <c r="AL68" s="29" t="n">
        <f aca="false">MIN($AD$6,AJ68+AK68)</f>
        <v>0</v>
      </c>
      <c r="AM68" s="34" t="n">
        <f aca="false">AJ68+AK68-AL68</f>
        <v>0</v>
      </c>
      <c r="AN68" s="34" t="n">
        <f aca="false">AS67</f>
        <v>0</v>
      </c>
      <c r="AO68" s="34" t="n">
        <f aca="false">AN68*$AN$5/12</f>
        <v>0</v>
      </c>
      <c r="AP68" s="29" t="n">
        <f aca="false">MIN($AN$6,AN68+AO68)</f>
        <v>0</v>
      </c>
      <c r="AQ68" s="30" t="n">
        <f aca="false">MAX(0,MIN(AH68,AN68+AO68-AP68))</f>
        <v>0</v>
      </c>
      <c r="AR68" s="29" t="n">
        <f aca="false">AH68-AQ68</f>
        <v>690</v>
      </c>
      <c r="AS68" s="34" t="n">
        <f aca="false">AN68+AO68-AP68-AQ68</f>
        <v>0</v>
      </c>
      <c r="AT68" s="34" t="n">
        <f aca="false">AW67</f>
        <v>6932.16584081884</v>
      </c>
      <c r="AU68" s="34" t="n">
        <f aca="false">AT68*$AN$5/12</f>
        <v>31.7724267704197</v>
      </c>
      <c r="AV68" s="29" t="n">
        <f aca="false">MIN($AN$6,AT68+AU68)</f>
        <v>130</v>
      </c>
      <c r="AW68" s="34" t="n">
        <f aca="false">AT68+AU68-AV68</f>
        <v>6833.93826758926</v>
      </c>
      <c r="AX68" s="30" t="n">
        <f aca="false">BC67</f>
        <v>0</v>
      </c>
      <c r="AY68" s="30" t="n">
        <f aca="false">AX68*$AX$5/12</f>
        <v>0</v>
      </c>
      <c r="AZ68" s="30" t="n">
        <f aca="false">MIN($AX$6,AX68+AY68)</f>
        <v>0</v>
      </c>
      <c r="BA68" s="30" t="n">
        <f aca="false">MAX(0,MIN(AR68,AX68+AY68-AZ68))</f>
        <v>0</v>
      </c>
      <c r="BB68" s="29" t="n">
        <f aca="false">AR68-BA68</f>
        <v>690</v>
      </c>
      <c r="BC68" s="30" t="n">
        <f aca="false">AX68+AY68-AZ68-BA68</f>
        <v>0</v>
      </c>
      <c r="BD68" s="30" t="n">
        <f aca="false">BG67</f>
        <v>0</v>
      </c>
      <c r="BE68" s="30" t="n">
        <f aca="false">BD68*$AX$5/12</f>
        <v>0</v>
      </c>
      <c r="BF68" s="30" t="n">
        <f aca="false">MIN($AX$6,BD68+BE68)</f>
        <v>0</v>
      </c>
      <c r="BG68" s="30" t="n">
        <f aca="false">BD68+BE68-BF68</f>
        <v>0</v>
      </c>
      <c r="BH68" s="30" t="n">
        <f aca="false">BM67</f>
        <v>0</v>
      </c>
      <c r="BI68" s="30" t="n">
        <f aca="false">BH68*$BH$5/12</f>
        <v>0</v>
      </c>
      <c r="BJ68" s="30" t="n">
        <f aca="false">MIN($BH$6,BH68+BI68)</f>
        <v>0</v>
      </c>
      <c r="BK68" s="30" t="n">
        <f aca="false">MAX(0,MIN(BB68,BH68+BI68-BJ68))</f>
        <v>0</v>
      </c>
      <c r="BL68" s="29" t="n">
        <f aca="false">BB68-BK68</f>
        <v>690</v>
      </c>
      <c r="BM68" s="30" t="n">
        <f aca="false">BH68+BI68-BJ68-BK68</f>
        <v>0</v>
      </c>
      <c r="BN68" s="30" t="n">
        <f aca="false">BQ67</f>
        <v>0</v>
      </c>
      <c r="BO68" s="30" t="n">
        <f aca="false">BN68*$BH$5/12</f>
        <v>0</v>
      </c>
      <c r="BP68" s="30" t="n">
        <f aca="false">MIN($BH$6,BN68+BO68)</f>
        <v>0</v>
      </c>
      <c r="BQ68" s="30" t="n">
        <f aca="false">BN68+BO68-BP68</f>
        <v>0</v>
      </c>
      <c r="BR68" s="30" t="n">
        <f aca="false">BW67</f>
        <v>0</v>
      </c>
      <c r="BS68" s="30" t="n">
        <f aca="false">BR68*$BR$5/12</f>
        <v>0</v>
      </c>
      <c r="BT68" s="30" t="n">
        <f aca="false">MIN($BR$6,BR68+BS68)</f>
        <v>0</v>
      </c>
      <c r="BU68" s="30" t="n">
        <f aca="false">MAX(0,MIN(BL68,BR68+BS68-BT68))</f>
        <v>0</v>
      </c>
      <c r="BV68" s="29" t="n">
        <f aca="false">BL68-BU68</f>
        <v>690</v>
      </c>
      <c r="BW68" s="30" t="n">
        <f aca="false">BR68+BS68-BT68-BU68</f>
        <v>0</v>
      </c>
      <c r="BX68" s="30" t="n">
        <f aca="false">CA67</f>
        <v>0</v>
      </c>
      <c r="BY68" s="30" t="n">
        <f aca="false">BX68*$BR$5/12</f>
        <v>0</v>
      </c>
      <c r="BZ68" s="30" t="n">
        <f aca="false">MIN($BR$6,BX68+BY68)</f>
        <v>0</v>
      </c>
      <c r="CA68" s="30" t="n">
        <f aca="false">BX68+BY68-BZ68</f>
        <v>0</v>
      </c>
      <c r="CB68" s="30" t="n">
        <f aca="false">CG67</f>
        <v>0</v>
      </c>
      <c r="CC68" s="30" t="n">
        <f aca="false">CB68*$CB$5/12</f>
        <v>0</v>
      </c>
      <c r="CD68" s="30" t="n">
        <f aca="false">MIN($CB$6,CB68+CC68)</f>
        <v>0</v>
      </c>
      <c r="CE68" s="30" t="n">
        <f aca="false">MAX(0,MIN(BV68,CB68+CC68-CD68))</f>
        <v>0</v>
      </c>
      <c r="CF68" s="29" t="n">
        <f aca="false">BV68-CE68</f>
        <v>690</v>
      </c>
      <c r="CG68" s="30" t="n">
        <f aca="false">CB68+CC68-CD68-CE68</f>
        <v>0</v>
      </c>
      <c r="CH68" s="30" t="n">
        <f aca="false">CK67</f>
        <v>0</v>
      </c>
      <c r="CI68" s="30" t="n">
        <f aca="false">CH68*$CB$5/12</f>
        <v>0</v>
      </c>
      <c r="CJ68" s="30" t="n">
        <f aca="false">MIN($CB$6,CH68+CI68)</f>
        <v>0</v>
      </c>
      <c r="CK68" s="30" t="n">
        <f aca="false">CH68+CI68-CJ68</f>
        <v>0</v>
      </c>
    </row>
    <row r="69" customFormat="false" ht="15" hidden="false" customHeight="false" outlineLevel="0" collapsed="false">
      <c r="A69" s="0" t="n">
        <v>61</v>
      </c>
      <c r="B69" s="29" t="n">
        <f aca="false">'1 Your debts'!$B$16-(L69+V69+AF69+AP69+AZ69+BJ69+BT69+CD69)</f>
        <v>690</v>
      </c>
      <c r="C69" s="34" t="n">
        <f aca="false">O69+Y69+AI69+AS69+BC69+BM69+BW69+CG69</f>
        <v>0</v>
      </c>
      <c r="D69" s="34" t="n">
        <f aca="false">K69+U69+AE69+AO69+AY69+BI69+BS69+CC69</f>
        <v>0</v>
      </c>
      <c r="F69" s="34" t="n">
        <f aca="false">S69+AC69+AM69+AW69+BG69+BQ69+CA69+CK69</f>
        <v>9048.9515496239</v>
      </c>
      <c r="G69" s="34" t="n">
        <f aca="false">Q69+AA69+AK69+AU69+BE69+BO69+BY69+CI69</f>
        <v>80.4695446829141</v>
      </c>
      <c r="J69" s="34" t="n">
        <f aca="false">O68</f>
        <v>0</v>
      </c>
      <c r="K69" s="34" t="n">
        <f aca="false">J69*$J$5/12</f>
        <v>0</v>
      </c>
      <c r="L69" s="29" t="n">
        <f aca="false">MIN($J$6,J69+K69)</f>
        <v>0</v>
      </c>
      <c r="M69" s="30" t="n">
        <f aca="false">MAX(0,MIN($B69,J69+K69-L69))</f>
        <v>0</v>
      </c>
      <c r="N69" s="29" t="n">
        <f aca="false">$B69-M69</f>
        <v>690</v>
      </c>
      <c r="O69" s="34" t="n">
        <f aca="false">J69+K69-L69-M69</f>
        <v>0</v>
      </c>
      <c r="P69" s="34" t="n">
        <f aca="false">S68</f>
        <v>2142.01276761902</v>
      </c>
      <c r="Q69" s="34" t="n">
        <f aca="false">P69*$J$5/12</f>
        <v>44.607415885666</v>
      </c>
      <c r="R69" s="29" t="n">
        <f aca="false">MIN($J$6,P69+Q69)</f>
        <v>105</v>
      </c>
      <c r="S69" s="34" t="n">
        <f aca="false">P69+Q69-R69</f>
        <v>2081.62018350468</v>
      </c>
      <c r="T69" s="34" t="n">
        <f aca="false">Y68</f>
        <v>0</v>
      </c>
      <c r="U69" s="34" t="n">
        <f aca="false">T69*$T$5/12</f>
        <v>0</v>
      </c>
      <c r="V69" s="29" t="n">
        <f aca="false">MIN($T$6,T69+U69)</f>
        <v>0</v>
      </c>
      <c r="W69" s="30" t="n">
        <f aca="false">MAX(0,MIN(N69,T69+U69-V69))</f>
        <v>0</v>
      </c>
      <c r="X69" s="29" t="n">
        <f aca="false">N69-W69</f>
        <v>690</v>
      </c>
      <c r="Y69" s="34" t="n">
        <f aca="false">T69+U69-V69-W69</f>
        <v>0</v>
      </c>
      <c r="Z69" s="34" t="n">
        <f aca="false">AC68</f>
        <v>272.530969732707</v>
      </c>
      <c r="AA69" s="34" t="n">
        <f aca="false">Z69*$T$5/12</f>
        <v>4.53991173746401</v>
      </c>
      <c r="AB69" s="29" t="n">
        <f aca="false">MIN($T$6,Z69+AA69)</f>
        <v>45</v>
      </c>
      <c r="AC69" s="34" t="n">
        <f aca="false">Z69+AA69-AB69</f>
        <v>232.070881470171</v>
      </c>
      <c r="AD69" s="34" t="n">
        <f aca="false">AI68</f>
        <v>0</v>
      </c>
      <c r="AE69" s="34" t="n">
        <f aca="false">AD69*$AD$5/12</f>
        <v>0</v>
      </c>
      <c r="AF69" s="29" t="n">
        <f aca="false">MIN($AD$6,AD69+AE69)</f>
        <v>0</v>
      </c>
      <c r="AG69" s="30" t="n">
        <f aca="false">MAX(0,MIN(X69,AD69+AE69-AF69))</f>
        <v>0</v>
      </c>
      <c r="AH69" s="29" t="n">
        <f aca="false">X69-AG69</f>
        <v>690</v>
      </c>
      <c r="AI69" s="34" t="n">
        <f aca="false">AD69+AE69-AF69-AG69</f>
        <v>0</v>
      </c>
      <c r="AJ69" s="34" t="n">
        <f aca="false">AM68</f>
        <v>0</v>
      </c>
      <c r="AK69" s="34" t="n">
        <f aca="false">AJ69*$AD$5/12</f>
        <v>0</v>
      </c>
      <c r="AL69" s="29" t="n">
        <f aca="false">MIN($AD$6,AJ69+AK69)</f>
        <v>0</v>
      </c>
      <c r="AM69" s="34" t="n">
        <f aca="false">AJ69+AK69-AL69</f>
        <v>0</v>
      </c>
      <c r="AN69" s="34" t="n">
        <f aca="false">AS68</f>
        <v>0</v>
      </c>
      <c r="AO69" s="34" t="n">
        <f aca="false">AN69*$AN$5/12</f>
        <v>0</v>
      </c>
      <c r="AP69" s="29" t="n">
        <f aca="false">MIN($AN$6,AN69+AO69)</f>
        <v>0</v>
      </c>
      <c r="AQ69" s="30" t="n">
        <f aca="false">MAX(0,MIN(AH69,AN69+AO69-AP69))</f>
        <v>0</v>
      </c>
      <c r="AR69" s="29" t="n">
        <f aca="false">AH69-AQ69</f>
        <v>690</v>
      </c>
      <c r="AS69" s="34" t="n">
        <f aca="false">AN69+AO69-AP69-AQ69</f>
        <v>0</v>
      </c>
      <c r="AT69" s="34" t="n">
        <f aca="false">AW68</f>
        <v>6833.93826758926</v>
      </c>
      <c r="AU69" s="34" t="n">
        <f aca="false">AT69*$AN$5/12</f>
        <v>31.3222170597841</v>
      </c>
      <c r="AV69" s="29" t="n">
        <f aca="false">MIN($AN$6,AT69+AU69)</f>
        <v>130</v>
      </c>
      <c r="AW69" s="34" t="n">
        <f aca="false">AT69+AU69-AV69</f>
        <v>6735.26048464905</v>
      </c>
      <c r="AX69" s="30" t="n">
        <f aca="false">BC68</f>
        <v>0</v>
      </c>
      <c r="AY69" s="30" t="n">
        <f aca="false">AX69*$AX$5/12</f>
        <v>0</v>
      </c>
      <c r="AZ69" s="30" t="n">
        <f aca="false">MIN($AX$6,AX69+AY69)</f>
        <v>0</v>
      </c>
      <c r="BA69" s="30" t="n">
        <f aca="false">MAX(0,MIN(AR69,AX69+AY69-AZ69))</f>
        <v>0</v>
      </c>
      <c r="BB69" s="29" t="n">
        <f aca="false">AR69-BA69</f>
        <v>690</v>
      </c>
      <c r="BC69" s="30" t="n">
        <f aca="false">AX69+AY69-AZ69-BA69</f>
        <v>0</v>
      </c>
      <c r="BD69" s="30" t="n">
        <f aca="false">BG68</f>
        <v>0</v>
      </c>
      <c r="BE69" s="30" t="n">
        <f aca="false">BD69*$AX$5/12</f>
        <v>0</v>
      </c>
      <c r="BF69" s="30" t="n">
        <f aca="false">MIN($AX$6,BD69+BE69)</f>
        <v>0</v>
      </c>
      <c r="BG69" s="30" t="n">
        <f aca="false">BD69+BE69-BF69</f>
        <v>0</v>
      </c>
      <c r="BH69" s="30" t="n">
        <f aca="false">BM68</f>
        <v>0</v>
      </c>
      <c r="BI69" s="30" t="n">
        <f aca="false">BH69*$BH$5/12</f>
        <v>0</v>
      </c>
      <c r="BJ69" s="30" t="n">
        <f aca="false">MIN($BH$6,BH69+BI69)</f>
        <v>0</v>
      </c>
      <c r="BK69" s="30" t="n">
        <f aca="false">MAX(0,MIN(BB69,BH69+BI69-BJ69))</f>
        <v>0</v>
      </c>
      <c r="BL69" s="29" t="n">
        <f aca="false">BB69-BK69</f>
        <v>690</v>
      </c>
      <c r="BM69" s="30" t="n">
        <f aca="false">BH69+BI69-BJ69-BK69</f>
        <v>0</v>
      </c>
      <c r="BN69" s="30" t="n">
        <f aca="false">BQ68</f>
        <v>0</v>
      </c>
      <c r="BO69" s="30" t="n">
        <f aca="false">BN69*$BH$5/12</f>
        <v>0</v>
      </c>
      <c r="BP69" s="30" t="n">
        <f aca="false">MIN($BH$6,BN69+BO69)</f>
        <v>0</v>
      </c>
      <c r="BQ69" s="30" t="n">
        <f aca="false">BN69+BO69-BP69</f>
        <v>0</v>
      </c>
      <c r="BR69" s="30" t="n">
        <f aca="false">BW68</f>
        <v>0</v>
      </c>
      <c r="BS69" s="30" t="n">
        <f aca="false">BR69*$BR$5/12</f>
        <v>0</v>
      </c>
      <c r="BT69" s="30" t="n">
        <f aca="false">MIN($BR$6,BR69+BS69)</f>
        <v>0</v>
      </c>
      <c r="BU69" s="30" t="n">
        <f aca="false">MAX(0,MIN(BL69,BR69+BS69-BT69))</f>
        <v>0</v>
      </c>
      <c r="BV69" s="29" t="n">
        <f aca="false">BL69-BU69</f>
        <v>690</v>
      </c>
      <c r="BW69" s="30" t="n">
        <f aca="false">BR69+BS69-BT69-BU69</f>
        <v>0</v>
      </c>
      <c r="BX69" s="30" t="n">
        <f aca="false">CA68</f>
        <v>0</v>
      </c>
      <c r="BY69" s="30" t="n">
        <f aca="false">BX69*$BR$5/12</f>
        <v>0</v>
      </c>
      <c r="BZ69" s="30" t="n">
        <f aca="false">MIN($BR$6,BX69+BY69)</f>
        <v>0</v>
      </c>
      <c r="CA69" s="30" t="n">
        <f aca="false">BX69+BY69-BZ69</f>
        <v>0</v>
      </c>
      <c r="CB69" s="30" t="n">
        <f aca="false">CG68</f>
        <v>0</v>
      </c>
      <c r="CC69" s="30" t="n">
        <f aca="false">CB69*$CB$5/12</f>
        <v>0</v>
      </c>
      <c r="CD69" s="30" t="n">
        <f aca="false">MIN($CB$6,CB69+CC69)</f>
        <v>0</v>
      </c>
      <c r="CE69" s="30" t="n">
        <f aca="false">MAX(0,MIN(BV69,CB69+CC69-CD69))</f>
        <v>0</v>
      </c>
      <c r="CF69" s="29" t="n">
        <f aca="false">BV69-CE69</f>
        <v>690</v>
      </c>
      <c r="CG69" s="30" t="n">
        <f aca="false">CB69+CC69-CD69-CE69</f>
        <v>0</v>
      </c>
      <c r="CH69" s="30" t="n">
        <f aca="false">CK68</f>
        <v>0</v>
      </c>
      <c r="CI69" s="30" t="n">
        <f aca="false">CH69*$CB$5/12</f>
        <v>0</v>
      </c>
      <c r="CJ69" s="30" t="n">
        <f aca="false">MIN($CB$6,CH69+CI69)</f>
        <v>0</v>
      </c>
      <c r="CK69" s="30" t="n">
        <f aca="false">CH69+CI69-CJ69</f>
        <v>0</v>
      </c>
    </row>
    <row r="70" customFormat="false" ht="15" hidden="false" customHeight="false" outlineLevel="0" collapsed="false">
      <c r="A70" s="0" t="n">
        <v>62</v>
      </c>
      <c r="B70" s="29" t="n">
        <f aca="false">'1 Your debts'!$B$16-(L70+V70+AF70+AP70+AZ70+BJ70+BT70+CD70)</f>
        <v>690</v>
      </c>
      <c r="C70" s="34" t="n">
        <f aca="false">O70+Y70+AI70+AS70+BC70+BM70+BW70+CG70</f>
        <v>0</v>
      </c>
      <c r="D70" s="34" t="n">
        <f aca="false">K70+U70+AE70+AO70+AY70+BI70+BS70+CC70</f>
        <v>0</v>
      </c>
      <c r="F70" s="34" t="n">
        <f aca="false">S70+AC70+AM70+AW70+BG70+BQ70+CA70+CK70</f>
        <v>8847.03714793385</v>
      </c>
      <c r="G70" s="34" t="n">
        <f aca="false">Q70+AA70+AK70+AU70+BE70+BO70+BY70+CI70</f>
        <v>78.0855983099504</v>
      </c>
      <c r="J70" s="34" t="n">
        <f aca="false">O69</f>
        <v>0</v>
      </c>
      <c r="K70" s="34" t="n">
        <f aca="false">J70*$J$5/12</f>
        <v>0</v>
      </c>
      <c r="L70" s="29" t="n">
        <f aca="false">MIN($J$6,J70+K70)</f>
        <v>0</v>
      </c>
      <c r="M70" s="30" t="n">
        <f aca="false">MAX(0,MIN($B70,J70+K70-L70))</f>
        <v>0</v>
      </c>
      <c r="N70" s="29" t="n">
        <f aca="false">$B70-M70</f>
        <v>690</v>
      </c>
      <c r="O70" s="34" t="n">
        <f aca="false">J70+K70-L70-M70</f>
        <v>0</v>
      </c>
      <c r="P70" s="34" t="n">
        <f aca="false">S69</f>
        <v>2081.62018350468</v>
      </c>
      <c r="Q70" s="34" t="n">
        <f aca="false">P70*$J$5/12</f>
        <v>43.349740321485</v>
      </c>
      <c r="R70" s="29" t="n">
        <f aca="false">MIN($J$6,P70+Q70)</f>
        <v>105</v>
      </c>
      <c r="S70" s="34" t="n">
        <f aca="false">P70+Q70-R70</f>
        <v>2019.96992382617</v>
      </c>
      <c r="T70" s="34" t="n">
        <f aca="false">Y69</f>
        <v>0</v>
      </c>
      <c r="U70" s="34" t="n">
        <f aca="false">T70*$T$5/12</f>
        <v>0</v>
      </c>
      <c r="V70" s="29" t="n">
        <f aca="false">MIN($T$6,T70+U70)</f>
        <v>0</v>
      </c>
      <c r="W70" s="30" t="n">
        <f aca="false">MAX(0,MIN(N70,T70+U70-V70))</f>
        <v>0</v>
      </c>
      <c r="X70" s="29" t="n">
        <f aca="false">N70-W70</f>
        <v>690</v>
      </c>
      <c r="Y70" s="34" t="n">
        <f aca="false">T70+U70-V70-W70</f>
        <v>0</v>
      </c>
      <c r="Z70" s="34" t="n">
        <f aca="false">AC69</f>
        <v>232.070881470171</v>
      </c>
      <c r="AA70" s="34" t="n">
        <f aca="false">Z70*$T$5/12</f>
        <v>3.8659141004906</v>
      </c>
      <c r="AB70" s="29" t="n">
        <f aca="false">MIN($T$6,Z70+AA70)</f>
        <v>45</v>
      </c>
      <c r="AC70" s="34" t="n">
        <f aca="false">Z70+AA70-AB70</f>
        <v>190.936795570661</v>
      </c>
      <c r="AD70" s="34" t="n">
        <f aca="false">AI69</f>
        <v>0</v>
      </c>
      <c r="AE70" s="34" t="n">
        <f aca="false">AD70*$AD$5/12</f>
        <v>0</v>
      </c>
      <c r="AF70" s="29" t="n">
        <f aca="false">MIN($AD$6,AD70+AE70)</f>
        <v>0</v>
      </c>
      <c r="AG70" s="30" t="n">
        <f aca="false">MAX(0,MIN(X70,AD70+AE70-AF70))</f>
        <v>0</v>
      </c>
      <c r="AH70" s="29" t="n">
        <f aca="false">X70-AG70</f>
        <v>690</v>
      </c>
      <c r="AI70" s="34" t="n">
        <f aca="false">AD70+AE70-AF70-AG70</f>
        <v>0</v>
      </c>
      <c r="AJ70" s="34" t="n">
        <f aca="false">AM69</f>
        <v>0</v>
      </c>
      <c r="AK70" s="34" t="n">
        <f aca="false">AJ70*$AD$5/12</f>
        <v>0</v>
      </c>
      <c r="AL70" s="29" t="n">
        <f aca="false">MIN($AD$6,AJ70+AK70)</f>
        <v>0</v>
      </c>
      <c r="AM70" s="34" t="n">
        <f aca="false">AJ70+AK70-AL70</f>
        <v>0</v>
      </c>
      <c r="AN70" s="34" t="n">
        <f aca="false">AS69</f>
        <v>0</v>
      </c>
      <c r="AO70" s="34" t="n">
        <f aca="false">AN70*$AN$5/12</f>
        <v>0</v>
      </c>
      <c r="AP70" s="29" t="n">
        <f aca="false">MIN($AN$6,AN70+AO70)</f>
        <v>0</v>
      </c>
      <c r="AQ70" s="30" t="n">
        <f aca="false">MAX(0,MIN(AH70,AN70+AO70-AP70))</f>
        <v>0</v>
      </c>
      <c r="AR70" s="29" t="n">
        <f aca="false">AH70-AQ70</f>
        <v>690</v>
      </c>
      <c r="AS70" s="34" t="n">
        <f aca="false">AN70+AO70-AP70-AQ70</f>
        <v>0</v>
      </c>
      <c r="AT70" s="34" t="n">
        <f aca="false">AW69</f>
        <v>6735.26048464905</v>
      </c>
      <c r="AU70" s="34" t="n">
        <f aca="false">AT70*$AN$5/12</f>
        <v>30.8699438879748</v>
      </c>
      <c r="AV70" s="29" t="n">
        <f aca="false">MIN($AN$6,AT70+AU70)</f>
        <v>130</v>
      </c>
      <c r="AW70" s="34" t="n">
        <f aca="false">AT70+AU70-AV70</f>
        <v>6636.13042853702</v>
      </c>
      <c r="AX70" s="30" t="n">
        <f aca="false">BC69</f>
        <v>0</v>
      </c>
      <c r="AY70" s="30" t="n">
        <f aca="false">AX70*$AX$5/12</f>
        <v>0</v>
      </c>
      <c r="AZ70" s="30" t="n">
        <f aca="false">MIN($AX$6,AX70+AY70)</f>
        <v>0</v>
      </c>
      <c r="BA70" s="30" t="n">
        <f aca="false">MAX(0,MIN(AR70,AX70+AY70-AZ70))</f>
        <v>0</v>
      </c>
      <c r="BB70" s="29" t="n">
        <f aca="false">AR70-BA70</f>
        <v>690</v>
      </c>
      <c r="BC70" s="30" t="n">
        <f aca="false">AX70+AY70-AZ70-BA70</f>
        <v>0</v>
      </c>
      <c r="BD70" s="30" t="n">
        <f aca="false">BG69</f>
        <v>0</v>
      </c>
      <c r="BE70" s="30" t="n">
        <f aca="false">BD70*$AX$5/12</f>
        <v>0</v>
      </c>
      <c r="BF70" s="30" t="n">
        <f aca="false">MIN($AX$6,BD70+BE70)</f>
        <v>0</v>
      </c>
      <c r="BG70" s="30" t="n">
        <f aca="false">BD70+BE70-BF70</f>
        <v>0</v>
      </c>
      <c r="BH70" s="30" t="n">
        <f aca="false">BM69</f>
        <v>0</v>
      </c>
      <c r="BI70" s="30" t="n">
        <f aca="false">BH70*$BH$5/12</f>
        <v>0</v>
      </c>
      <c r="BJ70" s="30" t="n">
        <f aca="false">MIN($BH$6,BH70+BI70)</f>
        <v>0</v>
      </c>
      <c r="BK70" s="30" t="n">
        <f aca="false">MAX(0,MIN(BB70,BH70+BI70-BJ70))</f>
        <v>0</v>
      </c>
      <c r="BL70" s="29" t="n">
        <f aca="false">BB70-BK70</f>
        <v>690</v>
      </c>
      <c r="BM70" s="30" t="n">
        <f aca="false">BH70+BI70-BJ70-BK70</f>
        <v>0</v>
      </c>
      <c r="BN70" s="30" t="n">
        <f aca="false">BQ69</f>
        <v>0</v>
      </c>
      <c r="BO70" s="30" t="n">
        <f aca="false">BN70*$BH$5/12</f>
        <v>0</v>
      </c>
      <c r="BP70" s="30" t="n">
        <f aca="false">MIN($BH$6,BN70+BO70)</f>
        <v>0</v>
      </c>
      <c r="BQ70" s="30" t="n">
        <f aca="false">BN70+BO70-BP70</f>
        <v>0</v>
      </c>
      <c r="BR70" s="30" t="n">
        <f aca="false">BW69</f>
        <v>0</v>
      </c>
      <c r="BS70" s="30" t="n">
        <f aca="false">BR70*$BR$5/12</f>
        <v>0</v>
      </c>
      <c r="BT70" s="30" t="n">
        <f aca="false">MIN($BR$6,BR70+BS70)</f>
        <v>0</v>
      </c>
      <c r="BU70" s="30" t="n">
        <f aca="false">MAX(0,MIN(BL70,BR70+BS70-BT70))</f>
        <v>0</v>
      </c>
      <c r="BV70" s="29" t="n">
        <f aca="false">BL70-BU70</f>
        <v>690</v>
      </c>
      <c r="BW70" s="30" t="n">
        <f aca="false">BR70+BS70-BT70-BU70</f>
        <v>0</v>
      </c>
      <c r="BX70" s="30" t="n">
        <f aca="false">CA69</f>
        <v>0</v>
      </c>
      <c r="BY70" s="30" t="n">
        <f aca="false">BX70*$BR$5/12</f>
        <v>0</v>
      </c>
      <c r="BZ70" s="30" t="n">
        <f aca="false">MIN($BR$6,BX70+BY70)</f>
        <v>0</v>
      </c>
      <c r="CA70" s="30" t="n">
        <f aca="false">BX70+BY70-BZ70</f>
        <v>0</v>
      </c>
      <c r="CB70" s="30" t="n">
        <f aca="false">CG69</f>
        <v>0</v>
      </c>
      <c r="CC70" s="30" t="n">
        <f aca="false">CB70*$CB$5/12</f>
        <v>0</v>
      </c>
      <c r="CD70" s="30" t="n">
        <f aca="false">MIN($CB$6,CB70+CC70)</f>
        <v>0</v>
      </c>
      <c r="CE70" s="30" t="n">
        <f aca="false">MAX(0,MIN(BV70,CB70+CC70-CD70))</f>
        <v>0</v>
      </c>
      <c r="CF70" s="29" t="n">
        <f aca="false">BV70-CE70</f>
        <v>690</v>
      </c>
      <c r="CG70" s="30" t="n">
        <f aca="false">CB70+CC70-CD70-CE70</f>
        <v>0</v>
      </c>
      <c r="CH70" s="30" t="n">
        <f aca="false">CK69</f>
        <v>0</v>
      </c>
      <c r="CI70" s="30" t="n">
        <f aca="false">CH70*$CB$5/12</f>
        <v>0</v>
      </c>
      <c r="CJ70" s="30" t="n">
        <f aca="false">MIN($CB$6,CH70+CI70)</f>
        <v>0</v>
      </c>
      <c r="CK70" s="30" t="n">
        <f aca="false">CH70+CI70-CJ70</f>
        <v>0</v>
      </c>
    </row>
    <row r="71" customFormat="false" ht="15" hidden="false" customHeight="false" outlineLevel="0" collapsed="false">
      <c r="A71" s="0" t="n">
        <v>63</v>
      </c>
      <c r="B71" s="29" t="n">
        <f aca="false">'1 Your debts'!$B$16-(L71+V71+AF71+AP71+AZ71+BJ71+BT71+CD71)</f>
        <v>690</v>
      </c>
      <c r="C71" s="34" t="n">
        <f aca="false">O71+Y71+AI71+AS71+BC71+BM71+BW71+CG71</f>
        <v>0</v>
      </c>
      <c r="D71" s="34" t="n">
        <f aca="false">K71+U71+AE71+AO71+AY71+BI71+BS71+CC71</f>
        <v>0</v>
      </c>
      <c r="F71" s="34" t="n">
        <f aca="false">S71+AC71+AM71+AW71+BG71+BQ71+CA71+CK71</f>
        <v>8642.6993081812</v>
      </c>
      <c r="G71" s="34" t="n">
        <f aca="false">Q71+AA71+AK71+AU71+BE71+BO71+BY71+CI71</f>
        <v>75.6621602473559</v>
      </c>
      <c r="J71" s="34" t="n">
        <f aca="false">O70</f>
        <v>0</v>
      </c>
      <c r="K71" s="34" t="n">
        <f aca="false">J71*$J$5/12</f>
        <v>0</v>
      </c>
      <c r="L71" s="29" t="n">
        <f aca="false">MIN($J$6,J71+K71)</f>
        <v>0</v>
      </c>
      <c r="M71" s="30" t="n">
        <f aca="false">MAX(0,MIN($B71,J71+K71-L71))</f>
        <v>0</v>
      </c>
      <c r="N71" s="29" t="n">
        <f aca="false">$B71-M71</f>
        <v>690</v>
      </c>
      <c r="O71" s="34" t="n">
        <f aca="false">J71+K71-L71-M71</f>
        <v>0</v>
      </c>
      <c r="P71" s="34" t="n">
        <f aca="false">S70</f>
        <v>2019.96992382617</v>
      </c>
      <c r="Q71" s="34" t="n">
        <f aca="false">P71*$J$5/12</f>
        <v>42.0658736636799</v>
      </c>
      <c r="R71" s="29" t="n">
        <f aca="false">MIN($J$6,P71+Q71)</f>
        <v>105</v>
      </c>
      <c r="S71" s="34" t="n">
        <f aca="false">P71+Q71-R71</f>
        <v>1957.03579748985</v>
      </c>
      <c r="T71" s="34" t="n">
        <f aca="false">Y70</f>
        <v>0</v>
      </c>
      <c r="U71" s="34" t="n">
        <f aca="false">T71*$T$5/12</f>
        <v>0</v>
      </c>
      <c r="V71" s="29" t="n">
        <f aca="false">MIN($T$6,T71+U71)</f>
        <v>0</v>
      </c>
      <c r="W71" s="30" t="n">
        <f aca="false">MAX(0,MIN(N71,T71+U71-V71))</f>
        <v>0</v>
      </c>
      <c r="X71" s="29" t="n">
        <f aca="false">N71-W71</f>
        <v>690</v>
      </c>
      <c r="Y71" s="34" t="n">
        <f aca="false">T71+U71-V71-W71</f>
        <v>0</v>
      </c>
      <c r="Z71" s="34" t="n">
        <f aca="false">AC70</f>
        <v>190.936795570661</v>
      </c>
      <c r="AA71" s="34" t="n">
        <f aca="false">Z71*$T$5/12</f>
        <v>3.1806887862146</v>
      </c>
      <c r="AB71" s="29" t="n">
        <f aca="false">MIN($T$6,Z71+AA71)</f>
        <v>45</v>
      </c>
      <c r="AC71" s="34" t="n">
        <f aca="false">Z71+AA71-AB71</f>
        <v>149.117484356876</v>
      </c>
      <c r="AD71" s="34" t="n">
        <f aca="false">AI70</f>
        <v>0</v>
      </c>
      <c r="AE71" s="34" t="n">
        <f aca="false">AD71*$AD$5/12</f>
        <v>0</v>
      </c>
      <c r="AF71" s="29" t="n">
        <f aca="false">MIN($AD$6,AD71+AE71)</f>
        <v>0</v>
      </c>
      <c r="AG71" s="30" t="n">
        <f aca="false">MAX(0,MIN(X71,AD71+AE71-AF71))</f>
        <v>0</v>
      </c>
      <c r="AH71" s="29" t="n">
        <f aca="false">X71-AG71</f>
        <v>690</v>
      </c>
      <c r="AI71" s="34" t="n">
        <f aca="false">AD71+AE71-AF71-AG71</f>
        <v>0</v>
      </c>
      <c r="AJ71" s="34" t="n">
        <f aca="false">AM70</f>
        <v>0</v>
      </c>
      <c r="AK71" s="34" t="n">
        <f aca="false">AJ71*$AD$5/12</f>
        <v>0</v>
      </c>
      <c r="AL71" s="29" t="n">
        <f aca="false">MIN($AD$6,AJ71+AK71)</f>
        <v>0</v>
      </c>
      <c r="AM71" s="34" t="n">
        <f aca="false">AJ71+AK71-AL71</f>
        <v>0</v>
      </c>
      <c r="AN71" s="34" t="n">
        <f aca="false">AS70</f>
        <v>0</v>
      </c>
      <c r="AO71" s="34" t="n">
        <f aca="false">AN71*$AN$5/12</f>
        <v>0</v>
      </c>
      <c r="AP71" s="29" t="n">
        <f aca="false">MIN($AN$6,AN71+AO71)</f>
        <v>0</v>
      </c>
      <c r="AQ71" s="30" t="n">
        <f aca="false">MAX(0,MIN(AH71,AN71+AO71-AP71))</f>
        <v>0</v>
      </c>
      <c r="AR71" s="29" t="n">
        <f aca="false">AH71-AQ71</f>
        <v>690</v>
      </c>
      <c r="AS71" s="34" t="n">
        <f aca="false">AN71+AO71-AP71-AQ71</f>
        <v>0</v>
      </c>
      <c r="AT71" s="34" t="n">
        <f aca="false">AW70</f>
        <v>6636.13042853702</v>
      </c>
      <c r="AU71" s="34" t="n">
        <f aca="false">AT71*$AN$5/12</f>
        <v>30.4155977974613</v>
      </c>
      <c r="AV71" s="29" t="n">
        <f aca="false">MIN($AN$6,AT71+AU71)</f>
        <v>130</v>
      </c>
      <c r="AW71" s="34" t="n">
        <f aca="false">AT71+AU71-AV71</f>
        <v>6536.54602633448</v>
      </c>
      <c r="AX71" s="30" t="n">
        <f aca="false">BC70</f>
        <v>0</v>
      </c>
      <c r="AY71" s="30" t="n">
        <f aca="false">AX71*$AX$5/12</f>
        <v>0</v>
      </c>
      <c r="AZ71" s="30" t="n">
        <f aca="false">MIN($AX$6,AX71+AY71)</f>
        <v>0</v>
      </c>
      <c r="BA71" s="30" t="n">
        <f aca="false">MAX(0,MIN(AR71,AX71+AY71-AZ71))</f>
        <v>0</v>
      </c>
      <c r="BB71" s="29" t="n">
        <f aca="false">AR71-BA71</f>
        <v>690</v>
      </c>
      <c r="BC71" s="30" t="n">
        <f aca="false">AX71+AY71-AZ71-BA71</f>
        <v>0</v>
      </c>
      <c r="BD71" s="30" t="n">
        <f aca="false">BG70</f>
        <v>0</v>
      </c>
      <c r="BE71" s="30" t="n">
        <f aca="false">BD71*$AX$5/12</f>
        <v>0</v>
      </c>
      <c r="BF71" s="30" t="n">
        <f aca="false">MIN($AX$6,BD71+BE71)</f>
        <v>0</v>
      </c>
      <c r="BG71" s="30" t="n">
        <f aca="false">BD71+BE71-BF71</f>
        <v>0</v>
      </c>
      <c r="BH71" s="30" t="n">
        <f aca="false">BM70</f>
        <v>0</v>
      </c>
      <c r="BI71" s="30" t="n">
        <f aca="false">BH71*$BH$5/12</f>
        <v>0</v>
      </c>
      <c r="BJ71" s="30" t="n">
        <f aca="false">MIN($BH$6,BH71+BI71)</f>
        <v>0</v>
      </c>
      <c r="BK71" s="30" t="n">
        <f aca="false">MAX(0,MIN(BB71,BH71+BI71-BJ71))</f>
        <v>0</v>
      </c>
      <c r="BL71" s="29" t="n">
        <f aca="false">BB71-BK71</f>
        <v>690</v>
      </c>
      <c r="BM71" s="30" t="n">
        <f aca="false">BH71+BI71-BJ71-BK71</f>
        <v>0</v>
      </c>
      <c r="BN71" s="30" t="n">
        <f aca="false">BQ70</f>
        <v>0</v>
      </c>
      <c r="BO71" s="30" t="n">
        <f aca="false">BN71*$BH$5/12</f>
        <v>0</v>
      </c>
      <c r="BP71" s="30" t="n">
        <f aca="false">MIN($BH$6,BN71+BO71)</f>
        <v>0</v>
      </c>
      <c r="BQ71" s="30" t="n">
        <f aca="false">BN71+BO71-BP71</f>
        <v>0</v>
      </c>
      <c r="BR71" s="30" t="n">
        <f aca="false">BW70</f>
        <v>0</v>
      </c>
      <c r="BS71" s="30" t="n">
        <f aca="false">BR71*$BR$5/12</f>
        <v>0</v>
      </c>
      <c r="BT71" s="30" t="n">
        <f aca="false">MIN($BR$6,BR71+BS71)</f>
        <v>0</v>
      </c>
      <c r="BU71" s="30" t="n">
        <f aca="false">MAX(0,MIN(BL71,BR71+BS71-BT71))</f>
        <v>0</v>
      </c>
      <c r="BV71" s="29" t="n">
        <f aca="false">BL71-BU71</f>
        <v>690</v>
      </c>
      <c r="BW71" s="30" t="n">
        <f aca="false">BR71+BS71-BT71-BU71</f>
        <v>0</v>
      </c>
      <c r="BX71" s="30" t="n">
        <f aca="false">CA70</f>
        <v>0</v>
      </c>
      <c r="BY71" s="30" t="n">
        <f aca="false">BX71*$BR$5/12</f>
        <v>0</v>
      </c>
      <c r="BZ71" s="30" t="n">
        <f aca="false">MIN($BR$6,BX71+BY71)</f>
        <v>0</v>
      </c>
      <c r="CA71" s="30" t="n">
        <f aca="false">BX71+BY71-BZ71</f>
        <v>0</v>
      </c>
      <c r="CB71" s="30" t="n">
        <f aca="false">CG70</f>
        <v>0</v>
      </c>
      <c r="CC71" s="30" t="n">
        <f aca="false">CB71*$CB$5/12</f>
        <v>0</v>
      </c>
      <c r="CD71" s="30" t="n">
        <f aca="false">MIN($CB$6,CB71+CC71)</f>
        <v>0</v>
      </c>
      <c r="CE71" s="30" t="n">
        <f aca="false">MAX(0,MIN(BV71,CB71+CC71-CD71))</f>
        <v>0</v>
      </c>
      <c r="CF71" s="29" t="n">
        <f aca="false">BV71-CE71</f>
        <v>690</v>
      </c>
      <c r="CG71" s="30" t="n">
        <f aca="false">CB71+CC71-CD71-CE71</f>
        <v>0</v>
      </c>
      <c r="CH71" s="30" t="n">
        <f aca="false">CK70</f>
        <v>0</v>
      </c>
      <c r="CI71" s="30" t="n">
        <f aca="false">CH71*$CB$5/12</f>
        <v>0</v>
      </c>
      <c r="CJ71" s="30" t="n">
        <f aca="false">MIN($CB$6,CH71+CI71)</f>
        <v>0</v>
      </c>
      <c r="CK71" s="30" t="n">
        <f aca="false">CH71+CI71-CJ71</f>
        <v>0</v>
      </c>
    </row>
    <row r="72" customFormat="false" ht="15" hidden="false" customHeight="false" outlineLevel="0" collapsed="false">
      <c r="A72" s="0" t="n">
        <v>64</v>
      </c>
      <c r="B72" s="29" t="n">
        <f aca="false">'1 Your debts'!$B$16-(L72+V72+AF72+AP72+AZ72+BJ72+BT72+CD72)</f>
        <v>690</v>
      </c>
      <c r="C72" s="34" t="n">
        <f aca="false">O72+Y72+AI72+AS72+BC72+BM72+BW72+CG72</f>
        <v>0</v>
      </c>
      <c r="D72" s="34" t="n">
        <f aca="false">K72+U72+AE72+AO72+AY72+BI72+BS72+CC72</f>
        <v>0</v>
      </c>
      <c r="F72" s="34" t="n">
        <f aca="false">S72+AC72+AM72+AW72+BG72+BQ72+CA72+CK72</f>
        <v>8435.89779671154</v>
      </c>
      <c r="G72" s="34" t="n">
        <f aca="false">Q72+AA72+AK72+AU72+BE72+BO72+BY72+CI72</f>
        <v>73.1984885303374</v>
      </c>
      <c r="J72" s="34" t="n">
        <f aca="false">O71</f>
        <v>0</v>
      </c>
      <c r="K72" s="34" t="n">
        <f aca="false">J72*$J$5/12</f>
        <v>0</v>
      </c>
      <c r="L72" s="29" t="n">
        <f aca="false">MIN($J$6,J72+K72)</f>
        <v>0</v>
      </c>
      <c r="M72" s="30" t="n">
        <f aca="false">MAX(0,MIN($B72,J72+K72-L72))</f>
        <v>0</v>
      </c>
      <c r="N72" s="29" t="n">
        <f aca="false">$B72-M72</f>
        <v>690</v>
      </c>
      <c r="O72" s="34" t="n">
        <f aca="false">J72+K72-L72-M72</f>
        <v>0</v>
      </c>
      <c r="P72" s="34" t="n">
        <f aca="false">S71</f>
        <v>1957.03579748985</v>
      </c>
      <c r="Q72" s="34" t="n">
        <f aca="false">P72*$J$5/12</f>
        <v>40.7552704827261</v>
      </c>
      <c r="R72" s="29" t="n">
        <f aca="false">MIN($J$6,P72+Q72)</f>
        <v>105</v>
      </c>
      <c r="S72" s="34" t="n">
        <f aca="false">P72+Q72-R72</f>
        <v>1892.79106797257</v>
      </c>
      <c r="T72" s="34" t="n">
        <f aca="false">Y71</f>
        <v>0</v>
      </c>
      <c r="U72" s="34" t="n">
        <f aca="false">T72*$T$5/12</f>
        <v>0</v>
      </c>
      <c r="V72" s="29" t="n">
        <f aca="false">MIN($T$6,T72+U72)</f>
        <v>0</v>
      </c>
      <c r="W72" s="30" t="n">
        <f aca="false">MAX(0,MIN(N72,T72+U72-V72))</f>
        <v>0</v>
      </c>
      <c r="X72" s="29" t="n">
        <f aca="false">N72-W72</f>
        <v>690</v>
      </c>
      <c r="Y72" s="34" t="n">
        <f aca="false">T72+U72-V72-W72</f>
        <v>0</v>
      </c>
      <c r="Z72" s="34" t="n">
        <f aca="false">AC71</f>
        <v>149.117484356876</v>
      </c>
      <c r="AA72" s="34" t="n">
        <f aca="false">Z72*$T$5/12</f>
        <v>2.48404876024496</v>
      </c>
      <c r="AB72" s="29" t="n">
        <f aca="false">MIN($T$6,Z72+AA72)</f>
        <v>45</v>
      </c>
      <c r="AC72" s="34" t="n">
        <f aca="false">Z72+AA72-AB72</f>
        <v>106.601533117121</v>
      </c>
      <c r="AD72" s="34" t="n">
        <f aca="false">AI71</f>
        <v>0</v>
      </c>
      <c r="AE72" s="34" t="n">
        <f aca="false">AD72*$AD$5/12</f>
        <v>0</v>
      </c>
      <c r="AF72" s="29" t="n">
        <f aca="false">MIN($AD$6,AD72+AE72)</f>
        <v>0</v>
      </c>
      <c r="AG72" s="30" t="n">
        <f aca="false">MAX(0,MIN(X72,AD72+AE72-AF72))</f>
        <v>0</v>
      </c>
      <c r="AH72" s="29" t="n">
        <f aca="false">X72-AG72</f>
        <v>690</v>
      </c>
      <c r="AI72" s="34" t="n">
        <f aca="false">AD72+AE72-AF72-AG72</f>
        <v>0</v>
      </c>
      <c r="AJ72" s="34" t="n">
        <f aca="false">AM71</f>
        <v>0</v>
      </c>
      <c r="AK72" s="34" t="n">
        <f aca="false">AJ72*$AD$5/12</f>
        <v>0</v>
      </c>
      <c r="AL72" s="29" t="n">
        <f aca="false">MIN($AD$6,AJ72+AK72)</f>
        <v>0</v>
      </c>
      <c r="AM72" s="34" t="n">
        <f aca="false">AJ72+AK72-AL72</f>
        <v>0</v>
      </c>
      <c r="AN72" s="34" t="n">
        <f aca="false">AS71</f>
        <v>0</v>
      </c>
      <c r="AO72" s="34" t="n">
        <f aca="false">AN72*$AN$5/12</f>
        <v>0</v>
      </c>
      <c r="AP72" s="29" t="n">
        <f aca="false">MIN($AN$6,AN72+AO72)</f>
        <v>0</v>
      </c>
      <c r="AQ72" s="30" t="n">
        <f aca="false">MAX(0,MIN(AH72,AN72+AO72-AP72))</f>
        <v>0</v>
      </c>
      <c r="AR72" s="29" t="n">
        <f aca="false">AH72-AQ72</f>
        <v>690</v>
      </c>
      <c r="AS72" s="34" t="n">
        <f aca="false">AN72+AO72-AP72-AQ72</f>
        <v>0</v>
      </c>
      <c r="AT72" s="34" t="n">
        <f aca="false">AW71</f>
        <v>6536.54602633448</v>
      </c>
      <c r="AU72" s="34" t="n">
        <f aca="false">AT72*$AN$5/12</f>
        <v>29.9591692873664</v>
      </c>
      <c r="AV72" s="29" t="n">
        <f aca="false">MIN($AN$6,AT72+AU72)</f>
        <v>130</v>
      </c>
      <c r="AW72" s="34" t="n">
        <f aca="false">AT72+AU72-AV72</f>
        <v>6436.50519562185</v>
      </c>
      <c r="AX72" s="30" t="n">
        <f aca="false">BC71</f>
        <v>0</v>
      </c>
      <c r="AY72" s="30" t="n">
        <f aca="false">AX72*$AX$5/12</f>
        <v>0</v>
      </c>
      <c r="AZ72" s="30" t="n">
        <f aca="false">MIN($AX$6,AX72+AY72)</f>
        <v>0</v>
      </c>
      <c r="BA72" s="30" t="n">
        <f aca="false">MAX(0,MIN(AR72,AX72+AY72-AZ72))</f>
        <v>0</v>
      </c>
      <c r="BB72" s="29" t="n">
        <f aca="false">AR72-BA72</f>
        <v>690</v>
      </c>
      <c r="BC72" s="30" t="n">
        <f aca="false">AX72+AY72-AZ72-BA72</f>
        <v>0</v>
      </c>
      <c r="BD72" s="30" t="n">
        <f aca="false">BG71</f>
        <v>0</v>
      </c>
      <c r="BE72" s="30" t="n">
        <f aca="false">BD72*$AX$5/12</f>
        <v>0</v>
      </c>
      <c r="BF72" s="30" t="n">
        <f aca="false">MIN($AX$6,BD72+BE72)</f>
        <v>0</v>
      </c>
      <c r="BG72" s="30" t="n">
        <f aca="false">BD72+BE72-BF72</f>
        <v>0</v>
      </c>
      <c r="BH72" s="30" t="n">
        <f aca="false">BM71</f>
        <v>0</v>
      </c>
      <c r="BI72" s="30" t="n">
        <f aca="false">BH72*$BH$5/12</f>
        <v>0</v>
      </c>
      <c r="BJ72" s="30" t="n">
        <f aca="false">MIN($BH$6,BH72+BI72)</f>
        <v>0</v>
      </c>
      <c r="BK72" s="30" t="n">
        <f aca="false">MAX(0,MIN(BB72,BH72+BI72-BJ72))</f>
        <v>0</v>
      </c>
      <c r="BL72" s="29" t="n">
        <f aca="false">BB72-BK72</f>
        <v>690</v>
      </c>
      <c r="BM72" s="30" t="n">
        <f aca="false">BH72+BI72-BJ72-BK72</f>
        <v>0</v>
      </c>
      <c r="BN72" s="30" t="n">
        <f aca="false">BQ71</f>
        <v>0</v>
      </c>
      <c r="BO72" s="30" t="n">
        <f aca="false">BN72*$BH$5/12</f>
        <v>0</v>
      </c>
      <c r="BP72" s="30" t="n">
        <f aca="false">MIN($BH$6,BN72+BO72)</f>
        <v>0</v>
      </c>
      <c r="BQ72" s="30" t="n">
        <f aca="false">BN72+BO72-BP72</f>
        <v>0</v>
      </c>
      <c r="BR72" s="30" t="n">
        <f aca="false">BW71</f>
        <v>0</v>
      </c>
      <c r="BS72" s="30" t="n">
        <f aca="false">BR72*$BR$5/12</f>
        <v>0</v>
      </c>
      <c r="BT72" s="30" t="n">
        <f aca="false">MIN($BR$6,BR72+BS72)</f>
        <v>0</v>
      </c>
      <c r="BU72" s="30" t="n">
        <f aca="false">MAX(0,MIN(BL72,BR72+BS72-BT72))</f>
        <v>0</v>
      </c>
      <c r="BV72" s="29" t="n">
        <f aca="false">BL72-BU72</f>
        <v>690</v>
      </c>
      <c r="BW72" s="30" t="n">
        <f aca="false">BR72+BS72-BT72-BU72</f>
        <v>0</v>
      </c>
      <c r="BX72" s="30" t="n">
        <f aca="false">CA71</f>
        <v>0</v>
      </c>
      <c r="BY72" s="30" t="n">
        <f aca="false">BX72*$BR$5/12</f>
        <v>0</v>
      </c>
      <c r="BZ72" s="30" t="n">
        <f aca="false">MIN($BR$6,BX72+BY72)</f>
        <v>0</v>
      </c>
      <c r="CA72" s="30" t="n">
        <f aca="false">BX72+BY72-BZ72</f>
        <v>0</v>
      </c>
      <c r="CB72" s="30" t="n">
        <f aca="false">CG71</f>
        <v>0</v>
      </c>
      <c r="CC72" s="30" t="n">
        <f aca="false">CB72*$CB$5/12</f>
        <v>0</v>
      </c>
      <c r="CD72" s="30" t="n">
        <f aca="false">MIN($CB$6,CB72+CC72)</f>
        <v>0</v>
      </c>
      <c r="CE72" s="30" t="n">
        <f aca="false">MAX(0,MIN(BV72,CB72+CC72-CD72))</f>
        <v>0</v>
      </c>
      <c r="CF72" s="29" t="n">
        <f aca="false">BV72-CE72</f>
        <v>690</v>
      </c>
      <c r="CG72" s="30" t="n">
        <f aca="false">CB72+CC72-CD72-CE72</f>
        <v>0</v>
      </c>
      <c r="CH72" s="30" t="n">
        <f aca="false">CK71</f>
        <v>0</v>
      </c>
      <c r="CI72" s="30" t="n">
        <f aca="false">CH72*$CB$5/12</f>
        <v>0</v>
      </c>
      <c r="CJ72" s="30" t="n">
        <f aca="false">MIN($CB$6,CH72+CI72)</f>
        <v>0</v>
      </c>
      <c r="CK72" s="30" t="n">
        <f aca="false">CH72+CI72-CJ72</f>
        <v>0</v>
      </c>
    </row>
    <row r="73" customFormat="false" ht="15" hidden="false" customHeight="false" outlineLevel="0" collapsed="false">
      <c r="A73" s="0" t="n">
        <v>65</v>
      </c>
      <c r="B73" s="29" t="n">
        <f aca="false">'1 Your debts'!$B$16-(L73+V73+AF73+AP73+AZ73+BJ73+BT73+CD73)</f>
        <v>690</v>
      </c>
      <c r="C73" s="34" t="n">
        <f aca="false">O73+Y73+AI73+AS73+BC73+BM73+BW73+CG73</f>
        <v>0</v>
      </c>
      <c r="D73" s="34" t="n">
        <f aca="false">K73+U73+AE73+AO73+AY73+BI73+BS73+CC73</f>
        <v>0</v>
      </c>
      <c r="F73" s="34" t="n">
        <f aca="false">S73+AC73+AM73+AW73+BG73+BQ73+CA73+CK73</f>
        <v>8226.59162338785</v>
      </c>
      <c r="G73" s="34" t="n">
        <f aca="false">Q73+AA73+AK73+AU73+BE73+BO73+BY73+CI73</f>
        <v>70.693826676305</v>
      </c>
      <c r="J73" s="34" t="n">
        <f aca="false">O72</f>
        <v>0</v>
      </c>
      <c r="K73" s="34" t="n">
        <f aca="false">J73*$J$5/12</f>
        <v>0</v>
      </c>
      <c r="L73" s="29" t="n">
        <f aca="false">MIN($J$6,J73+K73)</f>
        <v>0</v>
      </c>
      <c r="M73" s="30" t="n">
        <f aca="false">MAX(0,MIN($B73,J73+K73-L73))</f>
        <v>0</v>
      </c>
      <c r="N73" s="29" t="n">
        <f aca="false">$B73-M73</f>
        <v>690</v>
      </c>
      <c r="O73" s="34" t="n">
        <f aca="false">J73+K73-L73-M73</f>
        <v>0</v>
      </c>
      <c r="P73" s="34" t="n">
        <f aca="false">S72</f>
        <v>1892.79106797257</v>
      </c>
      <c r="Q73" s="34" t="n">
        <f aca="false">P73*$J$5/12</f>
        <v>39.4173739905288</v>
      </c>
      <c r="R73" s="29" t="n">
        <f aca="false">MIN($J$6,P73+Q73)</f>
        <v>105</v>
      </c>
      <c r="S73" s="34" t="n">
        <f aca="false">P73+Q73-R73</f>
        <v>1827.2084419631</v>
      </c>
      <c r="T73" s="34" t="n">
        <f aca="false">Y72</f>
        <v>0</v>
      </c>
      <c r="U73" s="34" t="n">
        <f aca="false">T73*$T$5/12</f>
        <v>0</v>
      </c>
      <c r="V73" s="29" t="n">
        <f aca="false">MIN($T$6,T73+U73)</f>
        <v>0</v>
      </c>
      <c r="W73" s="30" t="n">
        <f aca="false">MAX(0,MIN(N73,T73+U73-V73))</f>
        <v>0</v>
      </c>
      <c r="X73" s="29" t="n">
        <f aca="false">N73-W73</f>
        <v>690</v>
      </c>
      <c r="Y73" s="34" t="n">
        <f aca="false">T73+U73-V73-W73</f>
        <v>0</v>
      </c>
      <c r="Z73" s="34" t="n">
        <f aca="false">AC72</f>
        <v>106.601533117121</v>
      </c>
      <c r="AA73" s="34" t="n">
        <f aca="false">Z73*$T$5/12</f>
        <v>1.77580387250937</v>
      </c>
      <c r="AB73" s="29" t="n">
        <f aca="false">MIN($T$6,Z73+AA73)</f>
        <v>45</v>
      </c>
      <c r="AC73" s="34" t="n">
        <f aca="false">Z73+AA73-AB73</f>
        <v>63.3773369896304</v>
      </c>
      <c r="AD73" s="34" t="n">
        <f aca="false">AI72</f>
        <v>0</v>
      </c>
      <c r="AE73" s="34" t="n">
        <f aca="false">AD73*$AD$5/12</f>
        <v>0</v>
      </c>
      <c r="AF73" s="29" t="n">
        <f aca="false">MIN($AD$6,AD73+AE73)</f>
        <v>0</v>
      </c>
      <c r="AG73" s="30" t="n">
        <f aca="false">MAX(0,MIN(X73,AD73+AE73-AF73))</f>
        <v>0</v>
      </c>
      <c r="AH73" s="29" t="n">
        <f aca="false">X73-AG73</f>
        <v>690</v>
      </c>
      <c r="AI73" s="34" t="n">
        <f aca="false">AD73+AE73-AF73-AG73</f>
        <v>0</v>
      </c>
      <c r="AJ73" s="34" t="n">
        <f aca="false">AM72</f>
        <v>0</v>
      </c>
      <c r="AK73" s="34" t="n">
        <f aca="false">AJ73*$AD$5/12</f>
        <v>0</v>
      </c>
      <c r="AL73" s="29" t="n">
        <f aca="false">MIN($AD$6,AJ73+AK73)</f>
        <v>0</v>
      </c>
      <c r="AM73" s="34" t="n">
        <f aca="false">AJ73+AK73-AL73</f>
        <v>0</v>
      </c>
      <c r="AN73" s="34" t="n">
        <f aca="false">AS72</f>
        <v>0</v>
      </c>
      <c r="AO73" s="34" t="n">
        <f aca="false">AN73*$AN$5/12</f>
        <v>0</v>
      </c>
      <c r="AP73" s="29" t="n">
        <f aca="false">MIN($AN$6,AN73+AO73)</f>
        <v>0</v>
      </c>
      <c r="AQ73" s="30" t="n">
        <f aca="false">MAX(0,MIN(AH73,AN73+AO73-AP73))</f>
        <v>0</v>
      </c>
      <c r="AR73" s="29" t="n">
        <f aca="false">AH73-AQ73</f>
        <v>690</v>
      </c>
      <c r="AS73" s="34" t="n">
        <f aca="false">AN73+AO73-AP73-AQ73</f>
        <v>0</v>
      </c>
      <c r="AT73" s="34" t="n">
        <f aca="false">AW72</f>
        <v>6436.50519562185</v>
      </c>
      <c r="AU73" s="34" t="n">
        <f aca="false">AT73*$AN$5/12</f>
        <v>29.5006488132668</v>
      </c>
      <c r="AV73" s="29" t="n">
        <f aca="false">MIN($AN$6,AT73+AU73)</f>
        <v>130</v>
      </c>
      <c r="AW73" s="34" t="n">
        <f aca="false">AT73+AU73-AV73</f>
        <v>6336.00584443511</v>
      </c>
      <c r="AX73" s="30" t="n">
        <f aca="false">BC72</f>
        <v>0</v>
      </c>
      <c r="AY73" s="30" t="n">
        <f aca="false">AX73*$AX$5/12</f>
        <v>0</v>
      </c>
      <c r="AZ73" s="30" t="n">
        <f aca="false">MIN($AX$6,AX73+AY73)</f>
        <v>0</v>
      </c>
      <c r="BA73" s="30" t="n">
        <f aca="false">MAX(0,MIN(AR73,AX73+AY73-AZ73))</f>
        <v>0</v>
      </c>
      <c r="BB73" s="29" t="n">
        <f aca="false">AR73-BA73</f>
        <v>690</v>
      </c>
      <c r="BC73" s="30" t="n">
        <f aca="false">AX73+AY73-AZ73-BA73</f>
        <v>0</v>
      </c>
      <c r="BD73" s="30" t="n">
        <f aca="false">BG72</f>
        <v>0</v>
      </c>
      <c r="BE73" s="30" t="n">
        <f aca="false">BD73*$AX$5/12</f>
        <v>0</v>
      </c>
      <c r="BF73" s="30" t="n">
        <f aca="false">MIN($AX$6,BD73+BE73)</f>
        <v>0</v>
      </c>
      <c r="BG73" s="30" t="n">
        <f aca="false">BD73+BE73-BF73</f>
        <v>0</v>
      </c>
      <c r="BH73" s="30" t="n">
        <f aca="false">BM72</f>
        <v>0</v>
      </c>
      <c r="BI73" s="30" t="n">
        <f aca="false">BH73*$BH$5/12</f>
        <v>0</v>
      </c>
      <c r="BJ73" s="30" t="n">
        <f aca="false">MIN($BH$6,BH73+BI73)</f>
        <v>0</v>
      </c>
      <c r="BK73" s="30" t="n">
        <f aca="false">MAX(0,MIN(BB73,BH73+BI73-BJ73))</f>
        <v>0</v>
      </c>
      <c r="BL73" s="29" t="n">
        <f aca="false">BB73-BK73</f>
        <v>690</v>
      </c>
      <c r="BM73" s="30" t="n">
        <f aca="false">BH73+BI73-BJ73-BK73</f>
        <v>0</v>
      </c>
      <c r="BN73" s="30" t="n">
        <f aca="false">BQ72</f>
        <v>0</v>
      </c>
      <c r="BO73" s="30" t="n">
        <f aca="false">BN73*$BH$5/12</f>
        <v>0</v>
      </c>
      <c r="BP73" s="30" t="n">
        <f aca="false">MIN($BH$6,BN73+BO73)</f>
        <v>0</v>
      </c>
      <c r="BQ73" s="30" t="n">
        <f aca="false">BN73+BO73-BP73</f>
        <v>0</v>
      </c>
      <c r="BR73" s="30" t="n">
        <f aca="false">BW72</f>
        <v>0</v>
      </c>
      <c r="BS73" s="30" t="n">
        <f aca="false">BR73*$BR$5/12</f>
        <v>0</v>
      </c>
      <c r="BT73" s="30" t="n">
        <f aca="false">MIN($BR$6,BR73+BS73)</f>
        <v>0</v>
      </c>
      <c r="BU73" s="30" t="n">
        <f aca="false">MAX(0,MIN(BL73,BR73+BS73-BT73))</f>
        <v>0</v>
      </c>
      <c r="BV73" s="29" t="n">
        <f aca="false">BL73-BU73</f>
        <v>690</v>
      </c>
      <c r="BW73" s="30" t="n">
        <f aca="false">BR73+BS73-BT73-BU73</f>
        <v>0</v>
      </c>
      <c r="BX73" s="30" t="n">
        <f aca="false">CA72</f>
        <v>0</v>
      </c>
      <c r="BY73" s="30" t="n">
        <f aca="false">BX73*$BR$5/12</f>
        <v>0</v>
      </c>
      <c r="BZ73" s="30" t="n">
        <f aca="false">MIN($BR$6,BX73+BY73)</f>
        <v>0</v>
      </c>
      <c r="CA73" s="30" t="n">
        <f aca="false">BX73+BY73-BZ73</f>
        <v>0</v>
      </c>
      <c r="CB73" s="30" t="n">
        <f aca="false">CG72</f>
        <v>0</v>
      </c>
      <c r="CC73" s="30" t="n">
        <f aca="false">CB73*$CB$5/12</f>
        <v>0</v>
      </c>
      <c r="CD73" s="30" t="n">
        <f aca="false">MIN($CB$6,CB73+CC73)</f>
        <v>0</v>
      </c>
      <c r="CE73" s="30" t="n">
        <f aca="false">MAX(0,MIN(BV73,CB73+CC73-CD73))</f>
        <v>0</v>
      </c>
      <c r="CF73" s="29" t="n">
        <f aca="false">BV73-CE73</f>
        <v>690</v>
      </c>
      <c r="CG73" s="30" t="n">
        <f aca="false">CB73+CC73-CD73-CE73</f>
        <v>0</v>
      </c>
      <c r="CH73" s="30" t="n">
        <f aca="false">CK72</f>
        <v>0</v>
      </c>
      <c r="CI73" s="30" t="n">
        <f aca="false">CH73*$CB$5/12</f>
        <v>0</v>
      </c>
      <c r="CJ73" s="30" t="n">
        <f aca="false">MIN($CB$6,CH73+CI73)</f>
        <v>0</v>
      </c>
      <c r="CK73" s="30" t="n">
        <f aca="false">CH73+CI73-CJ73</f>
        <v>0</v>
      </c>
    </row>
    <row r="74" customFormat="false" ht="15" hidden="false" customHeight="false" outlineLevel="0" collapsed="false">
      <c r="A74" s="0" t="n">
        <v>66</v>
      </c>
      <c r="B74" s="29" t="n">
        <f aca="false">'1 Your debts'!$B$16-(L74+V74+AF74+AP74+AZ74+BJ74+BT74+CD74)</f>
        <v>690</v>
      </c>
      <c r="C74" s="34" t="n">
        <f aca="false">O74+Y74+AI74+AS74+BC74+BM74+BW74+CG74</f>
        <v>0</v>
      </c>
      <c r="D74" s="34" t="n">
        <f aca="false">K74+U74+AE74+AO74+AY74+BI74+BS74+CC74</f>
        <v>0</v>
      </c>
      <c r="F74" s="34" t="n">
        <f aca="false">S74+AC74+AM74+AW74+BG74+BQ74+CA74+CK74</f>
        <v>8014.73902678407</v>
      </c>
      <c r="G74" s="34" t="n">
        <f aca="false">Q74+AA74+AK74+AU74+BE74+BO74+BY74+CI74</f>
        <v>68.1474033962281</v>
      </c>
      <c r="J74" s="34" t="n">
        <f aca="false">O73</f>
        <v>0</v>
      </c>
      <c r="K74" s="34" t="n">
        <f aca="false">J74*$J$5/12</f>
        <v>0</v>
      </c>
      <c r="L74" s="29" t="n">
        <f aca="false">MIN($J$6,J74+K74)</f>
        <v>0</v>
      </c>
      <c r="M74" s="30" t="n">
        <f aca="false">MAX(0,MIN($B74,J74+K74-L74))</f>
        <v>0</v>
      </c>
      <c r="N74" s="29" t="n">
        <f aca="false">$B74-M74</f>
        <v>690</v>
      </c>
      <c r="O74" s="34" t="n">
        <f aca="false">J74+K74-L74-M74</f>
        <v>0</v>
      </c>
      <c r="P74" s="34" t="n">
        <f aca="false">S73</f>
        <v>1827.2084419631</v>
      </c>
      <c r="Q74" s="34" t="n">
        <f aca="false">P74*$J$5/12</f>
        <v>38.0516158038816</v>
      </c>
      <c r="R74" s="29" t="n">
        <f aca="false">MIN($J$6,P74+Q74)</f>
        <v>105</v>
      </c>
      <c r="S74" s="34" t="n">
        <f aca="false">P74+Q74-R74</f>
        <v>1760.26005776698</v>
      </c>
      <c r="T74" s="34" t="n">
        <f aca="false">Y73</f>
        <v>0</v>
      </c>
      <c r="U74" s="34" t="n">
        <f aca="false">T74*$T$5/12</f>
        <v>0</v>
      </c>
      <c r="V74" s="29" t="n">
        <f aca="false">MIN($T$6,T74+U74)</f>
        <v>0</v>
      </c>
      <c r="W74" s="30" t="n">
        <f aca="false">MAX(0,MIN(N74,T74+U74-V74))</f>
        <v>0</v>
      </c>
      <c r="X74" s="29" t="n">
        <f aca="false">N74-W74</f>
        <v>690</v>
      </c>
      <c r="Y74" s="34" t="n">
        <f aca="false">T74+U74-V74-W74</f>
        <v>0</v>
      </c>
      <c r="Z74" s="34" t="n">
        <f aca="false">AC73</f>
        <v>63.3773369896304</v>
      </c>
      <c r="AA74" s="34" t="n">
        <f aca="false">Z74*$T$5/12</f>
        <v>1.05576080535226</v>
      </c>
      <c r="AB74" s="29" t="n">
        <f aca="false">MIN($T$6,Z74+AA74)</f>
        <v>45</v>
      </c>
      <c r="AC74" s="34" t="n">
        <f aca="false">Z74+AA74-AB74</f>
        <v>19.4330977949827</v>
      </c>
      <c r="AD74" s="34" t="n">
        <f aca="false">AI73</f>
        <v>0</v>
      </c>
      <c r="AE74" s="34" t="n">
        <f aca="false">AD74*$AD$5/12</f>
        <v>0</v>
      </c>
      <c r="AF74" s="29" t="n">
        <f aca="false">MIN($AD$6,AD74+AE74)</f>
        <v>0</v>
      </c>
      <c r="AG74" s="30" t="n">
        <f aca="false">MAX(0,MIN(X74,AD74+AE74-AF74))</f>
        <v>0</v>
      </c>
      <c r="AH74" s="29" t="n">
        <f aca="false">X74-AG74</f>
        <v>690</v>
      </c>
      <c r="AI74" s="34" t="n">
        <f aca="false">AD74+AE74-AF74-AG74</f>
        <v>0</v>
      </c>
      <c r="AJ74" s="34" t="n">
        <f aca="false">AM73</f>
        <v>0</v>
      </c>
      <c r="AK74" s="34" t="n">
        <f aca="false">AJ74*$AD$5/12</f>
        <v>0</v>
      </c>
      <c r="AL74" s="29" t="n">
        <f aca="false">MIN($AD$6,AJ74+AK74)</f>
        <v>0</v>
      </c>
      <c r="AM74" s="34" t="n">
        <f aca="false">AJ74+AK74-AL74</f>
        <v>0</v>
      </c>
      <c r="AN74" s="34" t="n">
        <f aca="false">AS73</f>
        <v>0</v>
      </c>
      <c r="AO74" s="34" t="n">
        <f aca="false">AN74*$AN$5/12</f>
        <v>0</v>
      </c>
      <c r="AP74" s="29" t="n">
        <f aca="false">MIN($AN$6,AN74+AO74)</f>
        <v>0</v>
      </c>
      <c r="AQ74" s="30" t="n">
        <f aca="false">MAX(0,MIN(AH74,AN74+AO74-AP74))</f>
        <v>0</v>
      </c>
      <c r="AR74" s="29" t="n">
        <f aca="false">AH74-AQ74</f>
        <v>690</v>
      </c>
      <c r="AS74" s="34" t="n">
        <f aca="false">AN74+AO74-AP74-AQ74</f>
        <v>0</v>
      </c>
      <c r="AT74" s="34" t="n">
        <f aca="false">AW73</f>
        <v>6336.00584443511</v>
      </c>
      <c r="AU74" s="34" t="n">
        <f aca="false">AT74*$AN$5/12</f>
        <v>29.0400267869943</v>
      </c>
      <c r="AV74" s="29" t="n">
        <f aca="false">MIN($AN$6,AT74+AU74)</f>
        <v>130</v>
      </c>
      <c r="AW74" s="34" t="n">
        <f aca="false">AT74+AU74-AV74</f>
        <v>6235.04587122211</v>
      </c>
      <c r="AX74" s="30" t="n">
        <f aca="false">BC73</f>
        <v>0</v>
      </c>
      <c r="AY74" s="30" t="n">
        <f aca="false">AX74*$AX$5/12</f>
        <v>0</v>
      </c>
      <c r="AZ74" s="30" t="n">
        <f aca="false">MIN($AX$6,AX74+AY74)</f>
        <v>0</v>
      </c>
      <c r="BA74" s="30" t="n">
        <f aca="false">MAX(0,MIN(AR74,AX74+AY74-AZ74))</f>
        <v>0</v>
      </c>
      <c r="BB74" s="29" t="n">
        <f aca="false">AR74-BA74</f>
        <v>690</v>
      </c>
      <c r="BC74" s="30" t="n">
        <f aca="false">AX74+AY74-AZ74-BA74</f>
        <v>0</v>
      </c>
      <c r="BD74" s="30" t="n">
        <f aca="false">BG73</f>
        <v>0</v>
      </c>
      <c r="BE74" s="30" t="n">
        <f aca="false">BD74*$AX$5/12</f>
        <v>0</v>
      </c>
      <c r="BF74" s="30" t="n">
        <f aca="false">MIN($AX$6,BD74+BE74)</f>
        <v>0</v>
      </c>
      <c r="BG74" s="30" t="n">
        <f aca="false">BD74+BE74-BF74</f>
        <v>0</v>
      </c>
      <c r="BH74" s="30" t="n">
        <f aca="false">BM73</f>
        <v>0</v>
      </c>
      <c r="BI74" s="30" t="n">
        <f aca="false">BH74*$BH$5/12</f>
        <v>0</v>
      </c>
      <c r="BJ74" s="30" t="n">
        <f aca="false">MIN($BH$6,BH74+BI74)</f>
        <v>0</v>
      </c>
      <c r="BK74" s="30" t="n">
        <f aca="false">MAX(0,MIN(BB74,BH74+BI74-BJ74))</f>
        <v>0</v>
      </c>
      <c r="BL74" s="29" t="n">
        <f aca="false">BB74-BK74</f>
        <v>690</v>
      </c>
      <c r="BM74" s="30" t="n">
        <f aca="false">BH74+BI74-BJ74-BK74</f>
        <v>0</v>
      </c>
      <c r="BN74" s="30" t="n">
        <f aca="false">BQ73</f>
        <v>0</v>
      </c>
      <c r="BO74" s="30" t="n">
        <f aca="false">BN74*$BH$5/12</f>
        <v>0</v>
      </c>
      <c r="BP74" s="30" t="n">
        <f aca="false">MIN($BH$6,BN74+BO74)</f>
        <v>0</v>
      </c>
      <c r="BQ74" s="30" t="n">
        <f aca="false">BN74+BO74-BP74</f>
        <v>0</v>
      </c>
      <c r="BR74" s="30" t="n">
        <f aca="false">BW73</f>
        <v>0</v>
      </c>
      <c r="BS74" s="30" t="n">
        <f aca="false">BR74*$BR$5/12</f>
        <v>0</v>
      </c>
      <c r="BT74" s="30" t="n">
        <f aca="false">MIN($BR$6,BR74+BS74)</f>
        <v>0</v>
      </c>
      <c r="BU74" s="30" t="n">
        <f aca="false">MAX(0,MIN(BL74,BR74+BS74-BT74))</f>
        <v>0</v>
      </c>
      <c r="BV74" s="29" t="n">
        <f aca="false">BL74-BU74</f>
        <v>690</v>
      </c>
      <c r="BW74" s="30" t="n">
        <f aca="false">BR74+BS74-BT74-BU74</f>
        <v>0</v>
      </c>
      <c r="BX74" s="30" t="n">
        <f aca="false">CA73</f>
        <v>0</v>
      </c>
      <c r="BY74" s="30" t="n">
        <f aca="false">BX74*$BR$5/12</f>
        <v>0</v>
      </c>
      <c r="BZ74" s="30" t="n">
        <f aca="false">MIN($BR$6,BX74+BY74)</f>
        <v>0</v>
      </c>
      <c r="CA74" s="30" t="n">
        <f aca="false">BX74+BY74-BZ74</f>
        <v>0</v>
      </c>
      <c r="CB74" s="30" t="n">
        <f aca="false">CG73</f>
        <v>0</v>
      </c>
      <c r="CC74" s="30" t="n">
        <f aca="false">CB74*$CB$5/12</f>
        <v>0</v>
      </c>
      <c r="CD74" s="30" t="n">
        <f aca="false">MIN($CB$6,CB74+CC74)</f>
        <v>0</v>
      </c>
      <c r="CE74" s="30" t="n">
        <f aca="false">MAX(0,MIN(BV74,CB74+CC74-CD74))</f>
        <v>0</v>
      </c>
      <c r="CF74" s="29" t="n">
        <f aca="false">BV74-CE74</f>
        <v>690</v>
      </c>
      <c r="CG74" s="30" t="n">
        <f aca="false">CB74+CC74-CD74-CE74</f>
        <v>0</v>
      </c>
      <c r="CH74" s="30" t="n">
        <f aca="false">CK73</f>
        <v>0</v>
      </c>
      <c r="CI74" s="30" t="n">
        <f aca="false">CH74*$CB$5/12</f>
        <v>0</v>
      </c>
      <c r="CJ74" s="30" t="n">
        <f aca="false">MIN($CB$6,CH74+CI74)</f>
        <v>0</v>
      </c>
      <c r="CK74" s="30" t="n">
        <f aca="false">CH74+CI74-CJ74</f>
        <v>0</v>
      </c>
    </row>
    <row r="75" customFormat="false" ht="15" hidden="false" customHeight="false" outlineLevel="0" collapsed="false">
      <c r="A75" s="0" t="n">
        <v>67</v>
      </c>
      <c r="B75" s="29" t="n">
        <f aca="false">'1 Your debts'!$B$16-(L75+V75+AF75+AP75+AZ75+BJ75+BT75+CD75)</f>
        <v>690</v>
      </c>
      <c r="C75" s="34" t="n">
        <f aca="false">O75+Y75+AI75+AS75+BC75+BM75+BW75+CG75</f>
        <v>0</v>
      </c>
      <c r="D75" s="34" t="n">
        <f aca="false">K75+U75+AE75+AO75+AY75+BI75+BS75+CC75</f>
        <v>0</v>
      </c>
      <c r="F75" s="34" t="n">
        <f aca="false">S75+AC75+AM75+AW75+BG75+BQ75+CA75+CK75</f>
        <v>7825.54063826852</v>
      </c>
      <c r="G75" s="34" t="n">
        <f aca="false">Q75+AA75+AK75+AU75+BE75+BO75+BY75+CI75</f>
        <v>65.5584323002002</v>
      </c>
      <c r="J75" s="34" t="n">
        <f aca="false">O74</f>
        <v>0</v>
      </c>
      <c r="K75" s="34" t="n">
        <f aca="false">J75*$J$5/12</f>
        <v>0</v>
      </c>
      <c r="L75" s="29" t="n">
        <f aca="false">MIN($J$6,J75+K75)</f>
        <v>0</v>
      </c>
      <c r="M75" s="30" t="n">
        <f aca="false">MAX(0,MIN($B75,J75+K75-L75))</f>
        <v>0</v>
      </c>
      <c r="N75" s="29" t="n">
        <f aca="false">$B75-M75</f>
        <v>690</v>
      </c>
      <c r="O75" s="34" t="n">
        <f aca="false">J75+K75-L75-M75</f>
        <v>0</v>
      </c>
      <c r="P75" s="34" t="n">
        <f aca="false">S74</f>
        <v>1760.26005776698</v>
      </c>
      <c r="Q75" s="34" t="n">
        <f aca="false">P75*$J$5/12</f>
        <v>36.6574157029974</v>
      </c>
      <c r="R75" s="29" t="n">
        <f aca="false">MIN($J$6,P75+Q75)</f>
        <v>105</v>
      </c>
      <c r="S75" s="34" t="n">
        <f aca="false">P75+Q75-R75</f>
        <v>1691.91747346998</v>
      </c>
      <c r="T75" s="34" t="n">
        <f aca="false">Y74</f>
        <v>0</v>
      </c>
      <c r="U75" s="34" t="n">
        <f aca="false">T75*$T$5/12</f>
        <v>0</v>
      </c>
      <c r="V75" s="29" t="n">
        <f aca="false">MIN($T$6,T75+U75)</f>
        <v>0</v>
      </c>
      <c r="W75" s="30" t="n">
        <f aca="false">MAX(0,MIN(N75,T75+U75-V75))</f>
        <v>0</v>
      </c>
      <c r="X75" s="29" t="n">
        <f aca="false">N75-W75</f>
        <v>690</v>
      </c>
      <c r="Y75" s="34" t="n">
        <f aca="false">T75+U75-V75-W75</f>
        <v>0</v>
      </c>
      <c r="Z75" s="34" t="n">
        <f aca="false">AC74</f>
        <v>19.4330977949827</v>
      </c>
      <c r="AA75" s="34" t="n">
        <f aca="false">Z75*$T$5/12</f>
        <v>0.323723020768087</v>
      </c>
      <c r="AB75" s="29" t="n">
        <f aca="false">MIN($T$6,Z75+AA75)</f>
        <v>19.7568208157508</v>
      </c>
      <c r="AC75" s="34" t="n">
        <f aca="false">Z75+AA75-AB75</f>
        <v>0</v>
      </c>
      <c r="AD75" s="34" t="n">
        <f aca="false">AI74</f>
        <v>0</v>
      </c>
      <c r="AE75" s="34" t="n">
        <f aca="false">AD75*$AD$5/12</f>
        <v>0</v>
      </c>
      <c r="AF75" s="29" t="n">
        <f aca="false">MIN($AD$6,AD75+AE75)</f>
        <v>0</v>
      </c>
      <c r="AG75" s="30" t="n">
        <f aca="false">MAX(0,MIN(X75,AD75+AE75-AF75))</f>
        <v>0</v>
      </c>
      <c r="AH75" s="29" t="n">
        <f aca="false">X75-AG75</f>
        <v>690</v>
      </c>
      <c r="AI75" s="34" t="n">
        <f aca="false">AD75+AE75-AF75-AG75</f>
        <v>0</v>
      </c>
      <c r="AJ75" s="34" t="n">
        <f aca="false">AM74</f>
        <v>0</v>
      </c>
      <c r="AK75" s="34" t="n">
        <f aca="false">AJ75*$AD$5/12</f>
        <v>0</v>
      </c>
      <c r="AL75" s="29" t="n">
        <f aca="false">MIN($AD$6,AJ75+AK75)</f>
        <v>0</v>
      </c>
      <c r="AM75" s="34" t="n">
        <f aca="false">AJ75+AK75-AL75</f>
        <v>0</v>
      </c>
      <c r="AN75" s="34" t="n">
        <f aca="false">AS74</f>
        <v>0</v>
      </c>
      <c r="AO75" s="34" t="n">
        <f aca="false">AN75*$AN$5/12</f>
        <v>0</v>
      </c>
      <c r="AP75" s="29" t="n">
        <f aca="false">MIN($AN$6,AN75+AO75)</f>
        <v>0</v>
      </c>
      <c r="AQ75" s="30" t="n">
        <f aca="false">MAX(0,MIN(AH75,AN75+AO75-AP75))</f>
        <v>0</v>
      </c>
      <c r="AR75" s="29" t="n">
        <f aca="false">AH75-AQ75</f>
        <v>690</v>
      </c>
      <c r="AS75" s="34" t="n">
        <f aca="false">AN75+AO75-AP75-AQ75</f>
        <v>0</v>
      </c>
      <c r="AT75" s="34" t="n">
        <f aca="false">AW74</f>
        <v>6235.04587122211</v>
      </c>
      <c r="AU75" s="34" t="n">
        <f aca="false">AT75*$AN$5/12</f>
        <v>28.5772935764347</v>
      </c>
      <c r="AV75" s="29" t="n">
        <f aca="false">MIN($AN$6,AT75+AU75)</f>
        <v>130</v>
      </c>
      <c r="AW75" s="34" t="n">
        <f aca="false">AT75+AU75-AV75</f>
        <v>6133.62316479854</v>
      </c>
      <c r="AX75" s="30" t="n">
        <f aca="false">BC74</f>
        <v>0</v>
      </c>
      <c r="AY75" s="30" t="n">
        <f aca="false">AX75*$AX$5/12</f>
        <v>0</v>
      </c>
      <c r="AZ75" s="30" t="n">
        <f aca="false">MIN($AX$6,AX75+AY75)</f>
        <v>0</v>
      </c>
      <c r="BA75" s="30" t="n">
        <f aca="false">MAX(0,MIN(AR75,AX75+AY75-AZ75))</f>
        <v>0</v>
      </c>
      <c r="BB75" s="29" t="n">
        <f aca="false">AR75-BA75</f>
        <v>690</v>
      </c>
      <c r="BC75" s="30" t="n">
        <f aca="false">AX75+AY75-AZ75-BA75</f>
        <v>0</v>
      </c>
      <c r="BD75" s="30" t="n">
        <f aca="false">BG74</f>
        <v>0</v>
      </c>
      <c r="BE75" s="30" t="n">
        <f aca="false">BD75*$AX$5/12</f>
        <v>0</v>
      </c>
      <c r="BF75" s="30" t="n">
        <f aca="false">MIN($AX$6,BD75+BE75)</f>
        <v>0</v>
      </c>
      <c r="BG75" s="30" t="n">
        <f aca="false">BD75+BE75-BF75</f>
        <v>0</v>
      </c>
      <c r="BH75" s="30" t="n">
        <f aca="false">BM74</f>
        <v>0</v>
      </c>
      <c r="BI75" s="30" t="n">
        <f aca="false">BH75*$BH$5/12</f>
        <v>0</v>
      </c>
      <c r="BJ75" s="30" t="n">
        <f aca="false">MIN($BH$6,BH75+BI75)</f>
        <v>0</v>
      </c>
      <c r="BK75" s="30" t="n">
        <f aca="false">MAX(0,MIN(BB75,BH75+BI75-BJ75))</f>
        <v>0</v>
      </c>
      <c r="BL75" s="29" t="n">
        <f aca="false">BB75-BK75</f>
        <v>690</v>
      </c>
      <c r="BM75" s="30" t="n">
        <f aca="false">BH75+BI75-BJ75-BK75</f>
        <v>0</v>
      </c>
      <c r="BN75" s="30" t="n">
        <f aca="false">BQ74</f>
        <v>0</v>
      </c>
      <c r="BO75" s="30" t="n">
        <f aca="false">BN75*$BH$5/12</f>
        <v>0</v>
      </c>
      <c r="BP75" s="30" t="n">
        <f aca="false">MIN($BH$6,BN75+BO75)</f>
        <v>0</v>
      </c>
      <c r="BQ75" s="30" t="n">
        <f aca="false">BN75+BO75-BP75</f>
        <v>0</v>
      </c>
      <c r="BR75" s="30" t="n">
        <f aca="false">BW74</f>
        <v>0</v>
      </c>
      <c r="BS75" s="30" t="n">
        <f aca="false">BR75*$BR$5/12</f>
        <v>0</v>
      </c>
      <c r="BT75" s="30" t="n">
        <f aca="false">MIN($BR$6,BR75+BS75)</f>
        <v>0</v>
      </c>
      <c r="BU75" s="30" t="n">
        <f aca="false">MAX(0,MIN(BL75,BR75+BS75-BT75))</f>
        <v>0</v>
      </c>
      <c r="BV75" s="29" t="n">
        <f aca="false">BL75-BU75</f>
        <v>690</v>
      </c>
      <c r="BW75" s="30" t="n">
        <f aca="false">BR75+BS75-BT75-BU75</f>
        <v>0</v>
      </c>
      <c r="BX75" s="30" t="n">
        <f aca="false">CA74</f>
        <v>0</v>
      </c>
      <c r="BY75" s="30" t="n">
        <f aca="false">BX75*$BR$5/12</f>
        <v>0</v>
      </c>
      <c r="BZ75" s="30" t="n">
        <f aca="false">MIN($BR$6,BX75+BY75)</f>
        <v>0</v>
      </c>
      <c r="CA75" s="30" t="n">
        <f aca="false">BX75+BY75-BZ75</f>
        <v>0</v>
      </c>
      <c r="CB75" s="30" t="n">
        <f aca="false">CG74</f>
        <v>0</v>
      </c>
      <c r="CC75" s="30" t="n">
        <f aca="false">CB75*$CB$5/12</f>
        <v>0</v>
      </c>
      <c r="CD75" s="30" t="n">
        <f aca="false">MIN($CB$6,CB75+CC75)</f>
        <v>0</v>
      </c>
      <c r="CE75" s="30" t="n">
        <f aca="false">MAX(0,MIN(BV75,CB75+CC75-CD75))</f>
        <v>0</v>
      </c>
      <c r="CF75" s="29" t="n">
        <f aca="false">BV75-CE75</f>
        <v>690</v>
      </c>
      <c r="CG75" s="30" t="n">
        <f aca="false">CB75+CC75-CD75-CE75</f>
        <v>0</v>
      </c>
      <c r="CH75" s="30" t="n">
        <f aca="false">CK74</f>
        <v>0</v>
      </c>
      <c r="CI75" s="30" t="n">
        <f aca="false">CH75*$CB$5/12</f>
        <v>0</v>
      </c>
      <c r="CJ75" s="30" t="n">
        <f aca="false">MIN($CB$6,CH75+CI75)</f>
        <v>0</v>
      </c>
      <c r="CK75" s="30" t="n">
        <f aca="false">CH75+CI75-CJ75</f>
        <v>0</v>
      </c>
    </row>
    <row r="76" customFormat="false" ht="15" hidden="false" customHeight="false" outlineLevel="0" collapsed="false">
      <c r="A76" s="0" t="n">
        <v>68</v>
      </c>
      <c r="B76" s="29" t="n">
        <f aca="false">'1 Your debts'!$B$16-(L76+V76+AF76+AP76+AZ76+BJ76+BT76+CD76)</f>
        <v>690</v>
      </c>
      <c r="C76" s="34" t="n">
        <f aca="false">O76+Y76+AI76+AS76+BC76+BM76+BW76+CG76</f>
        <v>0</v>
      </c>
      <c r="D76" s="34" t="n">
        <f aca="false">K76+U76+AE76+AO76+AY76+BI76+BS76+CC76</f>
        <v>0</v>
      </c>
      <c r="F76" s="34" t="n">
        <f aca="false">S76+AC76+AM76+AW76+BG76+BQ76+CA76+CK76</f>
        <v>7653.88725915886</v>
      </c>
      <c r="G76" s="34" t="n">
        <f aca="false">Q76+AA76+AK76+AU76+BE76+BO76+BY76+CI76</f>
        <v>63.346620890339</v>
      </c>
      <c r="J76" s="34" t="n">
        <f aca="false">O75</f>
        <v>0</v>
      </c>
      <c r="K76" s="34" t="n">
        <f aca="false">J76*$J$5/12</f>
        <v>0</v>
      </c>
      <c r="L76" s="29" t="n">
        <f aca="false">MIN($J$6,J76+K76)</f>
        <v>0</v>
      </c>
      <c r="M76" s="30" t="n">
        <f aca="false">MAX(0,MIN($B76,J76+K76-L76))</f>
        <v>0</v>
      </c>
      <c r="N76" s="29" t="n">
        <f aca="false">$B76-M76</f>
        <v>690</v>
      </c>
      <c r="O76" s="34" t="n">
        <f aca="false">J76+K76-L76-M76</f>
        <v>0</v>
      </c>
      <c r="P76" s="34" t="n">
        <f aca="false">S75</f>
        <v>1691.91747346998</v>
      </c>
      <c r="Q76" s="34" t="n">
        <f aca="false">P76*$J$5/12</f>
        <v>35.2341813850123</v>
      </c>
      <c r="R76" s="29" t="n">
        <f aca="false">MIN($J$6,P76+Q76)</f>
        <v>105</v>
      </c>
      <c r="S76" s="34" t="n">
        <f aca="false">P76+Q76-R76</f>
        <v>1622.15165485499</v>
      </c>
      <c r="T76" s="34" t="n">
        <f aca="false">Y75</f>
        <v>0</v>
      </c>
      <c r="U76" s="34" t="n">
        <f aca="false">T76*$T$5/12</f>
        <v>0</v>
      </c>
      <c r="V76" s="29" t="n">
        <f aca="false">MIN($T$6,T76+U76)</f>
        <v>0</v>
      </c>
      <c r="W76" s="30" t="n">
        <f aca="false">MAX(0,MIN(N76,T76+U76-V76))</f>
        <v>0</v>
      </c>
      <c r="X76" s="29" t="n">
        <f aca="false">N76-W76</f>
        <v>690</v>
      </c>
      <c r="Y76" s="34" t="n">
        <f aca="false">T76+U76-V76-W76</f>
        <v>0</v>
      </c>
      <c r="Z76" s="34" t="n">
        <f aca="false">AC75</f>
        <v>0</v>
      </c>
      <c r="AA76" s="34" t="n">
        <f aca="false">Z76*$T$5/12</f>
        <v>0</v>
      </c>
      <c r="AB76" s="29" t="n">
        <f aca="false">MIN($T$6,Z76+AA76)</f>
        <v>0</v>
      </c>
      <c r="AC76" s="34" t="n">
        <f aca="false">Z76+AA76-AB76</f>
        <v>0</v>
      </c>
      <c r="AD76" s="34" t="n">
        <f aca="false">AI75</f>
        <v>0</v>
      </c>
      <c r="AE76" s="34" t="n">
        <f aca="false">AD76*$AD$5/12</f>
        <v>0</v>
      </c>
      <c r="AF76" s="29" t="n">
        <f aca="false">MIN($AD$6,AD76+AE76)</f>
        <v>0</v>
      </c>
      <c r="AG76" s="30" t="n">
        <f aca="false">MAX(0,MIN(X76,AD76+AE76-AF76))</f>
        <v>0</v>
      </c>
      <c r="AH76" s="29" t="n">
        <f aca="false">X76-AG76</f>
        <v>690</v>
      </c>
      <c r="AI76" s="34" t="n">
        <f aca="false">AD76+AE76-AF76-AG76</f>
        <v>0</v>
      </c>
      <c r="AJ76" s="34" t="n">
        <f aca="false">AM75</f>
        <v>0</v>
      </c>
      <c r="AK76" s="34" t="n">
        <f aca="false">AJ76*$AD$5/12</f>
        <v>0</v>
      </c>
      <c r="AL76" s="29" t="n">
        <f aca="false">MIN($AD$6,AJ76+AK76)</f>
        <v>0</v>
      </c>
      <c r="AM76" s="34" t="n">
        <f aca="false">AJ76+AK76-AL76</f>
        <v>0</v>
      </c>
      <c r="AN76" s="34" t="n">
        <f aca="false">AS75</f>
        <v>0</v>
      </c>
      <c r="AO76" s="34" t="n">
        <f aca="false">AN76*$AN$5/12</f>
        <v>0</v>
      </c>
      <c r="AP76" s="29" t="n">
        <f aca="false">MIN($AN$6,AN76+AO76)</f>
        <v>0</v>
      </c>
      <c r="AQ76" s="30" t="n">
        <f aca="false">MAX(0,MIN(AH76,AN76+AO76-AP76))</f>
        <v>0</v>
      </c>
      <c r="AR76" s="29" t="n">
        <f aca="false">AH76-AQ76</f>
        <v>690</v>
      </c>
      <c r="AS76" s="34" t="n">
        <f aca="false">AN76+AO76-AP76-AQ76</f>
        <v>0</v>
      </c>
      <c r="AT76" s="34" t="n">
        <f aca="false">AW75</f>
        <v>6133.62316479854</v>
      </c>
      <c r="AU76" s="34" t="n">
        <f aca="false">AT76*$AN$5/12</f>
        <v>28.1124395053267</v>
      </c>
      <c r="AV76" s="29" t="n">
        <f aca="false">MIN($AN$6,AT76+AU76)</f>
        <v>130</v>
      </c>
      <c r="AW76" s="34" t="n">
        <f aca="false">AT76+AU76-AV76</f>
        <v>6031.73560430387</v>
      </c>
      <c r="AX76" s="30" t="n">
        <f aca="false">BC75</f>
        <v>0</v>
      </c>
      <c r="AY76" s="30" t="n">
        <f aca="false">AX76*$AX$5/12</f>
        <v>0</v>
      </c>
      <c r="AZ76" s="30" t="n">
        <f aca="false">MIN($AX$6,AX76+AY76)</f>
        <v>0</v>
      </c>
      <c r="BA76" s="30" t="n">
        <f aca="false">MAX(0,MIN(AR76,AX76+AY76-AZ76))</f>
        <v>0</v>
      </c>
      <c r="BB76" s="29" t="n">
        <f aca="false">AR76-BA76</f>
        <v>690</v>
      </c>
      <c r="BC76" s="30" t="n">
        <f aca="false">AX76+AY76-AZ76-BA76</f>
        <v>0</v>
      </c>
      <c r="BD76" s="30" t="n">
        <f aca="false">BG75</f>
        <v>0</v>
      </c>
      <c r="BE76" s="30" t="n">
        <f aca="false">BD76*$AX$5/12</f>
        <v>0</v>
      </c>
      <c r="BF76" s="30" t="n">
        <f aca="false">MIN($AX$6,BD76+BE76)</f>
        <v>0</v>
      </c>
      <c r="BG76" s="30" t="n">
        <f aca="false">BD76+BE76-BF76</f>
        <v>0</v>
      </c>
      <c r="BH76" s="30" t="n">
        <f aca="false">BM75</f>
        <v>0</v>
      </c>
      <c r="BI76" s="30" t="n">
        <f aca="false">BH76*$BH$5/12</f>
        <v>0</v>
      </c>
      <c r="BJ76" s="30" t="n">
        <f aca="false">MIN($BH$6,BH76+BI76)</f>
        <v>0</v>
      </c>
      <c r="BK76" s="30" t="n">
        <f aca="false">MAX(0,MIN(BB76,BH76+BI76-BJ76))</f>
        <v>0</v>
      </c>
      <c r="BL76" s="29" t="n">
        <f aca="false">BB76-BK76</f>
        <v>690</v>
      </c>
      <c r="BM76" s="30" t="n">
        <f aca="false">BH76+BI76-BJ76-BK76</f>
        <v>0</v>
      </c>
      <c r="BN76" s="30" t="n">
        <f aca="false">BQ75</f>
        <v>0</v>
      </c>
      <c r="BO76" s="30" t="n">
        <f aca="false">BN76*$BH$5/12</f>
        <v>0</v>
      </c>
      <c r="BP76" s="30" t="n">
        <f aca="false">MIN($BH$6,BN76+BO76)</f>
        <v>0</v>
      </c>
      <c r="BQ76" s="30" t="n">
        <f aca="false">BN76+BO76-BP76</f>
        <v>0</v>
      </c>
      <c r="BR76" s="30" t="n">
        <f aca="false">BW75</f>
        <v>0</v>
      </c>
      <c r="BS76" s="30" t="n">
        <f aca="false">BR76*$BR$5/12</f>
        <v>0</v>
      </c>
      <c r="BT76" s="30" t="n">
        <f aca="false">MIN($BR$6,BR76+BS76)</f>
        <v>0</v>
      </c>
      <c r="BU76" s="30" t="n">
        <f aca="false">MAX(0,MIN(BL76,BR76+BS76-BT76))</f>
        <v>0</v>
      </c>
      <c r="BV76" s="29" t="n">
        <f aca="false">BL76-BU76</f>
        <v>690</v>
      </c>
      <c r="BW76" s="30" t="n">
        <f aca="false">BR76+BS76-BT76-BU76</f>
        <v>0</v>
      </c>
      <c r="BX76" s="30" t="n">
        <f aca="false">CA75</f>
        <v>0</v>
      </c>
      <c r="BY76" s="30" t="n">
        <f aca="false">BX76*$BR$5/12</f>
        <v>0</v>
      </c>
      <c r="BZ76" s="30" t="n">
        <f aca="false">MIN($BR$6,BX76+BY76)</f>
        <v>0</v>
      </c>
      <c r="CA76" s="30" t="n">
        <f aca="false">BX76+BY76-BZ76</f>
        <v>0</v>
      </c>
      <c r="CB76" s="30" t="n">
        <f aca="false">CG75</f>
        <v>0</v>
      </c>
      <c r="CC76" s="30" t="n">
        <f aca="false">CB76*$CB$5/12</f>
        <v>0</v>
      </c>
      <c r="CD76" s="30" t="n">
        <f aca="false">MIN($CB$6,CB76+CC76)</f>
        <v>0</v>
      </c>
      <c r="CE76" s="30" t="n">
        <f aca="false">MAX(0,MIN(BV76,CB76+CC76-CD76))</f>
        <v>0</v>
      </c>
      <c r="CF76" s="29" t="n">
        <f aca="false">BV76-CE76</f>
        <v>690</v>
      </c>
      <c r="CG76" s="30" t="n">
        <f aca="false">CB76+CC76-CD76-CE76</f>
        <v>0</v>
      </c>
      <c r="CH76" s="30" t="n">
        <f aca="false">CK75</f>
        <v>0</v>
      </c>
      <c r="CI76" s="30" t="n">
        <f aca="false">CH76*$CB$5/12</f>
        <v>0</v>
      </c>
      <c r="CJ76" s="30" t="n">
        <f aca="false">MIN($CB$6,CH76+CI76)</f>
        <v>0</v>
      </c>
      <c r="CK76" s="30" t="n">
        <f aca="false">CH76+CI76-CJ76</f>
        <v>0</v>
      </c>
    </row>
    <row r="77" customFormat="false" ht="15" hidden="false" customHeight="false" outlineLevel="0" collapsed="false">
      <c r="A77" s="0" t="n">
        <v>69</v>
      </c>
      <c r="B77" s="29" t="n">
        <f aca="false">'1 Your debts'!$B$16-(L77+V77+AF77+AP77+AZ77+BJ77+BT77+CD77)</f>
        <v>690</v>
      </c>
      <c r="C77" s="34" t="n">
        <f aca="false">O77+Y77+AI77+AS77+BC77+BM77+BW77+CG77</f>
        <v>0</v>
      </c>
      <c r="D77" s="34" t="n">
        <f aca="false">K77+U77+AE77+AO77+AY77+BI77+BS77+CC77</f>
        <v>0</v>
      </c>
      <c r="F77" s="34" t="n">
        <f aca="false">S77+AC77+AM77+AW77+BG77+BQ77+CA77+CK77</f>
        <v>7480.31402222428</v>
      </c>
      <c r="G77" s="34" t="n">
        <f aca="false">Q77+AA77+AK77+AU77+BE77+BO77+BY77+CI77</f>
        <v>61.4267630654146</v>
      </c>
      <c r="J77" s="34" t="n">
        <f aca="false">O76</f>
        <v>0</v>
      </c>
      <c r="K77" s="34" t="n">
        <f aca="false">J77*$J$5/12</f>
        <v>0</v>
      </c>
      <c r="L77" s="29" t="n">
        <f aca="false">MIN($J$6,J77+K77)</f>
        <v>0</v>
      </c>
      <c r="M77" s="30" t="n">
        <f aca="false">MAX(0,MIN($B77,J77+K77-L77))</f>
        <v>0</v>
      </c>
      <c r="N77" s="29" t="n">
        <f aca="false">$B77-M77</f>
        <v>690</v>
      </c>
      <c r="O77" s="34" t="n">
        <f aca="false">J77+K77-L77-M77</f>
        <v>0</v>
      </c>
      <c r="P77" s="34" t="n">
        <f aca="false">S76</f>
        <v>1622.15165485499</v>
      </c>
      <c r="Q77" s="34" t="n">
        <f aca="false">P77*$J$5/12</f>
        <v>33.7813082123552</v>
      </c>
      <c r="R77" s="29" t="n">
        <f aca="false">MIN($J$6,P77+Q77)</f>
        <v>105</v>
      </c>
      <c r="S77" s="34" t="n">
        <f aca="false">P77+Q77-R77</f>
        <v>1550.93296306735</v>
      </c>
      <c r="T77" s="34" t="n">
        <f aca="false">Y76</f>
        <v>0</v>
      </c>
      <c r="U77" s="34" t="n">
        <f aca="false">T77*$T$5/12</f>
        <v>0</v>
      </c>
      <c r="V77" s="29" t="n">
        <f aca="false">MIN($T$6,T77+U77)</f>
        <v>0</v>
      </c>
      <c r="W77" s="30" t="n">
        <f aca="false">MAX(0,MIN(N77,T77+U77-V77))</f>
        <v>0</v>
      </c>
      <c r="X77" s="29" t="n">
        <f aca="false">N77-W77</f>
        <v>690</v>
      </c>
      <c r="Y77" s="34" t="n">
        <f aca="false">T77+U77-V77-W77</f>
        <v>0</v>
      </c>
      <c r="Z77" s="34" t="n">
        <f aca="false">AC76</f>
        <v>0</v>
      </c>
      <c r="AA77" s="34" t="n">
        <f aca="false">Z77*$T$5/12</f>
        <v>0</v>
      </c>
      <c r="AB77" s="29" t="n">
        <f aca="false">MIN($T$6,Z77+AA77)</f>
        <v>0</v>
      </c>
      <c r="AC77" s="34" t="n">
        <f aca="false">Z77+AA77-AB77</f>
        <v>0</v>
      </c>
      <c r="AD77" s="34" t="n">
        <f aca="false">AI76</f>
        <v>0</v>
      </c>
      <c r="AE77" s="34" t="n">
        <f aca="false">AD77*$AD$5/12</f>
        <v>0</v>
      </c>
      <c r="AF77" s="29" t="n">
        <f aca="false">MIN($AD$6,AD77+AE77)</f>
        <v>0</v>
      </c>
      <c r="AG77" s="30" t="n">
        <f aca="false">MAX(0,MIN(X77,AD77+AE77-AF77))</f>
        <v>0</v>
      </c>
      <c r="AH77" s="29" t="n">
        <f aca="false">X77-AG77</f>
        <v>690</v>
      </c>
      <c r="AI77" s="34" t="n">
        <f aca="false">AD77+AE77-AF77-AG77</f>
        <v>0</v>
      </c>
      <c r="AJ77" s="34" t="n">
        <f aca="false">AM76</f>
        <v>0</v>
      </c>
      <c r="AK77" s="34" t="n">
        <f aca="false">AJ77*$AD$5/12</f>
        <v>0</v>
      </c>
      <c r="AL77" s="29" t="n">
        <f aca="false">MIN($AD$6,AJ77+AK77)</f>
        <v>0</v>
      </c>
      <c r="AM77" s="34" t="n">
        <f aca="false">AJ77+AK77-AL77</f>
        <v>0</v>
      </c>
      <c r="AN77" s="34" t="n">
        <f aca="false">AS76</f>
        <v>0</v>
      </c>
      <c r="AO77" s="34" t="n">
        <f aca="false">AN77*$AN$5/12</f>
        <v>0</v>
      </c>
      <c r="AP77" s="29" t="n">
        <f aca="false">MIN($AN$6,AN77+AO77)</f>
        <v>0</v>
      </c>
      <c r="AQ77" s="30" t="n">
        <f aca="false">MAX(0,MIN(AH77,AN77+AO77-AP77))</f>
        <v>0</v>
      </c>
      <c r="AR77" s="29" t="n">
        <f aca="false">AH77-AQ77</f>
        <v>690</v>
      </c>
      <c r="AS77" s="34" t="n">
        <f aca="false">AN77+AO77-AP77-AQ77</f>
        <v>0</v>
      </c>
      <c r="AT77" s="34" t="n">
        <f aca="false">AW76</f>
        <v>6031.73560430387</v>
      </c>
      <c r="AU77" s="34" t="n">
        <f aca="false">AT77*$AN$5/12</f>
        <v>27.6454548530594</v>
      </c>
      <c r="AV77" s="29" t="n">
        <f aca="false">MIN($AN$6,AT77+AU77)</f>
        <v>130</v>
      </c>
      <c r="AW77" s="34" t="n">
        <f aca="false">AT77+AU77-AV77</f>
        <v>5929.38105915693</v>
      </c>
      <c r="AX77" s="30" t="n">
        <f aca="false">BC76</f>
        <v>0</v>
      </c>
      <c r="AY77" s="30" t="n">
        <f aca="false">AX77*$AX$5/12</f>
        <v>0</v>
      </c>
      <c r="AZ77" s="30" t="n">
        <f aca="false">MIN($AX$6,AX77+AY77)</f>
        <v>0</v>
      </c>
      <c r="BA77" s="30" t="n">
        <f aca="false">MAX(0,MIN(AR77,AX77+AY77-AZ77))</f>
        <v>0</v>
      </c>
      <c r="BB77" s="29" t="n">
        <f aca="false">AR77-BA77</f>
        <v>690</v>
      </c>
      <c r="BC77" s="30" t="n">
        <f aca="false">AX77+AY77-AZ77-BA77</f>
        <v>0</v>
      </c>
      <c r="BD77" s="30" t="n">
        <f aca="false">BG76</f>
        <v>0</v>
      </c>
      <c r="BE77" s="30" t="n">
        <f aca="false">BD77*$AX$5/12</f>
        <v>0</v>
      </c>
      <c r="BF77" s="30" t="n">
        <f aca="false">MIN($AX$6,BD77+BE77)</f>
        <v>0</v>
      </c>
      <c r="BG77" s="30" t="n">
        <f aca="false">BD77+BE77-BF77</f>
        <v>0</v>
      </c>
      <c r="BH77" s="30" t="n">
        <f aca="false">BM76</f>
        <v>0</v>
      </c>
      <c r="BI77" s="30" t="n">
        <f aca="false">BH77*$BH$5/12</f>
        <v>0</v>
      </c>
      <c r="BJ77" s="30" t="n">
        <f aca="false">MIN($BH$6,BH77+BI77)</f>
        <v>0</v>
      </c>
      <c r="BK77" s="30" t="n">
        <f aca="false">MAX(0,MIN(BB77,BH77+BI77-BJ77))</f>
        <v>0</v>
      </c>
      <c r="BL77" s="29" t="n">
        <f aca="false">BB77-BK77</f>
        <v>690</v>
      </c>
      <c r="BM77" s="30" t="n">
        <f aca="false">BH77+BI77-BJ77-BK77</f>
        <v>0</v>
      </c>
      <c r="BN77" s="30" t="n">
        <f aca="false">BQ76</f>
        <v>0</v>
      </c>
      <c r="BO77" s="30" t="n">
        <f aca="false">BN77*$BH$5/12</f>
        <v>0</v>
      </c>
      <c r="BP77" s="30" t="n">
        <f aca="false">MIN($BH$6,BN77+BO77)</f>
        <v>0</v>
      </c>
      <c r="BQ77" s="30" t="n">
        <f aca="false">BN77+BO77-BP77</f>
        <v>0</v>
      </c>
      <c r="BR77" s="30" t="n">
        <f aca="false">BW76</f>
        <v>0</v>
      </c>
      <c r="BS77" s="30" t="n">
        <f aca="false">BR77*$BR$5/12</f>
        <v>0</v>
      </c>
      <c r="BT77" s="30" t="n">
        <f aca="false">MIN($BR$6,BR77+BS77)</f>
        <v>0</v>
      </c>
      <c r="BU77" s="30" t="n">
        <f aca="false">MAX(0,MIN(BL77,BR77+BS77-BT77))</f>
        <v>0</v>
      </c>
      <c r="BV77" s="29" t="n">
        <f aca="false">BL77-BU77</f>
        <v>690</v>
      </c>
      <c r="BW77" s="30" t="n">
        <f aca="false">BR77+BS77-BT77-BU77</f>
        <v>0</v>
      </c>
      <c r="BX77" s="30" t="n">
        <f aca="false">CA76</f>
        <v>0</v>
      </c>
      <c r="BY77" s="30" t="n">
        <f aca="false">BX77*$BR$5/12</f>
        <v>0</v>
      </c>
      <c r="BZ77" s="30" t="n">
        <f aca="false">MIN($BR$6,BX77+BY77)</f>
        <v>0</v>
      </c>
      <c r="CA77" s="30" t="n">
        <f aca="false">BX77+BY77-BZ77</f>
        <v>0</v>
      </c>
      <c r="CB77" s="30" t="n">
        <f aca="false">CG76</f>
        <v>0</v>
      </c>
      <c r="CC77" s="30" t="n">
        <f aca="false">CB77*$CB$5/12</f>
        <v>0</v>
      </c>
      <c r="CD77" s="30" t="n">
        <f aca="false">MIN($CB$6,CB77+CC77)</f>
        <v>0</v>
      </c>
      <c r="CE77" s="30" t="n">
        <f aca="false">MAX(0,MIN(BV77,CB77+CC77-CD77))</f>
        <v>0</v>
      </c>
      <c r="CF77" s="29" t="n">
        <f aca="false">BV77-CE77</f>
        <v>690</v>
      </c>
      <c r="CG77" s="30" t="n">
        <f aca="false">CB77+CC77-CD77-CE77</f>
        <v>0</v>
      </c>
      <c r="CH77" s="30" t="n">
        <f aca="false">CK76</f>
        <v>0</v>
      </c>
      <c r="CI77" s="30" t="n">
        <f aca="false">CH77*$CB$5/12</f>
        <v>0</v>
      </c>
      <c r="CJ77" s="30" t="n">
        <f aca="false">MIN($CB$6,CH77+CI77)</f>
        <v>0</v>
      </c>
      <c r="CK77" s="30" t="n">
        <f aca="false">CH77+CI77-CJ77</f>
        <v>0</v>
      </c>
    </row>
    <row r="78" customFormat="false" ht="15" hidden="false" customHeight="false" outlineLevel="0" collapsed="false">
      <c r="A78" s="0" t="n">
        <v>70</v>
      </c>
      <c r="B78" s="29" t="n">
        <f aca="false">'1 Your debts'!$B$16-(L78+V78+AF78+AP78+AZ78+BJ78+BT78+CD78)</f>
        <v>690</v>
      </c>
      <c r="C78" s="34" t="n">
        <f aca="false">O78+Y78+AI78+AS78+BC78+BM78+BW78+CG78</f>
        <v>0</v>
      </c>
      <c r="D78" s="34" t="n">
        <f aca="false">K78+U78+AE78+AO78+AY78+BI78+BS78+CC78</f>
        <v>0</v>
      </c>
      <c r="F78" s="34" t="n">
        <f aca="false">S78+AC78+AM78+AW78+BG78+BQ78+CA78+CK78</f>
        <v>7304.78853103462</v>
      </c>
      <c r="G78" s="34" t="n">
        <f aca="false">Q78+AA78+AK78+AU78+BE78+BO78+BY78+CI78</f>
        <v>59.4745088103468</v>
      </c>
      <c r="J78" s="34" t="n">
        <f aca="false">O77</f>
        <v>0</v>
      </c>
      <c r="K78" s="34" t="n">
        <f aca="false">J78*$J$5/12</f>
        <v>0</v>
      </c>
      <c r="L78" s="29" t="n">
        <f aca="false">MIN($J$6,J78+K78)</f>
        <v>0</v>
      </c>
      <c r="M78" s="30" t="n">
        <f aca="false">MAX(0,MIN($B78,J78+K78-L78))</f>
        <v>0</v>
      </c>
      <c r="N78" s="29" t="n">
        <f aca="false">$B78-M78</f>
        <v>690</v>
      </c>
      <c r="O78" s="34" t="n">
        <f aca="false">J78+K78-L78-M78</f>
        <v>0</v>
      </c>
      <c r="P78" s="34" t="n">
        <f aca="false">S77</f>
        <v>1550.93296306735</v>
      </c>
      <c r="Q78" s="34" t="n">
        <f aca="false">P78*$J$5/12</f>
        <v>32.2981789558775</v>
      </c>
      <c r="R78" s="29" t="n">
        <f aca="false">MIN($J$6,P78+Q78)</f>
        <v>105</v>
      </c>
      <c r="S78" s="34" t="n">
        <f aca="false">P78+Q78-R78</f>
        <v>1478.23114202323</v>
      </c>
      <c r="T78" s="34" t="n">
        <f aca="false">Y77</f>
        <v>0</v>
      </c>
      <c r="U78" s="34" t="n">
        <f aca="false">T78*$T$5/12</f>
        <v>0</v>
      </c>
      <c r="V78" s="29" t="n">
        <f aca="false">MIN($T$6,T78+U78)</f>
        <v>0</v>
      </c>
      <c r="W78" s="30" t="n">
        <f aca="false">MAX(0,MIN(N78,T78+U78-V78))</f>
        <v>0</v>
      </c>
      <c r="X78" s="29" t="n">
        <f aca="false">N78-W78</f>
        <v>690</v>
      </c>
      <c r="Y78" s="34" t="n">
        <f aca="false">T78+U78-V78-W78</f>
        <v>0</v>
      </c>
      <c r="Z78" s="34" t="n">
        <f aca="false">AC77</f>
        <v>0</v>
      </c>
      <c r="AA78" s="34" t="n">
        <f aca="false">Z78*$T$5/12</f>
        <v>0</v>
      </c>
      <c r="AB78" s="29" t="n">
        <f aca="false">MIN($T$6,Z78+AA78)</f>
        <v>0</v>
      </c>
      <c r="AC78" s="34" t="n">
        <f aca="false">Z78+AA78-AB78</f>
        <v>0</v>
      </c>
      <c r="AD78" s="34" t="n">
        <f aca="false">AI77</f>
        <v>0</v>
      </c>
      <c r="AE78" s="34" t="n">
        <f aca="false">AD78*$AD$5/12</f>
        <v>0</v>
      </c>
      <c r="AF78" s="29" t="n">
        <f aca="false">MIN($AD$6,AD78+AE78)</f>
        <v>0</v>
      </c>
      <c r="AG78" s="30" t="n">
        <f aca="false">MAX(0,MIN(X78,AD78+AE78-AF78))</f>
        <v>0</v>
      </c>
      <c r="AH78" s="29" t="n">
        <f aca="false">X78-AG78</f>
        <v>690</v>
      </c>
      <c r="AI78" s="34" t="n">
        <f aca="false">AD78+AE78-AF78-AG78</f>
        <v>0</v>
      </c>
      <c r="AJ78" s="34" t="n">
        <f aca="false">AM77</f>
        <v>0</v>
      </c>
      <c r="AK78" s="34" t="n">
        <f aca="false">AJ78*$AD$5/12</f>
        <v>0</v>
      </c>
      <c r="AL78" s="29" t="n">
        <f aca="false">MIN($AD$6,AJ78+AK78)</f>
        <v>0</v>
      </c>
      <c r="AM78" s="34" t="n">
        <f aca="false">AJ78+AK78-AL78</f>
        <v>0</v>
      </c>
      <c r="AN78" s="34" t="n">
        <f aca="false">AS77</f>
        <v>0</v>
      </c>
      <c r="AO78" s="34" t="n">
        <f aca="false">AN78*$AN$5/12</f>
        <v>0</v>
      </c>
      <c r="AP78" s="29" t="n">
        <f aca="false">MIN($AN$6,AN78+AO78)</f>
        <v>0</v>
      </c>
      <c r="AQ78" s="30" t="n">
        <f aca="false">MAX(0,MIN(AH78,AN78+AO78-AP78))</f>
        <v>0</v>
      </c>
      <c r="AR78" s="29" t="n">
        <f aca="false">AH78-AQ78</f>
        <v>690</v>
      </c>
      <c r="AS78" s="34" t="n">
        <f aca="false">AN78+AO78-AP78-AQ78</f>
        <v>0</v>
      </c>
      <c r="AT78" s="34" t="n">
        <f aca="false">AW77</f>
        <v>5929.38105915693</v>
      </c>
      <c r="AU78" s="34" t="n">
        <f aca="false">AT78*$AN$5/12</f>
        <v>27.1763298544693</v>
      </c>
      <c r="AV78" s="29" t="n">
        <f aca="false">MIN($AN$6,AT78+AU78)</f>
        <v>130</v>
      </c>
      <c r="AW78" s="34" t="n">
        <f aca="false">AT78+AU78-AV78</f>
        <v>5826.5573890114</v>
      </c>
      <c r="AX78" s="30" t="n">
        <f aca="false">BC77</f>
        <v>0</v>
      </c>
      <c r="AY78" s="30" t="n">
        <f aca="false">AX78*$AX$5/12</f>
        <v>0</v>
      </c>
      <c r="AZ78" s="30" t="n">
        <f aca="false">MIN($AX$6,AX78+AY78)</f>
        <v>0</v>
      </c>
      <c r="BA78" s="30" t="n">
        <f aca="false">MAX(0,MIN(AR78,AX78+AY78-AZ78))</f>
        <v>0</v>
      </c>
      <c r="BB78" s="29" t="n">
        <f aca="false">AR78-BA78</f>
        <v>690</v>
      </c>
      <c r="BC78" s="30" t="n">
        <f aca="false">AX78+AY78-AZ78-BA78</f>
        <v>0</v>
      </c>
      <c r="BD78" s="30" t="n">
        <f aca="false">BG77</f>
        <v>0</v>
      </c>
      <c r="BE78" s="30" t="n">
        <f aca="false">BD78*$AX$5/12</f>
        <v>0</v>
      </c>
      <c r="BF78" s="30" t="n">
        <f aca="false">MIN($AX$6,BD78+BE78)</f>
        <v>0</v>
      </c>
      <c r="BG78" s="30" t="n">
        <f aca="false">BD78+BE78-BF78</f>
        <v>0</v>
      </c>
      <c r="BH78" s="30" t="n">
        <f aca="false">BM77</f>
        <v>0</v>
      </c>
      <c r="BI78" s="30" t="n">
        <f aca="false">BH78*$BH$5/12</f>
        <v>0</v>
      </c>
      <c r="BJ78" s="30" t="n">
        <f aca="false">MIN($BH$6,BH78+BI78)</f>
        <v>0</v>
      </c>
      <c r="BK78" s="30" t="n">
        <f aca="false">MAX(0,MIN(BB78,BH78+BI78-BJ78))</f>
        <v>0</v>
      </c>
      <c r="BL78" s="29" t="n">
        <f aca="false">BB78-BK78</f>
        <v>690</v>
      </c>
      <c r="BM78" s="30" t="n">
        <f aca="false">BH78+BI78-BJ78-BK78</f>
        <v>0</v>
      </c>
      <c r="BN78" s="30" t="n">
        <f aca="false">BQ77</f>
        <v>0</v>
      </c>
      <c r="BO78" s="30" t="n">
        <f aca="false">BN78*$BH$5/12</f>
        <v>0</v>
      </c>
      <c r="BP78" s="30" t="n">
        <f aca="false">MIN($BH$6,BN78+BO78)</f>
        <v>0</v>
      </c>
      <c r="BQ78" s="30" t="n">
        <f aca="false">BN78+BO78-BP78</f>
        <v>0</v>
      </c>
      <c r="BR78" s="30" t="n">
        <f aca="false">BW77</f>
        <v>0</v>
      </c>
      <c r="BS78" s="30" t="n">
        <f aca="false">BR78*$BR$5/12</f>
        <v>0</v>
      </c>
      <c r="BT78" s="30" t="n">
        <f aca="false">MIN($BR$6,BR78+BS78)</f>
        <v>0</v>
      </c>
      <c r="BU78" s="30" t="n">
        <f aca="false">MAX(0,MIN(BL78,BR78+BS78-BT78))</f>
        <v>0</v>
      </c>
      <c r="BV78" s="29" t="n">
        <f aca="false">BL78-BU78</f>
        <v>690</v>
      </c>
      <c r="BW78" s="30" t="n">
        <f aca="false">BR78+BS78-BT78-BU78</f>
        <v>0</v>
      </c>
      <c r="BX78" s="30" t="n">
        <f aca="false">CA77</f>
        <v>0</v>
      </c>
      <c r="BY78" s="30" t="n">
        <f aca="false">BX78*$BR$5/12</f>
        <v>0</v>
      </c>
      <c r="BZ78" s="30" t="n">
        <f aca="false">MIN($BR$6,BX78+BY78)</f>
        <v>0</v>
      </c>
      <c r="CA78" s="30" t="n">
        <f aca="false">BX78+BY78-BZ78</f>
        <v>0</v>
      </c>
      <c r="CB78" s="30" t="n">
        <f aca="false">CG77</f>
        <v>0</v>
      </c>
      <c r="CC78" s="30" t="n">
        <f aca="false">CB78*$CB$5/12</f>
        <v>0</v>
      </c>
      <c r="CD78" s="30" t="n">
        <f aca="false">MIN($CB$6,CB78+CC78)</f>
        <v>0</v>
      </c>
      <c r="CE78" s="30" t="n">
        <f aca="false">MAX(0,MIN(BV78,CB78+CC78-CD78))</f>
        <v>0</v>
      </c>
      <c r="CF78" s="29" t="n">
        <f aca="false">BV78-CE78</f>
        <v>690</v>
      </c>
      <c r="CG78" s="30" t="n">
        <f aca="false">CB78+CC78-CD78-CE78</f>
        <v>0</v>
      </c>
      <c r="CH78" s="30" t="n">
        <f aca="false">CK77</f>
        <v>0</v>
      </c>
      <c r="CI78" s="30" t="n">
        <f aca="false">CH78*$CB$5/12</f>
        <v>0</v>
      </c>
      <c r="CJ78" s="30" t="n">
        <f aca="false">MIN($CB$6,CH78+CI78)</f>
        <v>0</v>
      </c>
      <c r="CK78" s="30" t="n">
        <f aca="false">CH78+CI78-CJ78</f>
        <v>0</v>
      </c>
    </row>
    <row r="79" customFormat="false" ht="15" hidden="false" customHeight="false" outlineLevel="0" collapsed="false">
      <c r="A79" s="0" t="n">
        <v>71</v>
      </c>
      <c r="B79" s="29" t="n">
        <f aca="false">'1 Your debts'!$B$16-(L79+V79+AF79+AP79+AZ79+BJ79+BT79+CD79)</f>
        <v>690</v>
      </c>
      <c r="C79" s="34" t="n">
        <f aca="false">O79+Y79+AI79+AS79+BC79+BM79+BW79+CG79</f>
        <v>0</v>
      </c>
      <c r="D79" s="34" t="n">
        <f aca="false">K79+U79+AE79+AO79+AY79+BI79+BS79+CC79</f>
        <v>0</v>
      </c>
      <c r="F79" s="34" t="n">
        <f aca="false">S79+AC79+AM79+AW79+BG79+BQ79+CA79+CK79</f>
        <v>7127.27774926689</v>
      </c>
      <c r="G79" s="34" t="n">
        <f aca="false">Q79+AA79+AK79+AU79+BE79+BO79+BY79+CI79</f>
        <v>57.4892182322692</v>
      </c>
      <c r="J79" s="34" t="n">
        <f aca="false">O78</f>
        <v>0</v>
      </c>
      <c r="K79" s="34" t="n">
        <f aca="false">J79*$J$5/12</f>
        <v>0</v>
      </c>
      <c r="L79" s="29" t="n">
        <f aca="false">MIN($J$6,J79+K79)</f>
        <v>0</v>
      </c>
      <c r="M79" s="30" t="n">
        <f aca="false">MAX(0,MIN($B79,J79+K79-L79))</f>
        <v>0</v>
      </c>
      <c r="N79" s="29" t="n">
        <f aca="false">$B79-M79</f>
        <v>690</v>
      </c>
      <c r="O79" s="34" t="n">
        <f aca="false">J79+K79-L79-M79</f>
        <v>0</v>
      </c>
      <c r="P79" s="34" t="n">
        <f aca="false">S78</f>
        <v>1478.23114202323</v>
      </c>
      <c r="Q79" s="34" t="n">
        <f aca="false">P79*$J$5/12</f>
        <v>30.7841635326337</v>
      </c>
      <c r="R79" s="29" t="n">
        <f aca="false">MIN($J$6,P79+Q79)</f>
        <v>105</v>
      </c>
      <c r="S79" s="34" t="n">
        <f aca="false">P79+Q79-R79</f>
        <v>1404.01530555586</v>
      </c>
      <c r="T79" s="34" t="n">
        <f aca="false">Y78</f>
        <v>0</v>
      </c>
      <c r="U79" s="34" t="n">
        <f aca="false">T79*$T$5/12</f>
        <v>0</v>
      </c>
      <c r="V79" s="29" t="n">
        <f aca="false">MIN($T$6,T79+U79)</f>
        <v>0</v>
      </c>
      <c r="W79" s="30" t="n">
        <f aca="false">MAX(0,MIN(N79,T79+U79-V79))</f>
        <v>0</v>
      </c>
      <c r="X79" s="29" t="n">
        <f aca="false">N79-W79</f>
        <v>690</v>
      </c>
      <c r="Y79" s="34" t="n">
        <f aca="false">T79+U79-V79-W79</f>
        <v>0</v>
      </c>
      <c r="Z79" s="34" t="n">
        <f aca="false">AC78</f>
        <v>0</v>
      </c>
      <c r="AA79" s="34" t="n">
        <f aca="false">Z79*$T$5/12</f>
        <v>0</v>
      </c>
      <c r="AB79" s="29" t="n">
        <f aca="false">MIN($T$6,Z79+AA79)</f>
        <v>0</v>
      </c>
      <c r="AC79" s="34" t="n">
        <f aca="false">Z79+AA79-AB79</f>
        <v>0</v>
      </c>
      <c r="AD79" s="34" t="n">
        <f aca="false">AI78</f>
        <v>0</v>
      </c>
      <c r="AE79" s="34" t="n">
        <f aca="false">AD79*$AD$5/12</f>
        <v>0</v>
      </c>
      <c r="AF79" s="29" t="n">
        <f aca="false">MIN($AD$6,AD79+AE79)</f>
        <v>0</v>
      </c>
      <c r="AG79" s="30" t="n">
        <f aca="false">MAX(0,MIN(X79,AD79+AE79-AF79))</f>
        <v>0</v>
      </c>
      <c r="AH79" s="29" t="n">
        <f aca="false">X79-AG79</f>
        <v>690</v>
      </c>
      <c r="AI79" s="34" t="n">
        <f aca="false">AD79+AE79-AF79-AG79</f>
        <v>0</v>
      </c>
      <c r="AJ79" s="34" t="n">
        <f aca="false">AM78</f>
        <v>0</v>
      </c>
      <c r="AK79" s="34" t="n">
        <f aca="false">AJ79*$AD$5/12</f>
        <v>0</v>
      </c>
      <c r="AL79" s="29" t="n">
        <f aca="false">MIN($AD$6,AJ79+AK79)</f>
        <v>0</v>
      </c>
      <c r="AM79" s="34" t="n">
        <f aca="false">AJ79+AK79-AL79</f>
        <v>0</v>
      </c>
      <c r="AN79" s="34" t="n">
        <f aca="false">AS78</f>
        <v>0</v>
      </c>
      <c r="AO79" s="34" t="n">
        <f aca="false">AN79*$AN$5/12</f>
        <v>0</v>
      </c>
      <c r="AP79" s="29" t="n">
        <f aca="false">MIN($AN$6,AN79+AO79)</f>
        <v>0</v>
      </c>
      <c r="AQ79" s="30" t="n">
        <f aca="false">MAX(0,MIN(AH79,AN79+AO79-AP79))</f>
        <v>0</v>
      </c>
      <c r="AR79" s="29" t="n">
        <f aca="false">AH79-AQ79</f>
        <v>690</v>
      </c>
      <c r="AS79" s="34" t="n">
        <f aca="false">AN79+AO79-AP79-AQ79</f>
        <v>0</v>
      </c>
      <c r="AT79" s="34" t="n">
        <f aca="false">AW78</f>
        <v>5826.5573890114</v>
      </c>
      <c r="AU79" s="34" t="n">
        <f aca="false">AT79*$AN$5/12</f>
        <v>26.7050546996356</v>
      </c>
      <c r="AV79" s="29" t="n">
        <f aca="false">MIN($AN$6,AT79+AU79)</f>
        <v>130</v>
      </c>
      <c r="AW79" s="34" t="n">
        <f aca="false">AT79+AU79-AV79</f>
        <v>5723.26244371103</v>
      </c>
      <c r="AX79" s="30" t="n">
        <f aca="false">BC78</f>
        <v>0</v>
      </c>
      <c r="AY79" s="30" t="n">
        <f aca="false">AX79*$AX$5/12</f>
        <v>0</v>
      </c>
      <c r="AZ79" s="30" t="n">
        <f aca="false">MIN($AX$6,AX79+AY79)</f>
        <v>0</v>
      </c>
      <c r="BA79" s="30" t="n">
        <f aca="false">MAX(0,MIN(AR79,AX79+AY79-AZ79))</f>
        <v>0</v>
      </c>
      <c r="BB79" s="29" t="n">
        <f aca="false">AR79-BA79</f>
        <v>690</v>
      </c>
      <c r="BC79" s="30" t="n">
        <f aca="false">AX79+AY79-AZ79-BA79</f>
        <v>0</v>
      </c>
      <c r="BD79" s="30" t="n">
        <f aca="false">BG78</f>
        <v>0</v>
      </c>
      <c r="BE79" s="30" t="n">
        <f aca="false">BD79*$AX$5/12</f>
        <v>0</v>
      </c>
      <c r="BF79" s="30" t="n">
        <f aca="false">MIN($AX$6,BD79+BE79)</f>
        <v>0</v>
      </c>
      <c r="BG79" s="30" t="n">
        <f aca="false">BD79+BE79-BF79</f>
        <v>0</v>
      </c>
      <c r="BH79" s="30" t="n">
        <f aca="false">BM78</f>
        <v>0</v>
      </c>
      <c r="BI79" s="30" t="n">
        <f aca="false">BH79*$BH$5/12</f>
        <v>0</v>
      </c>
      <c r="BJ79" s="30" t="n">
        <f aca="false">MIN($BH$6,BH79+BI79)</f>
        <v>0</v>
      </c>
      <c r="BK79" s="30" t="n">
        <f aca="false">MAX(0,MIN(BB79,BH79+BI79-BJ79))</f>
        <v>0</v>
      </c>
      <c r="BL79" s="29" t="n">
        <f aca="false">BB79-BK79</f>
        <v>690</v>
      </c>
      <c r="BM79" s="30" t="n">
        <f aca="false">BH79+BI79-BJ79-BK79</f>
        <v>0</v>
      </c>
      <c r="BN79" s="30" t="n">
        <f aca="false">BQ78</f>
        <v>0</v>
      </c>
      <c r="BO79" s="30" t="n">
        <f aca="false">BN79*$BH$5/12</f>
        <v>0</v>
      </c>
      <c r="BP79" s="30" t="n">
        <f aca="false">MIN($BH$6,BN79+BO79)</f>
        <v>0</v>
      </c>
      <c r="BQ79" s="30" t="n">
        <f aca="false">BN79+BO79-BP79</f>
        <v>0</v>
      </c>
      <c r="BR79" s="30" t="n">
        <f aca="false">BW78</f>
        <v>0</v>
      </c>
      <c r="BS79" s="30" t="n">
        <f aca="false">BR79*$BR$5/12</f>
        <v>0</v>
      </c>
      <c r="BT79" s="30" t="n">
        <f aca="false">MIN($BR$6,BR79+BS79)</f>
        <v>0</v>
      </c>
      <c r="BU79" s="30" t="n">
        <f aca="false">MAX(0,MIN(BL79,BR79+BS79-BT79))</f>
        <v>0</v>
      </c>
      <c r="BV79" s="29" t="n">
        <f aca="false">BL79-BU79</f>
        <v>690</v>
      </c>
      <c r="BW79" s="30" t="n">
        <f aca="false">BR79+BS79-BT79-BU79</f>
        <v>0</v>
      </c>
      <c r="BX79" s="30" t="n">
        <f aca="false">CA78</f>
        <v>0</v>
      </c>
      <c r="BY79" s="30" t="n">
        <f aca="false">BX79*$BR$5/12</f>
        <v>0</v>
      </c>
      <c r="BZ79" s="30" t="n">
        <f aca="false">MIN($BR$6,BX79+BY79)</f>
        <v>0</v>
      </c>
      <c r="CA79" s="30" t="n">
        <f aca="false">BX79+BY79-BZ79</f>
        <v>0</v>
      </c>
      <c r="CB79" s="30" t="n">
        <f aca="false">CG78</f>
        <v>0</v>
      </c>
      <c r="CC79" s="30" t="n">
        <f aca="false">CB79*$CB$5/12</f>
        <v>0</v>
      </c>
      <c r="CD79" s="30" t="n">
        <f aca="false">MIN($CB$6,CB79+CC79)</f>
        <v>0</v>
      </c>
      <c r="CE79" s="30" t="n">
        <f aca="false">MAX(0,MIN(BV79,CB79+CC79-CD79))</f>
        <v>0</v>
      </c>
      <c r="CF79" s="29" t="n">
        <f aca="false">BV79-CE79</f>
        <v>690</v>
      </c>
      <c r="CG79" s="30" t="n">
        <f aca="false">CB79+CC79-CD79-CE79</f>
        <v>0</v>
      </c>
      <c r="CH79" s="30" t="n">
        <f aca="false">CK78</f>
        <v>0</v>
      </c>
      <c r="CI79" s="30" t="n">
        <f aca="false">CH79*$CB$5/12</f>
        <v>0</v>
      </c>
      <c r="CJ79" s="30" t="n">
        <f aca="false">MIN($CB$6,CH79+CI79)</f>
        <v>0</v>
      </c>
      <c r="CK79" s="30" t="n">
        <f aca="false">CH79+CI79-CJ79</f>
        <v>0</v>
      </c>
    </row>
    <row r="80" customFormat="false" ht="15" hidden="false" customHeight="false" outlineLevel="0" collapsed="false">
      <c r="A80" s="0" t="n">
        <v>72</v>
      </c>
      <c r="B80" s="29" t="n">
        <f aca="false">'1 Your debts'!$B$16-(L80+V80+AF80+AP80+AZ80+BJ80+BT80+CD80)</f>
        <v>690</v>
      </c>
      <c r="C80" s="34" t="n">
        <f aca="false">O80+Y80+AI80+AS80+BC80+BM80+BW80+CG80</f>
        <v>0</v>
      </c>
      <c r="D80" s="34" t="n">
        <f aca="false">K80+U80+AE80+AO80+AY80+BI80+BS80+CC80</f>
        <v>0</v>
      </c>
      <c r="F80" s="34" t="n">
        <f aca="false">S80+AC80+AM80+AW80+BG80+BQ80+CA80+CK80</f>
        <v>6947.74798753877</v>
      </c>
      <c r="G80" s="34" t="n">
        <f aca="false">Q80+AA80+AK80+AU80+BE80+BO80+BY80+CI80</f>
        <v>55.4702382718763</v>
      </c>
      <c r="J80" s="34" t="n">
        <f aca="false">O79</f>
        <v>0</v>
      </c>
      <c r="K80" s="34" t="n">
        <f aca="false">J80*$J$5/12</f>
        <v>0</v>
      </c>
      <c r="L80" s="29" t="n">
        <f aca="false">MIN($J$6,J80+K80)</f>
        <v>0</v>
      </c>
      <c r="M80" s="30" t="n">
        <f aca="false">MAX(0,MIN($B80,J80+K80-L80))</f>
        <v>0</v>
      </c>
      <c r="N80" s="29" t="n">
        <f aca="false">$B80-M80</f>
        <v>690</v>
      </c>
      <c r="O80" s="34" t="n">
        <f aca="false">J80+K80-L80-M80</f>
        <v>0</v>
      </c>
      <c r="P80" s="34" t="n">
        <f aca="false">S79</f>
        <v>1404.01530555586</v>
      </c>
      <c r="Q80" s="34" t="n">
        <f aca="false">P80*$J$5/12</f>
        <v>29.2386187382008</v>
      </c>
      <c r="R80" s="29" t="n">
        <f aca="false">MIN($J$6,P80+Q80)</f>
        <v>105</v>
      </c>
      <c r="S80" s="34" t="n">
        <f aca="false">P80+Q80-R80</f>
        <v>1328.25392429406</v>
      </c>
      <c r="T80" s="34" t="n">
        <f aca="false">Y79</f>
        <v>0</v>
      </c>
      <c r="U80" s="34" t="n">
        <f aca="false">T80*$T$5/12</f>
        <v>0</v>
      </c>
      <c r="V80" s="29" t="n">
        <f aca="false">MIN($T$6,T80+U80)</f>
        <v>0</v>
      </c>
      <c r="W80" s="30" t="n">
        <f aca="false">MAX(0,MIN(N80,T80+U80-V80))</f>
        <v>0</v>
      </c>
      <c r="X80" s="29" t="n">
        <f aca="false">N80-W80</f>
        <v>690</v>
      </c>
      <c r="Y80" s="34" t="n">
        <f aca="false">T80+U80-V80-W80</f>
        <v>0</v>
      </c>
      <c r="Z80" s="34" t="n">
        <f aca="false">AC79</f>
        <v>0</v>
      </c>
      <c r="AA80" s="34" t="n">
        <f aca="false">Z80*$T$5/12</f>
        <v>0</v>
      </c>
      <c r="AB80" s="29" t="n">
        <f aca="false">MIN($T$6,Z80+AA80)</f>
        <v>0</v>
      </c>
      <c r="AC80" s="34" t="n">
        <f aca="false">Z80+AA80-AB80</f>
        <v>0</v>
      </c>
      <c r="AD80" s="34" t="n">
        <f aca="false">AI79</f>
        <v>0</v>
      </c>
      <c r="AE80" s="34" t="n">
        <f aca="false">AD80*$AD$5/12</f>
        <v>0</v>
      </c>
      <c r="AF80" s="29" t="n">
        <f aca="false">MIN($AD$6,AD80+AE80)</f>
        <v>0</v>
      </c>
      <c r="AG80" s="30" t="n">
        <f aca="false">MAX(0,MIN(X80,AD80+AE80-AF80))</f>
        <v>0</v>
      </c>
      <c r="AH80" s="29" t="n">
        <f aca="false">X80-AG80</f>
        <v>690</v>
      </c>
      <c r="AI80" s="34" t="n">
        <f aca="false">AD80+AE80-AF80-AG80</f>
        <v>0</v>
      </c>
      <c r="AJ80" s="34" t="n">
        <f aca="false">AM79</f>
        <v>0</v>
      </c>
      <c r="AK80" s="34" t="n">
        <f aca="false">AJ80*$AD$5/12</f>
        <v>0</v>
      </c>
      <c r="AL80" s="29" t="n">
        <f aca="false">MIN($AD$6,AJ80+AK80)</f>
        <v>0</v>
      </c>
      <c r="AM80" s="34" t="n">
        <f aca="false">AJ80+AK80-AL80</f>
        <v>0</v>
      </c>
      <c r="AN80" s="34" t="n">
        <f aca="false">AS79</f>
        <v>0</v>
      </c>
      <c r="AO80" s="34" t="n">
        <f aca="false">AN80*$AN$5/12</f>
        <v>0</v>
      </c>
      <c r="AP80" s="29" t="n">
        <f aca="false">MIN($AN$6,AN80+AO80)</f>
        <v>0</v>
      </c>
      <c r="AQ80" s="30" t="n">
        <f aca="false">MAX(0,MIN(AH80,AN80+AO80-AP80))</f>
        <v>0</v>
      </c>
      <c r="AR80" s="29" t="n">
        <f aca="false">AH80-AQ80</f>
        <v>690</v>
      </c>
      <c r="AS80" s="34" t="n">
        <f aca="false">AN80+AO80-AP80-AQ80</f>
        <v>0</v>
      </c>
      <c r="AT80" s="34" t="n">
        <f aca="false">AW79</f>
        <v>5723.26244371103</v>
      </c>
      <c r="AU80" s="34" t="n">
        <f aca="false">AT80*$AN$5/12</f>
        <v>26.2316195336756</v>
      </c>
      <c r="AV80" s="29" t="n">
        <f aca="false">MIN($AN$6,AT80+AU80)</f>
        <v>130</v>
      </c>
      <c r="AW80" s="34" t="n">
        <f aca="false">AT80+AU80-AV80</f>
        <v>5619.49406324471</v>
      </c>
      <c r="AX80" s="30" t="n">
        <f aca="false">BC79</f>
        <v>0</v>
      </c>
      <c r="AY80" s="30" t="n">
        <f aca="false">AX80*$AX$5/12</f>
        <v>0</v>
      </c>
      <c r="AZ80" s="30" t="n">
        <f aca="false">MIN($AX$6,AX80+AY80)</f>
        <v>0</v>
      </c>
      <c r="BA80" s="30" t="n">
        <f aca="false">MAX(0,MIN(AR80,AX80+AY80-AZ80))</f>
        <v>0</v>
      </c>
      <c r="BB80" s="29" t="n">
        <f aca="false">AR80-BA80</f>
        <v>690</v>
      </c>
      <c r="BC80" s="30" t="n">
        <f aca="false">AX80+AY80-AZ80-BA80</f>
        <v>0</v>
      </c>
      <c r="BD80" s="30" t="n">
        <f aca="false">BG79</f>
        <v>0</v>
      </c>
      <c r="BE80" s="30" t="n">
        <f aca="false">BD80*$AX$5/12</f>
        <v>0</v>
      </c>
      <c r="BF80" s="30" t="n">
        <f aca="false">MIN($AX$6,BD80+BE80)</f>
        <v>0</v>
      </c>
      <c r="BG80" s="30" t="n">
        <f aca="false">BD80+BE80-BF80</f>
        <v>0</v>
      </c>
      <c r="BH80" s="30" t="n">
        <f aca="false">BM79</f>
        <v>0</v>
      </c>
      <c r="BI80" s="30" t="n">
        <f aca="false">BH80*$BH$5/12</f>
        <v>0</v>
      </c>
      <c r="BJ80" s="30" t="n">
        <f aca="false">MIN($BH$6,BH80+BI80)</f>
        <v>0</v>
      </c>
      <c r="BK80" s="30" t="n">
        <f aca="false">MAX(0,MIN(BB80,BH80+BI80-BJ80))</f>
        <v>0</v>
      </c>
      <c r="BL80" s="29" t="n">
        <f aca="false">BB80-BK80</f>
        <v>690</v>
      </c>
      <c r="BM80" s="30" t="n">
        <f aca="false">BH80+BI80-BJ80-BK80</f>
        <v>0</v>
      </c>
      <c r="BN80" s="30" t="n">
        <f aca="false">BQ79</f>
        <v>0</v>
      </c>
      <c r="BO80" s="30" t="n">
        <f aca="false">BN80*$BH$5/12</f>
        <v>0</v>
      </c>
      <c r="BP80" s="30" t="n">
        <f aca="false">MIN($BH$6,BN80+BO80)</f>
        <v>0</v>
      </c>
      <c r="BQ80" s="30" t="n">
        <f aca="false">BN80+BO80-BP80</f>
        <v>0</v>
      </c>
      <c r="BR80" s="30" t="n">
        <f aca="false">BW79</f>
        <v>0</v>
      </c>
      <c r="BS80" s="30" t="n">
        <f aca="false">BR80*$BR$5/12</f>
        <v>0</v>
      </c>
      <c r="BT80" s="30" t="n">
        <f aca="false">MIN($BR$6,BR80+BS80)</f>
        <v>0</v>
      </c>
      <c r="BU80" s="30" t="n">
        <f aca="false">MAX(0,MIN(BL80,BR80+BS80-BT80))</f>
        <v>0</v>
      </c>
      <c r="BV80" s="29" t="n">
        <f aca="false">BL80-BU80</f>
        <v>690</v>
      </c>
      <c r="BW80" s="30" t="n">
        <f aca="false">BR80+BS80-BT80-BU80</f>
        <v>0</v>
      </c>
      <c r="BX80" s="30" t="n">
        <f aca="false">CA79</f>
        <v>0</v>
      </c>
      <c r="BY80" s="30" t="n">
        <f aca="false">BX80*$BR$5/12</f>
        <v>0</v>
      </c>
      <c r="BZ80" s="30" t="n">
        <f aca="false">MIN($BR$6,BX80+BY80)</f>
        <v>0</v>
      </c>
      <c r="CA80" s="30" t="n">
        <f aca="false">BX80+BY80-BZ80</f>
        <v>0</v>
      </c>
      <c r="CB80" s="30" t="n">
        <f aca="false">CG79</f>
        <v>0</v>
      </c>
      <c r="CC80" s="30" t="n">
        <f aca="false">CB80*$CB$5/12</f>
        <v>0</v>
      </c>
      <c r="CD80" s="30" t="n">
        <f aca="false">MIN($CB$6,CB80+CC80)</f>
        <v>0</v>
      </c>
      <c r="CE80" s="30" t="n">
        <f aca="false">MAX(0,MIN(BV80,CB80+CC80-CD80))</f>
        <v>0</v>
      </c>
      <c r="CF80" s="29" t="n">
        <f aca="false">BV80-CE80</f>
        <v>690</v>
      </c>
      <c r="CG80" s="30" t="n">
        <f aca="false">CB80+CC80-CD80-CE80</f>
        <v>0</v>
      </c>
      <c r="CH80" s="30" t="n">
        <f aca="false">CK79</f>
        <v>0</v>
      </c>
      <c r="CI80" s="30" t="n">
        <f aca="false">CH80*$CB$5/12</f>
        <v>0</v>
      </c>
      <c r="CJ80" s="30" t="n">
        <f aca="false">MIN($CB$6,CH80+CI80)</f>
        <v>0</v>
      </c>
      <c r="CK80" s="30" t="n">
        <f aca="false">CH80+CI80-CJ80</f>
        <v>0</v>
      </c>
    </row>
    <row r="81" customFormat="false" ht="15" hidden="false" customHeight="false" outlineLevel="0" collapsed="false">
      <c r="A81" s="0" t="n">
        <v>73</v>
      </c>
      <c r="B81" s="29" t="n">
        <f aca="false">'1 Your debts'!$B$16-(L81+V81+AF81+AP81+AZ81+BJ81+BT81+CD81)</f>
        <v>690</v>
      </c>
      <c r="C81" s="34" t="n">
        <f aca="false">O81+Y81+AI81+AS81+BC81+BM81+BW81+CG81</f>
        <v>0</v>
      </c>
      <c r="D81" s="34" t="n">
        <f aca="false">K81+U81+AE81+AO81+AY81+BI81+BS81+CC81</f>
        <v>0</v>
      </c>
      <c r="F81" s="34" t="n">
        <f aca="false">S81+AC81+AM81+AW81+BG81+BQ81+CA81+CK81</f>
        <v>6766.16488996873</v>
      </c>
      <c r="G81" s="34" t="n">
        <f aca="false">Q81+AA81+AK81+AU81+BE81+BO81+BY81+CI81</f>
        <v>53.416902429962</v>
      </c>
      <c r="J81" s="34" t="n">
        <f aca="false">O80</f>
        <v>0</v>
      </c>
      <c r="K81" s="34" t="n">
        <f aca="false">J81*$J$5/12</f>
        <v>0</v>
      </c>
      <c r="L81" s="29" t="n">
        <f aca="false">MIN($J$6,J81+K81)</f>
        <v>0</v>
      </c>
      <c r="M81" s="30" t="n">
        <f aca="false">MAX(0,MIN($B81,J81+K81-L81))</f>
        <v>0</v>
      </c>
      <c r="N81" s="29" t="n">
        <f aca="false">$B81-M81</f>
        <v>690</v>
      </c>
      <c r="O81" s="34" t="n">
        <f aca="false">J81+K81-L81-M81</f>
        <v>0</v>
      </c>
      <c r="P81" s="34" t="n">
        <f aca="false">S80</f>
        <v>1328.25392429406</v>
      </c>
      <c r="Q81" s="34" t="n">
        <f aca="false">P81*$J$5/12</f>
        <v>27.6608879734238</v>
      </c>
      <c r="R81" s="29" t="n">
        <f aca="false">MIN($J$6,P81+Q81)</f>
        <v>105</v>
      </c>
      <c r="S81" s="34" t="n">
        <f aca="false">P81+Q81-R81</f>
        <v>1250.91481226748</v>
      </c>
      <c r="T81" s="34" t="n">
        <f aca="false">Y80</f>
        <v>0</v>
      </c>
      <c r="U81" s="34" t="n">
        <f aca="false">T81*$T$5/12</f>
        <v>0</v>
      </c>
      <c r="V81" s="29" t="n">
        <f aca="false">MIN($T$6,T81+U81)</f>
        <v>0</v>
      </c>
      <c r="W81" s="30" t="n">
        <f aca="false">MAX(0,MIN(N81,T81+U81-V81))</f>
        <v>0</v>
      </c>
      <c r="X81" s="29" t="n">
        <f aca="false">N81-W81</f>
        <v>690</v>
      </c>
      <c r="Y81" s="34" t="n">
        <f aca="false">T81+U81-V81-W81</f>
        <v>0</v>
      </c>
      <c r="Z81" s="34" t="n">
        <f aca="false">AC80</f>
        <v>0</v>
      </c>
      <c r="AA81" s="34" t="n">
        <f aca="false">Z81*$T$5/12</f>
        <v>0</v>
      </c>
      <c r="AB81" s="29" t="n">
        <f aca="false">MIN($T$6,Z81+AA81)</f>
        <v>0</v>
      </c>
      <c r="AC81" s="34" t="n">
        <f aca="false">Z81+AA81-AB81</f>
        <v>0</v>
      </c>
      <c r="AD81" s="34" t="n">
        <f aca="false">AI80</f>
        <v>0</v>
      </c>
      <c r="AE81" s="34" t="n">
        <f aca="false">AD81*$AD$5/12</f>
        <v>0</v>
      </c>
      <c r="AF81" s="29" t="n">
        <f aca="false">MIN($AD$6,AD81+AE81)</f>
        <v>0</v>
      </c>
      <c r="AG81" s="30" t="n">
        <f aca="false">MAX(0,MIN(X81,AD81+AE81-AF81))</f>
        <v>0</v>
      </c>
      <c r="AH81" s="29" t="n">
        <f aca="false">X81-AG81</f>
        <v>690</v>
      </c>
      <c r="AI81" s="34" t="n">
        <f aca="false">AD81+AE81-AF81-AG81</f>
        <v>0</v>
      </c>
      <c r="AJ81" s="34" t="n">
        <f aca="false">AM80</f>
        <v>0</v>
      </c>
      <c r="AK81" s="34" t="n">
        <f aca="false">AJ81*$AD$5/12</f>
        <v>0</v>
      </c>
      <c r="AL81" s="29" t="n">
        <f aca="false">MIN($AD$6,AJ81+AK81)</f>
        <v>0</v>
      </c>
      <c r="AM81" s="34" t="n">
        <f aca="false">AJ81+AK81-AL81</f>
        <v>0</v>
      </c>
      <c r="AN81" s="34" t="n">
        <f aca="false">AS80</f>
        <v>0</v>
      </c>
      <c r="AO81" s="34" t="n">
        <f aca="false">AN81*$AN$5/12</f>
        <v>0</v>
      </c>
      <c r="AP81" s="29" t="n">
        <f aca="false">MIN($AN$6,AN81+AO81)</f>
        <v>0</v>
      </c>
      <c r="AQ81" s="30" t="n">
        <f aca="false">MAX(0,MIN(AH81,AN81+AO81-AP81))</f>
        <v>0</v>
      </c>
      <c r="AR81" s="29" t="n">
        <f aca="false">AH81-AQ81</f>
        <v>690</v>
      </c>
      <c r="AS81" s="34" t="n">
        <f aca="false">AN81+AO81-AP81-AQ81</f>
        <v>0</v>
      </c>
      <c r="AT81" s="34" t="n">
        <f aca="false">AW80</f>
        <v>5619.49406324471</v>
      </c>
      <c r="AU81" s="34" t="n">
        <f aca="false">AT81*$AN$5/12</f>
        <v>25.7560144565383</v>
      </c>
      <c r="AV81" s="29" t="n">
        <f aca="false">MIN($AN$6,AT81+AU81)</f>
        <v>130</v>
      </c>
      <c r="AW81" s="34" t="n">
        <f aca="false">AT81+AU81-AV81</f>
        <v>5515.25007770125</v>
      </c>
      <c r="AX81" s="30" t="n">
        <f aca="false">BC80</f>
        <v>0</v>
      </c>
      <c r="AY81" s="30" t="n">
        <f aca="false">AX81*$AX$5/12</f>
        <v>0</v>
      </c>
      <c r="AZ81" s="30" t="n">
        <f aca="false">MIN($AX$6,AX81+AY81)</f>
        <v>0</v>
      </c>
      <c r="BA81" s="30" t="n">
        <f aca="false">MAX(0,MIN(AR81,AX81+AY81-AZ81))</f>
        <v>0</v>
      </c>
      <c r="BB81" s="29" t="n">
        <f aca="false">AR81-BA81</f>
        <v>690</v>
      </c>
      <c r="BC81" s="30" t="n">
        <f aca="false">AX81+AY81-AZ81-BA81</f>
        <v>0</v>
      </c>
      <c r="BD81" s="30" t="n">
        <f aca="false">BG80</f>
        <v>0</v>
      </c>
      <c r="BE81" s="30" t="n">
        <f aca="false">BD81*$AX$5/12</f>
        <v>0</v>
      </c>
      <c r="BF81" s="30" t="n">
        <f aca="false">MIN($AX$6,BD81+BE81)</f>
        <v>0</v>
      </c>
      <c r="BG81" s="30" t="n">
        <f aca="false">BD81+BE81-BF81</f>
        <v>0</v>
      </c>
      <c r="BH81" s="30" t="n">
        <f aca="false">BM80</f>
        <v>0</v>
      </c>
      <c r="BI81" s="30" t="n">
        <f aca="false">BH81*$BH$5/12</f>
        <v>0</v>
      </c>
      <c r="BJ81" s="30" t="n">
        <f aca="false">MIN($BH$6,BH81+BI81)</f>
        <v>0</v>
      </c>
      <c r="BK81" s="30" t="n">
        <f aca="false">MAX(0,MIN(BB81,BH81+BI81-BJ81))</f>
        <v>0</v>
      </c>
      <c r="BL81" s="29" t="n">
        <f aca="false">BB81-BK81</f>
        <v>690</v>
      </c>
      <c r="BM81" s="30" t="n">
        <f aca="false">BH81+BI81-BJ81-BK81</f>
        <v>0</v>
      </c>
      <c r="BN81" s="30" t="n">
        <f aca="false">BQ80</f>
        <v>0</v>
      </c>
      <c r="BO81" s="30" t="n">
        <f aca="false">BN81*$BH$5/12</f>
        <v>0</v>
      </c>
      <c r="BP81" s="30" t="n">
        <f aca="false">MIN($BH$6,BN81+BO81)</f>
        <v>0</v>
      </c>
      <c r="BQ81" s="30" t="n">
        <f aca="false">BN81+BO81-BP81</f>
        <v>0</v>
      </c>
      <c r="BR81" s="30" t="n">
        <f aca="false">BW80</f>
        <v>0</v>
      </c>
      <c r="BS81" s="30" t="n">
        <f aca="false">BR81*$BR$5/12</f>
        <v>0</v>
      </c>
      <c r="BT81" s="30" t="n">
        <f aca="false">MIN($BR$6,BR81+BS81)</f>
        <v>0</v>
      </c>
      <c r="BU81" s="30" t="n">
        <f aca="false">MAX(0,MIN(BL81,BR81+BS81-BT81))</f>
        <v>0</v>
      </c>
      <c r="BV81" s="29" t="n">
        <f aca="false">BL81-BU81</f>
        <v>690</v>
      </c>
      <c r="BW81" s="30" t="n">
        <f aca="false">BR81+BS81-BT81-BU81</f>
        <v>0</v>
      </c>
      <c r="BX81" s="30" t="n">
        <f aca="false">CA80</f>
        <v>0</v>
      </c>
      <c r="BY81" s="30" t="n">
        <f aca="false">BX81*$BR$5/12</f>
        <v>0</v>
      </c>
      <c r="BZ81" s="30" t="n">
        <f aca="false">MIN($BR$6,BX81+BY81)</f>
        <v>0</v>
      </c>
      <c r="CA81" s="30" t="n">
        <f aca="false">BX81+BY81-BZ81</f>
        <v>0</v>
      </c>
      <c r="CB81" s="30" t="n">
        <f aca="false">CG80</f>
        <v>0</v>
      </c>
      <c r="CC81" s="30" t="n">
        <f aca="false">CB81*$CB$5/12</f>
        <v>0</v>
      </c>
      <c r="CD81" s="30" t="n">
        <f aca="false">MIN($CB$6,CB81+CC81)</f>
        <v>0</v>
      </c>
      <c r="CE81" s="30" t="n">
        <f aca="false">MAX(0,MIN(BV81,CB81+CC81-CD81))</f>
        <v>0</v>
      </c>
      <c r="CF81" s="29" t="n">
        <f aca="false">BV81-CE81</f>
        <v>690</v>
      </c>
      <c r="CG81" s="30" t="n">
        <f aca="false">CB81+CC81-CD81-CE81</f>
        <v>0</v>
      </c>
      <c r="CH81" s="30" t="n">
        <f aca="false">CK80</f>
        <v>0</v>
      </c>
      <c r="CI81" s="30" t="n">
        <f aca="false">CH81*$CB$5/12</f>
        <v>0</v>
      </c>
      <c r="CJ81" s="30" t="n">
        <f aca="false">MIN($CB$6,CH81+CI81)</f>
        <v>0</v>
      </c>
      <c r="CK81" s="30" t="n">
        <f aca="false">CH81+CI81-CJ81</f>
        <v>0</v>
      </c>
    </row>
    <row r="82" customFormat="false" ht="15" hidden="false" customHeight="false" outlineLevel="0" collapsed="false">
      <c r="A82" s="0" t="n">
        <v>74</v>
      </c>
      <c r="B82" s="29" t="n">
        <f aca="false">'1 Your debts'!$B$16-(L82+V82+AF82+AP82+AZ82+BJ82+BT82+CD82)</f>
        <v>690</v>
      </c>
      <c r="C82" s="34" t="n">
        <f aca="false">O82+Y82+AI82+AS82+BC82+BM82+BW82+CG82</f>
        <v>0</v>
      </c>
      <c r="D82" s="34" t="n">
        <f aca="false">K82+U82+AE82+AO82+AY82+BI82+BS82+CC82</f>
        <v>0</v>
      </c>
      <c r="F82" s="34" t="n">
        <f aca="false">S82+AC82+AM82+AW82+BG82+BQ82+CA82+CK82</f>
        <v>6582.493420457</v>
      </c>
      <c r="G82" s="34" t="n">
        <f aca="false">Q82+AA82+AK82+AU82+BE82+BO82+BY82+CI82</f>
        <v>51.3285304882677</v>
      </c>
      <c r="J82" s="34" t="n">
        <f aca="false">O81</f>
        <v>0</v>
      </c>
      <c r="K82" s="34" t="n">
        <f aca="false">J82*$J$5/12</f>
        <v>0</v>
      </c>
      <c r="L82" s="29" t="n">
        <f aca="false">MIN($J$6,J82+K82)</f>
        <v>0</v>
      </c>
      <c r="M82" s="30" t="n">
        <f aca="false">MAX(0,MIN($B82,J82+K82-L82))</f>
        <v>0</v>
      </c>
      <c r="N82" s="29" t="n">
        <f aca="false">$B82-M82</f>
        <v>690</v>
      </c>
      <c r="O82" s="34" t="n">
        <f aca="false">J82+K82-L82-M82</f>
        <v>0</v>
      </c>
      <c r="P82" s="34" t="n">
        <f aca="false">S81</f>
        <v>1250.91481226748</v>
      </c>
      <c r="Q82" s="34" t="n">
        <f aca="false">P82*$J$5/12</f>
        <v>26.0503009654703</v>
      </c>
      <c r="R82" s="29" t="n">
        <f aca="false">MIN($J$6,P82+Q82)</f>
        <v>105</v>
      </c>
      <c r="S82" s="34" t="n">
        <f aca="false">P82+Q82-R82</f>
        <v>1171.96511323295</v>
      </c>
      <c r="T82" s="34" t="n">
        <f aca="false">Y81</f>
        <v>0</v>
      </c>
      <c r="U82" s="34" t="n">
        <f aca="false">T82*$T$5/12</f>
        <v>0</v>
      </c>
      <c r="V82" s="29" t="n">
        <f aca="false">MIN($T$6,T82+U82)</f>
        <v>0</v>
      </c>
      <c r="W82" s="30" t="n">
        <f aca="false">MAX(0,MIN(N82,T82+U82-V82))</f>
        <v>0</v>
      </c>
      <c r="X82" s="29" t="n">
        <f aca="false">N82-W82</f>
        <v>690</v>
      </c>
      <c r="Y82" s="34" t="n">
        <f aca="false">T82+U82-V82-W82</f>
        <v>0</v>
      </c>
      <c r="Z82" s="34" t="n">
        <f aca="false">AC81</f>
        <v>0</v>
      </c>
      <c r="AA82" s="34" t="n">
        <f aca="false">Z82*$T$5/12</f>
        <v>0</v>
      </c>
      <c r="AB82" s="29" t="n">
        <f aca="false">MIN($T$6,Z82+AA82)</f>
        <v>0</v>
      </c>
      <c r="AC82" s="34" t="n">
        <f aca="false">Z82+AA82-AB82</f>
        <v>0</v>
      </c>
      <c r="AD82" s="34" t="n">
        <f aca="false">AI81</f>
        <v>0</v>
      </c>
      <c r="AE82" s="34" t="n">
        <f aca="false">AD82*$AD$5/12</f>
        <v>0</v>
      </c>
      <c r="AF82" s="29" t="n">
        <f aca="false">MIN($AD$6,AD82+AE82)</f>
        <v>0</v>
      </c>
      <c r="AG82" s="30" t="n">
        <f aca="false">MAX(0,MIN(X82,AD82+AE82-AF82))</f>
        <v>0</v>
      </c>
      <c r="AH82" s="29" t="n">
        <f aca="false">X82-AG82</f>
        <v>690</v>
      </c>
      <c r="AI82" s="34" t="n">
        <f aca="false">AD82+AE82-AF82-AG82</f>
        <v>0</v>
      </c>
      <c r="AJ82" s="34" t="n">
        <f aca="false">AM81</f>
        <v>0</v>
      </c>
      <c r="AK82" s="34" t="n">
        <f aca="false">AJ82*$AD$5/12</f>
        <v>0</v>
      </c>
      <c r="AL82" s="29" t="n">
        <f aca="false">MIN($AD$6,AJ82+AK82)</f>
        <v>0</v>
      </c>
      <c r="AM82" s="34" t="n">
        <f aca="false">AJ82+AK82-AL82</f>
        <v>0</v>
      </c>
      <c r="AN82" s="34" t="n">
        <f aca="false">AS81</f>
        <v>0</v>
      </c>
      <c r="AO82" s="34" t="n">
        <f aca="false">AN82*$AN$5/12</f>
        <v>0</v>
      </c>
      <c r="AP82" s="29" t="n">
        <f aca="false">MIN($AN$6,AN82+AO82)</f>
        <v>0</v>
      </c>
      <c r="AQ82" s="30" t="n">
        <f aca="false">MAX(0,MIN(AH82,AN82+AO82-AP82))</f>
        <v>0</v>
      </c>
      <c r="AR82" s="29" t="n">
        <f aca="false">AH82-AQ82</f>
        <v>690</v>
      </c>
      <c r="AS82" s="34" t="n">
        <f aca="false">AN82+AO82-AP82-AQ82</f>
        <v>0</v>
      </c>
      <c r="AT82" s="34" t="n">
        <f aca="false">AW81</f>
        <v>5515.25007770125</v>
      </c>
      <c r="AU82" s="34" t="n">
        <f aca="false">AT82*$AN$5/12</f>
        <v>25.2782295227974</v>
      </c>
      <c r="AV82" s="29" t="n">
        <f aca="false">MIN($AN$6,AT82+AU82)</f>
        <v>130</v>
      </c>
      <c r="AW82" s="34" t="n">
        <f aca="false">AT82+AU82-AV82</f>
        <v>5410.52830722404</v>
      </c>
      <c r="AX82" s="30" t="n">
        <f aca="false">BC81</f>
        <v>0</v>
      </c>
      <c r="AY82" s="30" t="n">
        <f aca="false">AX82*$AX$5/12</f>
        <v>0</v>
      </c>
      <c r="AZ82" s="30" t="n">
        <f aca="false">MIN($AX$6,AX82+AY82)</f>
        <v>0</v>
      </c>
      <c r="BA82" s="30" t="n">
        <f aca="false">MAX(0,MIN(AR82,AX82+AY82-AZ82))</f>
        <v>0</v>
      </c>
      <c r="BB82" s="29" t="n">
        <f aca="false">AR82-BA82</f>
        <v>690</v>
      </c>
      <c r="BC82" s="30" t="n">
        <f aca="false">AX82+AY82-AZ82-BA82</f>
        <v>0</v>
      </c>
      <c r="BD82" s="30" t="n">
        <f aca="false">BG81</f>
        <v>0</v>
      </c>
      <c r="BE82" s="30" t="n">
        <f aca="false">BD82*$AX$5/12</f>
        <v>0</v>
      </c>
      <c r="BF82" s="30" t="n">
        <f aca="false">MIN($AX$6,BD82+BE82)</f>
        <v>0</v>
      </c>
      <c r="BG82" s="30" t="n">
        <f aca="false">BD82+BE82-BF82</f>
        <v>0</v>
      </c>
      <c r="BH82" s="30" t="n">
        <f aca="false">BM81</f>
        <v>0</v>
      </c>
      <c r="BI82" s="30" t="n">
        <f aca="false">BH82*$BH$5/12</f>
        <v>0</v>
      </c>
      <c r="BJ82" s="30" t="n">
        <f aca="false">MIN($BH$6,BH82+BI82)</f>
        <v>0</v>
      </c>
      <c r="BK82" s="30" t="n">
        <f aca="false">MAX(0,MIN(BB82,BH82+BI82-BJ82))</f>
        <v>0</v>
      </c>
      <c r="BL82" s="29" t="n">
        <f aca="false">BB82-BK82</f>
        <v>690</v>
      </c>
      <c r="BM82" s="30" t="n">
        <f aca="false">BH82+BI82-BJ82-BK82</f>
        <v>0</v>
      </c>
      <c r="BN82" s="30" t="n">
        <f aca="false">BQ81</f>
        <v>0</v>
      </c>
      <c r="BO82" s="30" t="n">
        <f aca="false">BN82*$BH$5/12</f>
        <v>0</v>
      </c>
      <c r="BP82" s="30" t="n">
        <f aca="false">MIN($BH$6,BN82+BO82)</f>
        <v>0</v>
      </c>
      <c r="BQ82" s="30" t="n">
        <f aca="false">BN82+BO82-BP82</f>
        <v>0</v>
      </c>
      <c r="BR82" s="30" t="n">
        <f aca="false">BW81</f>
        <v>0</v>
      </c>
      <c r="BS82" s="30" t="n">
        <f aca="false">BR82*$BR$5/12</f>
        <v>0</v>
      </c>
      <c r="BT82" s="30" t="n">
        <f aca="false">MIN($BR$6,BR82+BS82)</f>
        <v>0</v>
      </c>
      <c r="BU82" s="30" t="n">
        <f aca="false">MAX(0,MIN(BL82,BR82+BS82-BT82))</f>
        <v>0</v>
      </c>
      <c r="BV82" s="29" t="n">
        <f aca="false">BL82-BU82</f>
        <v>690</v>
      </c>
      <c r="BW82" s="30" t="n">
        <f aca="false">BR82+BS82-BT82-BU82</f>
        <v>0</v>
      </c>
      <c r="BX82" s="30" t="n">
        <f aca="false">CA81</f>
        <v>0</v>
      </c>
      <c r="BY82" s="30" t="n">
        <f aca="false">BX82*$BR$5/12</f>
        <v>0</v>
      </c>
      <c r="BZ82" s="30" t="n">
        <f aca="false">MIN($BR$6,BX82+BY82)</f>
        <v>0</v>
      </c>
      <c r="CA82" s="30" t="n">
        <f aca="false">BX82+BY82-BZ82</f>
        <v>0</v>
      </c>
      <c r="CB82" s="30" t="n">
        <f aca="false">CG81</f>
        <v>0</v>
      </c>
      <c r="CC82" s="30" t="n">
        <f aca="false">CB82*$CB$5/12</f>
        <v>0</v>
      </c>
      <c r="CD82" s="30" t="n">
        <f aca="false">MIN($CB$6,CB82+CC82)</f>
        <v>0</v>
      </c>
      <c r="CE82" s="30" t="n">
        <f aca="false">MAX(0,MIN(BV82,CB82+CC82-CD82))</f>
        <v>0</v>
      </c>
      <c r="CF82" s="29" t="n">
        <f aca="false">BV82-CE82</f>
        <v>690</v>
      </c>
      <c r="CG82" s="30" t="n">
        <f aca="false">CB82+CC82-CD82-CE82</f>
        <v>0</v>
      </c>
      <c r="CH82" s="30" t="n">
        <f aca="false">CK81</f>
        <v>0</v>
      </c>
      <c r="CI82" s="30" t="n">
        <f aca="false">CH82*$CB$5/12</f>
        <v>0</v>
      </c>
      <c r="CJ82" s="30" t="n">
        <f aca="false">MIN($CB$6,CH82+CI82)</f>
        <v>0</v>
      </c>
      <c r="CK82" s="30" t="n">
        <f aca="false">CH82+CI82-CJ82</f>
        <v>0</v>
      </c>
    </row>
    <row r="83" customFormat="false" ht="15" hidden="false" customHeight="false" outlineLevel="0" collapsed="false">
      <c r="A83" s="0" t="n">
        <v>75</v>
      </c>
      <c r="B83" s="29" t="n">
        <f aca="false">'1 Your debts'!$B$16-(L83+V83+AF83+AP83+AZ83+BJ83+BT83+CD83)</f>
        <v>690</v>
      </c>
      <c r="C83" s="34" t="n">
        <f aca="false">O83+Y83+AI83+AS83+BC83+BM83+BW83+CG83</f>
        <v>0</v>
      </c>
      <c r="D83" s="34" t="n">
        <f aca="false">K83+U83+AE83+AO83+AY83+BI83+BS83+CC83</f>
        <v>0</v>
      </c>
      <c r="F83" s="34" t="n">
        <f aca="false">S83+AC83+AM83+AW83+BG83+BQ83+CA83+CK83</f>
        <v>6396.69784868152</v>
      </c>
      <c r="G83" s="34" t="n">
        <f aca="false">Q83+AA83+AK83+AU83+BE83+BO83+BY83+CI83</f>
        <v>49.2044282245198</v>
      </c>
      <c r="J83" s="34" t="n">
        <f aca="false">O82</f>
        <v>0</v>
      </c>
      <c r="K83" s="34" t="n">
        <f aca="false">J83*$J$5/12</f>
        <v>0</v>
      </c>
      <c r="L83" s="29" t="n">
        <f aca="false">MIN($J$6,J83+K83)</f>
        <v>0</v>
      </c>
      <c r="M83" s="30" t="n">
        <f aca="false">MAX(0,MIN($B83,J83+K83-L83))</f>
        <v>0</v>
      </c>
      <c r="N83" s="29" t="n">
        <f aca="false">$B83-M83</f>
        <v>690</v>
      </c>
      <c r="O83" s="34" t="n">
        <f aca="false">J83+K83-L83-M83</f>
        <v>0</v>
      </c>
      <c r="P83" s="34" t="n">
        <f aca="false">S82</f>
        <v>1171.96511323295</v>
      </c>
      <c r="Q83" s="34" t="n">
        <f aca="false">P83*$J$5/12</f>
        <v>24.4061734830763</v>
      </c>
      <c r="R83" s="29" t="n">
        <f aca="false">MIN($J$6,P83+Q83)</f>
        <v>105</v>
      </c>
      <c r="S83" s="34" t="n">
        <f aca="false">P83+Q83-R83</f>
        <v>1091.37128671603</v>
      </c>
      <c r="T83" s="34" t="n">
        <f aca="false">Y82</f>
        <v>0</v>
      </c>
      <c r="U83" s="34" t="n">
        <f aca="false">T83*$T$5/12</f>
        <v>0</v>
      </c>
      <c r="V83" s="29" t="n">
        <f aca="false">MIN($T$6,T83+U83)</f>
        <v>0</v>
      </c>
      <c r="W83" s="30" t="n">
        <f aca="false">MAX(0,MIN(N83,T83+U83-V83))</f>
        <v>0</v>
      </c>
      <c r="X83" s="29" t="n">
        <f aca="false">N83-W83</f>
        <v>690</v>
      </c>
      <c r="Y83" s="34" t="n">
        <f aca="false">T83+U83-V83-W83</f>
        <v>0</v>
      </c>
      <c r="Z83" s="34" t="n">
        <f aca="false">AC82</f>
        <v>0</v>
      </c>
      <c r="AA83" s="34" t="n">
        <f aca="false">Z83*$T$5/12</f>
        <v>0</v>
      </c>
      <c r="AB83" s="29" t="n">
        <f aca="false">MIN($T$6,Z83+AA83)</f>
        <v>0</v>
      </c>
      <c r="AC83" s="34" t="n">
        <f aca="false">Z83+AA83-AB83</f>
        <v>0</v>
      </c>
      <c r="AD83" s="34" t="n">
        <f aca="false">AI82</f>
        <v>0</v>
      </c>
      <c r="AE83" s="34" t="n">
        <f aca="false">AD83*$AD$5/12</f>
        <v>0</v>
      </c>
      <c r="AF83" s="29" t="n">
        <f aca="false">MIN($AD$6,AD83+AE83)</f>
        <v>0</v>
      </c>
      <c r="AG83" s="30" t="n">
        <f aca="false">MAX(0,MIN(X83,AD83+AE83-AF83))</f>
        <v>0</v>
      </c>
      <c r="AH83" s="29" t="n">
        <f aca="false">X83-AG83</f>
        <v>690</v>
      </c>
      <c r="AI83" s="34" t="n">
        <f aca="false">AD83+AE83-AF83-AG83</f>
        <v>0</v>
      </c>
      <c r="AJ83" s="34" t="n">
        <f aca="false">AM82</f>
        <v>0</v>
      </c>
      <c r="AK83" s="34" t="n">
        <f aca="false">AJ83*$AD$5/12</f>
        <v>0</v>
      </c>
      <c r="AL83" s="29" t="n">
        <f aca="false">MIN($AD$6,AJ83+AK83)</f>
        <v>0</v>
      </c>
      <c r="AM83" s="34" t="n">
        <f aca="false">AJ83+AK83-AL83</f>
        <v>0</v>
      </c>
      <c r="AN83" s="34" t="n">
        <f aca="false">AS82</f>
        <v>0</v>
      </c>
      <c r="AO83" s="34" t="n">
        <f aca="false">AN83*$AN$5/12</f>
        <v>0</v>
      </c>
      <c r="AP83" s="29" t="n">
        <f aca="false">MIN($AN$6,AN83+AO83)</f>
        <v>0</v>
      </c>
      <c r="AQ83" s="30" t="n">
        <f aca="false">MAX(0,MIN(AH83,AN83+AO83-AP83))</f>
        <v>0</v>
      </c>
      <c r="AR83" s="29" t="n">
        <f aca="false">AH83-AQ83</f>
        <v>690</v>
      </c>
      <c r="AS83" s="34" t="n">
        <f aca="false">AN83+AO83-AP83-AQ83</f>
        <v>0</v>
      </c>
      <c r="AT83" s="34" t="n">
        <f aca="false">AW82</f>
        <v>5410.52830722404</v>
      </c>
      <c r="AU83" s="34" t="n">
        <f aca="false">AT83*$AN$5/12</f>
        <v>24.7982547414435</v>
      </c>
      <c r="AV83" s="29" t="n">
        <f aca="false">MIN($AN$6,AT83+AU83)</f>
        <v>130</v>
      </c>
      <c r="AW83" s="34" t="n">
        <f aca="false">AT83+AU83-AV83</f>
        <v>5305.32656196549</v>
      </c>
      <c r="AX83" s="30" t="n">
        <f aca="false">BC82</f>
        <v>0</v>
      </c>
      <c r="AY83" s="30" t="n">
        <f aca="false">AX83*$AX$5/12</f>
        <v>0</v>
      </c>
      <c r="AZ83" s="30" t="n">
        <f aca="false">MIN($AX$6,AX83+AY83)</f>
        <v>0</v>
      </c>
      <c r="BA83" s="30" t="n">
        <f aca="false">MAX(0,MIN(AR83,AX83+AY83-AZ83))</f>
        <v>0</v>
      </c>
      <c r="BB83" s="29" t="n">
        <f aca="false">AR83-BA83</f>
        <v>690</v>
      </c>
      <c r="BC83" s="30" t="n">
        <f aca="false">AX83+AY83-AZ83-BA83</f>
        <v>0</v>
      </c>
      <c r="BD83" s="30" t="n">
        <f aca="false">BG82</f>
        <v>0</v>
      </c>
      <c r="BE83" s="30" t="n">
        <f aca="false">BD83*$AX$5/12</f>
        <v>0</v>
      </c>
      <c r="BF83" s="30" t="n">
        <f aca="false">MIN($AX$6,BD83+BE83)</f>
        <v>0</v>
      </c>
      <c r="BG83" s="30" t="n">
        <f aca="false">BD83+BE83-BF83</f>
        <v>0</v>
      </c>
      <c r="BH83" s="30" t="n">
        <f aca="false">BM82</f>
        <v>0</v>
      </c>
      <c r="BI83" s="30" t="n">
        <f aca="false">BH83*$BH$5/12</f>
        <v>0</v>
      </c>
      <c r="BJ83" s="30" t="n">
        <f aca="false">MIN($BH$6,BH83+BI83)</f>
        <v>0</v>
      </c>
      <c r="BK83" s="30" t="n">
        <f aca="false">MAX(0,MIN(BB83,BH83+BI83-BJ83))</f>
        <v>0</v>
      </c>
      <c r="BL83" s="29" t="n">
        <f aca="false">BB83-BK83</f>
        <v>690</v>
      </c>
      <c r="BM83" s="30" t="n">
        <f aca="false">BH83+BI83-BJ83-BK83</f>
        <v>0</v>
      </c>
      <c r="BN83" s="30" t="n">
        <f aca="false">BQ82</f>
        <v>0</v>
      </c>
      <c r="BO83" s="30" t="n">
        <f aca="false">BN83*$BH$5/12</f>
        <v>0</v>
      </c>
      <c r="BP83" s="30" t="n">
        <f aca="false">MIN($BH$6,BN83+BO83)</f>
        <v>0</v>
      </c>
      <c r="BQ83" s="30" t="n">
        <f aca="false">BN83+BO83-BP83</f>
        <v>0</v>
      </c>
      <c r="BR83" s="30" t="n">
        <f aca="false">BW82</f>
        <v>0</v>
      </c>
      <c r="BS83" s="30" t="n">
        <f aca="false">BR83*$BR$5/12</f>
        <v>0</v>
      </c>
      <c r="BT83" s="30" t="n">
        <f aca="false">MIN($BR$6,BR83+BS83)</f>
        <v>0</v>
      </c>
      <c r="BU83" s="30" t="n">
        <f aca="false">MAX(0,MIN(BL83,BR83+BS83-BT83))</f>
        <v>0</v>
      </c>
      <c r="BV83" s="29" t="n">
        <f aca="false">BL83-BU83</f>
        <v>690</v>
      </c>
      <c r="BW83" s="30" t="n">
        <f aca="false">BR83+BS83-BT83-BU83</f>
        <v>0</v>
      </c>
      <c r="BX83" s="30" t="n">
        <f aca="false">CA82</f>
        <v>0</v>
      </c>
      <c r="BY83" s="30" t="n">
        <f aca="false">BX83*$BR$5/12</f>
        <v>0</v>
      </c>
      <c r="BZ83" s="30" t="n">
        <f aca="false">MIN($BR$6,BX83+BY83)</f>
        <v>0</v>
      </c>
      <c r="CA83" s="30" t="n">
        <f aca="false">BX83+BY83-BZ83</f>
        <v>0</v>
      </c>
      <c r="CB83" s="30" t="n">
        <f aca="false">CG82</f>
        <v>0</v>
      </c>
      <c r="CC83" s="30" t="n">
        <f aca="false">CB83*$CB$5/12</f>
        <v>0</v>
      </c>
      <c r="CD83" s="30" t="n">
        <f aca="false">MIN($CB$6,CB83+CC83)</f>
        <v>0</v>
      </c>
      <c r="CE83" s="30" t="n">
        <f aca="false">MAX(0,MIN(BV83,CB83+CC83-CD83))</f>
        <v>0</v>
      </c>
      <c r="CF83" s="29" t="n">
        <f aca="false">BV83-CE83</f>
        <v>690</v>
      </c>
      <c r="CG83" s="30" t="n">
        <f aca="false">CB83+CC83-CD83-CE83</f>
        <v>0</v>
      </c>
      <c r="CH83" s="30" t="n">
        <f aca="false">CK82</f>
        <v>0</v>
      </c>
      <c r="CI83" s="30" t="n">
        <f aca="false">CH83*$CB$5/12</f>
        <v>0</v>
      </c>
      <c r="CJ83" s="30" t="n">
        <f aca="false">MIN($CB$6,CH83+CI83)</f>
        <v>0</v>
      </c>
      <c r="CK83" s="30" t="n">
        <f aca="false">CH83+CI83-CJ83</f>
        <v>0</v>
      </c>
    </row>
    <row r="84" customFormat="false" ht="15" hidden="false" customHeight="false" outlineLevel="0" collapsed="false">
      <c r="A84" s="0" t="n">
        <v>76</v>
      </c>
      <c r="B84" s="29" t="n">
        <f aca="false">'1 Your debts'!$B$16-(L84+V84+AF84+AP84+AZ84+BJ84+BT84+CD84)</f>
        <v>690</v>
      </c>
      <c r="C84" s="34" t="n">
        <f aca="false">O84+Y84+AI84+AS84+BC84+BM84+BW84+CG84</f>
        <v>0</v>
      </c>
      <c r="D84" s="34" t="n">
        <f aca="false">K84+U84+AE84+AO84+AY84+BI84+BS84+CC84</f>
        <v>0</v>
      </c>
      <c r="F84" s="34" t="n">
        <f aca="false">S84+AC84+AM84+AW84+BG84+BQ84+CA84+CK84</f>
        <v>6208.74173580305</v>
      </c>
      <c r="G84" s="34" t="n">
        <f aca="false">Q84+AA84+AK84+AU84+BE84+BO84+BY84+CI84</f>
        <v>47.0438871215365</v>
      </c>
      <c r="J84" s="34" t="n">
        <f aca="false">O83</f>
        <v>0</v>
      </c>
      <c r="K84" s="34" t="n">
        <f aca="false">J84*$J$5/12</f>
        <v>0</v>
      </c>
      <c r="L84" s="29" t="n">
        <f aca="false">MIN($J$6,J84+K84)</f>
        <v>0</v>
      </c>
      <c r="M84" s="30" t="n">
        <f aca="false">MAX(0,MIN($B84,J84+K84-L84))</f>
        <v>0</v>
      </c>
      <c r="N84" s="29" t="n">
        <f aca="false">$B84-M84</f>
        <v>690</v>
      </c>
      <c r="O84" s="34" t="n">
        <f aca="false">J84+K84-L84-M84</f>
        <v>0</v>
      </c>
      <c r="P84" s="34" t="n">
        <f aca="false">S83</f>
        <v>1091.37128671603</v>
      </c>
      <c r="Q84" s="34" t="n">
        <f aca="false">P84*$J$5/12</f>
        <v>22.7278070458613</v>
      </c>
      <c r="R84" s="29" t="n">
        <f aca="false">MIN($J$6,P84+Q84)</f>
        <v>105</v>
      </c>
      <c r="S84" s="34" t="n">
        <f aca="false">P84+Q84-R84</f>
        <v>1009.09909376189</v>
      </c>
      <c r="T84" s="34" t="n">
        <f aca="false">Y83</f>
        <v>0</v>
      </c>
      <c r="U84" s="34" t="n">
        <f aca="false">T84*$T$5/12</f>
        <v>0</v>
      </c>
      <c r="V84" s="29" t="n">
        <f aca="false">MIN($T$6,T84+U84)</f>
        <v>0</v>
      </c>
      <c r="W84" s="30" t="n">
        <f aca="false">MAX(0,MIN(N84,T84+U84-V84))</f>
        <v>0</v>
      </c>
      <c r="X84" s="29" t="n">
        <f aca="false">N84-W84</f>
        <v>690</v>
      </c>
      <c r="Y84" s="34" t="n">
        <f aca="false">T84+U84-V84-W84</f>
        <v>0</v>
      </c>
      <c r="Z84" s="34" t="n">
        <f aca="false">AC83</f>
        <v>0</v>
      </c>
      <c r="AA84" s="34" t="n">
        <f aca="false">Z84*$T$5/12</f>
        <v>0</v>
      </c>
      <c r="AB84" s="29" t="n">
        <f aca="false">MIN($T$6,Z84+AA84)</f>
        <v>0</v>
      </c>
      <c r="AC84" s="34" t="n">
        <f aca="false">Z84+AA84-AB84</f>
        <v>0</v>
      </c>
      <c r="AD84" s="34" t="n">
        <f aca="false">AI83</f>
        <v>0</v>
      </c>
      <c r="AE84" s="34" t="n">
        <f aca="false">AD84*$AD$5/12</f>
        <v>0</v>
      </c>
      <c r="AF84" s="29" t="n">
        <f aca="false">MIN($AD$6,AD84+AE84)</f>
        <v>0</v>
      </c>
      <c r="AG84" s="30" t="n">
        <f aca="false">MAX(0,MIN(X84,AD84+AE84-AF84))</f>
        <v>0</v>
      </c>
      <c r="AH84" s="29" t="n">
        <f aca="false">X84-AG84</f>
        <v>690</v>
      </c>
      <c r="AI84" s="34" t="n">
        <f aca="false">AD84+AE84-AF84-AG84</f>
        <v>0</v>
      </c>
      <c r="AJ84" s="34" t="n">
        <f aca="false">AM83</f>
        <v>0</v>
      </c>
      <c r="AK84" s="34" t="n">
        <f aca="false">AJ84*$AD$5/12</f>
        <v>0</v>
      </c>
      <c r="AL84" s="29" t="n">
        <f aca="false">MIN($AD$6,AJ84+AK84)</f>
        <v>0</v>
      </c>
      <c r="AM84" s="34" t="n">
        <f aca="false">AJ84+AK84-AL84</f>
        <v>0</v>
      </c>
      <c r="AN84" s="34" t="n">
        <f aca="false">AS83</f>
        <v>0</v>
      </c>
      <c r="AO84" s="34" t="n">
        <f aca="false">AN84*$AN$5/12</f>
        <v>0</v>
      </c>
      <c r="AP84" s="29" t="n">
        <f aca="false">MIN($AN$6,AN84+AO84)</f>
        <v>0</v>
      </c>
      <c r="AQ84" s="30" t="n">
        <f aca="false">MAX(0,MIN(AH84,AN84+AO84-AP84))</f>
        <v>0</v>
      </c>
      <c r="AR84" s="29" t="n">
        <f aca="false">AH84-AQ84</f>
        <v>690</v>
      </c>
      <c r="AS84" s="34" t="n">
        <f aca="false">AN84+AO84-AP84-AQ84</f>
        <v>0</v>
      </c>
      <c r="AT84" s="34" t="n">
        <f aca="false">AW83</f>
        <v>5305.32656196549</v>
      </c>
      <c r="AU84" s="34" t="n">
        <f aca="false">AT84*$AN$5/12</f>
        <v>24.3160800756752</v>
      </c>
      <c r="AV84" s="29" t="n">
        <f aca="false">MIN($AN$6,AT84+AU84)</f>
        <v>130</v>
      </c>
      <c r="AW84" s="34" t="n">
        <f aca="false">AT84+AU84-AV84</f>
        <v>5199.64264204116</v>
      </c>
      <c r="AX84" s="30" t="n">
        <f aca="false">BC83</f>
        <v>0</v>
      </c>
      <c r="AY84" s="30" t="n">
        <f aca="false">AX84*$AX$5/12</f>
        <v>0</v>
      </c>
      <c r="AZ84" s="30" t="n">
        <f aca="false">MIN($AX$6,AX84+AY84)</f>
        <v>0</v>
      </c>
      <c r="BA84" s="30" t="n">
        <f aca="false">MAX(0,MIN(AR84,AX84+AY84-AZ84))</f>
        <v>0</v>
      </c>
      <c r="BB84" s="29" t="n">
        <f aca="false">AR84-BA84</f>
        <v>690</v>
      </c>
      <c r="BC84" s="30" t="n">
        <f aca="false">AX84+AY84-AZ84-BA84</f>
        <v>0</v>
      </c>
      <c r="BD84" s="30" t="n">
        <f aca="false">BG83</f>
        <v>0</v>
      </c>
      <c r="BE84" s="30" t="n">
        <f aca="false">BD84*$AX$5/12</f>
        <v>0</v>
      </c>
      <c r="BF84" s="30" t="n">
        <f aca="false">MIN($AX$6,BD84+BE84)</f>
        <v>0</v>
      </c>
      <c r="BG84" s="30" t="n">
        <f aca="false">BD84+BE84-BF84</f>
        <v>0</v>
      </c>
      <c r="BH84" s="30" t="n">
        <f aca="false">BM83</f>
        <v>0</v>
      </c>
      <c r="BI84" s="30" t="n">
        <f aca="false">BH84*$BH$5/12</f>
        <v>0</v>
      </c>
      <c r="BJ84" s="30" t="n">
        <f aca="false">MIN($BH$6,BH84+BI84)</f>
        <v>0</v>
      </c>
      <c r="BK84" s="30" t="n">
        <f aca="false">MAX(0,MIN(BB84,BH84+BI84-BJ84))</f>
        <v>0</v>
      </c>
      <c r="BL84" s="29" t="n">
        <f aca="false">BB84-BK84</f>
        <v>690</v>
      </c>
      <c r="BM84" s="30" t="n">
        <f aca="false">BH84+BI84-BJ84-BK84</f>
        <v>0</v>
      </c>
      <c r="BN84" s="30" t="n">
        <f aca="false">BQ83</f>
        <v>0</v>
      </c>
      <c r="BO84" s="30" t="n">
        <f aca="false">BN84*$BH$5/12</f>
        <v>0</v>
      </c>
      <c r="BP84" s="30" t="n">
        <f aca="false">MIN($BH$6,BN84+BO84)</f>
        <v>0</v>
      </c>
      <c r="BQ84" s="30" t="n">
        <f aca="false">BN84+BO84-BP84</f>
        <v>0</v>
      </c>
      <c r="BR84" s="30" t="n">
        <f aca="false">BW83</f>
        <v>0</v>
      </c>
      <c r="BS84" s="30" t="n">
        <f aca="false">BR84*$BR$5/12</f>
        <v>0</v>
      </c>
      <c r="BT84" s="30" t="n">
        <f aca="false">MIN($BR$6,BR84+BS84)</f>
        <v>0</v>
      </c>
      <c r="BU84" s="30" t="n">
        <f aca="false">MAX(0,MIN(BL84,BR84+BS84-BT84))</f>
        <v>0</v>
      </c>
      <c r="BV84" s="29" t="n">
        <f aca="false">BL84-BU84</f>
        <v>690</v>
      </c>
      <c r="BW84" s="30" t="n">
        <f aca="false">BR84+BS84-BT84-BU84</f>
        <v>0</v>
      </c>
      <c r="BX84" s="30" t="n">
        <f aca="false">CA83</f>
        <v>0</v>
      </c>
      <c r="BY84" s="30" t="n">
        <f aca="false">BX84*$BR$5/12</f>
        <v>0</v>
      </c>
      <c r="BZ84" s="30" t="n">
        <f aca="false">MIN($BR$6,BX84+BY84)</f>
        <v>0</v>
      </c>
      <c r="CA84" s="30" t="n">
        <f aca="false">BX84+BY84-BZ84</f>
        <v>0</v>
      </c>
      <c r="CB84" s="30" t="n">
        <f aca="false">CG83</f>
        <v>0</v>
      </c>
      <c r="CC84" s="30" t="n">
        <f aca="false">CB84*$CB$5/12</f>
        <v>0</v>
      </c>
      <c r="CD84" s="30" t="n">
        <f aca="false">MIN($CB$6,CB84+CC84)</f>
        <v>0</v>
      </c>
      <c r="CE84" s="30" t="n">
        <f aca="false">MAX(0,MIN(BV84,CB84+CC84-CD84))</f>
        <v>0</v>
      </c>
      <c r="CF84" s="29" t="n">
        <f aca="false">BV84-CE84</f>
        <v>690</v>
      </c>
      <c r="CG84" s="30" t="n">
        <f aca="false">CB84+CC84-CD84-CE84</f>
        <v>0</v>
      </c>
      <c r="CH84" s="30" t="n">
        <f aca="false">CK83</f>
        <v>0</v>
      </c>
      <c r="CI84" s="30" t="n">
        <f aca="false">CH84*$CB$5/12</f>
        <v>0</v>
      </c>
      <c r="CJ84" s="30" t="n">
        <f aca="false">MIN($CB$6,CH84+CI84)</f>
        <v>0</v>
      </c>
      <c r="CK84" s="30" t="n">
        <f aca="false">CH84+CI84-CJ84</f>
        <v>0</v>
      </c>
    </row>
    <row r="85" customFormat="false" ht="15" hidden="false" customHeight="false" outlineLevel="0" collapsed="false">
      <c r="A85" s="0" t="n">
        <v>77</v>
      </c>
      <c r="B85" s="29" t="n">
        <f aca="false">'1 Your debts'!$B$16-(L85+V85+AF85+AP85+AZ85+BJ85+BT85+CD85)</f>
        <v>690</v>
      </c>
      <c r="C85" s="34" t="n">
        <f aca="false">O85+Y85+AI85+AS85+BC85+BM85+BW85+CG85</f>
        <v>0</v>
      </c>
      <c r="D85" s="34" t="n">
        <f aca="false">K85+U85+AE85+AO85+AY85+BI85+BS85+CC85</f>
        <v>0</v>
      </c>
      <c r="F85" s="34" t="n">
        <f aca="false">S85+AC85+AM85+AW85+BG85+BQ85+CA85+CK85</f>
        <v>6018.58791987333</v>
      </c>
      <c r="G85" s="34" t="n">
        <f aca="false">Q85+AA85+AK85+AU85+BE85+BO85+BY85+CI85</f>
        <v>44.84618407028</v>
      </c>
      <c r="J85" s="34" t="n">
        <f aca="false">O84</f>
        <v>0</v>
      </c>
      <c r="K85" s="34" t="n">
        <f aca="false">J85*$J$5/12</f>
        <v>0</v>
      </c>
      <c r="L85" s="29" t="n">
        <f aca="false">MIN($J$6,J85+K85)</f>
        <v>0</v>
      </c>
      <c r="M85" s="30" t="n">
        <f aca="false">MAX(0,MIN($B85,J85+K85-L85))</f>
        <v>0</v>
      </c>
      <c r="N85" s="29" t="n">
        <f aca="false">$B85-M85</f>
        <v>690</v>
      </c>
      <c r="O85" s="34" t="n">
        <f aca="false">J85+K85-L85-M85</f>
        <v>0</v>
      </c>
      <c r="P85" s="34" t="n">
        <f aca="false">S84</f>
        <v>1009.09909376189</v>
      </c>
      <c r="Q85" s="34" t="n">
        <f aca="false">P85*$J$5/12</f>
        <v>21.0144886275914</v>
      </c>
      <c r="R85" s="29" t="n">
        <f aca="false">MIN($J$6,P85+Q85)</f>
        <v>105</v>
      </c>
      <c r="S85" s="34" t="n">
        <f aca="false">P85+Q85-R85</f>
        <v>925.113582389482</v>
      </c>
      <c r="T85" s="34" t="n">
        <f aca="false">Y84</f>
        <v>0</v>
      </c>
      <c r="U85" s="34" t="n">
        <f aca="false">T85*$T$5/12</f>
        <v>0</v>
      </c>
      <c r="V85" s="29" t="n">
        <f aca="false">MIN($T$6,T85+U85)</f>
        <v>0</v>
      </c>
      <c r="W85" s="30" t="n">
        <f aca="false">MAX(0,MIN(N85,T85+U85-V85))</f>
        <v>0</v>
      </c>
      <c r="X85" s="29" t="n">
        <f aca="false">N85-W85</f>
        <v>690</v>
      </c>
      <c r="Y85" s="34" t="n">
        <f aca="false">T85+U85-V85-W85</f>
        <v>0</v>
      </c>
      <c r="Z85" s="34" t="n">
        <f aca="false">AC84</f>
        <v>0</v>
      </c>
      <c r="AA85" s="34" t="n">
        <f aca="false">Z85*$T$5/12</f>
        <v>0</v>
      </c>
      <c r="AB85" s="29" t="n">
        <f aca="false">MIN($T$6,Z85+AA85)</f>
        <v>0</v>
      </c>
      <c r="AC85" s="34" t="n">
        <f aca="false">Z85+AA85-AB85</f>
        <v>0</v>
      </c>
      <c r="AD85" s="34" t="n">
        <f aca="false">AI84</f>
        <v>0</v>
      </c>
      <c r="AE85" s="34" t="n">
        <f aca="false">AD85*$AD$5/12</f>
        <v>0</v>
      </c>
      <c r="AF85" s="29" t="n">
        <f aca="false">MIN($AD$6,AD85+AE85)</f>
        <v>0</v>
      </c>
      <c r="AG85" s="30" t="n">
        <f aca="false">MAX(0,MIN(X85,AD85+AE85-AF85))</f>
        <v>0</v>
      </c>
      <c r="AH85" s="29" t="n">
        <f aca="false">X85-AG85</f>
        <v>690</v>
      </c>
      <c r="AI85" s="34" t="n">
        <f aca="false">AD85+AE85-AF85-AG85</f>
        <v>0</v>
      </c>
      <c r="AJ85" s="34" t="n">
        <f aca="false">AM84</f>
        <v>0</v>
      </c>
      <c r="AK85" s="34" t="n">
        <f aca="false">AJ85*$AD$5/12</f>
        <v>0</v>
      </c>
      <c r="AL85" s="29" t="n">
        <f aca="false">MIN($AD$6,AJ85+AK85)</f>
        <v>0</v>
      </c>
      <c r="AM85" s="34" t="n">
        <f aca="false">AJ85+AK85-AL85</f>
        <v>0</v>
      </c>
      <c r="AN85" s="34" t="n">
        <f aca="false">AS84</f>
        <v>0</v>
      </c>
      <c r="AO85" s="34" t="n">
        <f aca="false">AN85*$AN$5/12</f>
        <v>0</v>
      </c>
      <c r="AP85" s="29" t="n">
        <f aca="false">MIN($AN$6,AN85+AO85)</f>
        <v>0</v>
      </c>
      <c r="AQ85" s="30" t="n">
        <f aca="false">MAX(0,MIN(AH85,AN85+AO85-AP85))</f>
        <v>0</v>
      </c>
      <c r="AR85" s="29" t="n">
        <f aca="false">AH85-AQ85</f>
        <v>690</v>
      </c>
      <c r="AS85" s="34" t="n">
        <f aca="false">AN85+AO85-AP85-AQ85</f>
        <v>0</v>
      </c>
      <c r="AT85" s="34" t="n">
        <f aca="false">AW84</f>
        <v>5199.64264204116</v>
      </c>
      <c r="AU85" s="34" t="n">
        <f aca="false">AT85*$AN$5/12</f>
        <v>23.8316954426887</v>
      </c>
      <c r="AV85" s="29" t="n">
        <f aca="false">MIN($AN$6,AT85+AU85)</f>
        <v>130</v>
      </c>
      <c r="AW85" s="34" t="n">
        <f aca="false">AT85+AU85-AV85</f>
        <v>5093.47433748385</v>
      </c>
      <c r="AX85" s="30" t="n">
        <f aca="false">BC84</f>
        <v>0</v>
      </c>
      <c r="AY85" s="30" t="n">
        <f aca="false">AX85*$AX$5/12</f>
        <v>0</v>
      </c>
      <c r="AZ85" s="30" t="n">
        <f aca="false">MIN($AX$6,AX85+AY85)</f>
        <v>0</v>
      </c>
      <c r="BA85" s="30" t="n">
        <f aca="false">MAX(0,MIN(AR85,AX85+AY85-AZ85))</f>
        <v>0</v>
      </c>
      <c r="BB85" s="29" t="n">
        <f aca="false">AR85-BA85</f>
        <v>690</v>
      </c>
      <c r="BC85" s="30" t="n">
        <f aca="false">AX85+AY85-AZ85-BA85</f>
        <v>0</v>
      </c>
      <c r="BD85" s="30" t="n">
        <f aca="false">BG84</f>
        <v>0</v>
      </c>
      <c r="BE85" s="30" t="n">
        <f aca="false">BD85*$AX$5/12</f>
        <v>0</v>
      </c>
      <c r="BF85" s="30" t="n">
        <f aca="false">MIN($AX$6,BD85+BE85)</f>
        <v>0</v>
      </c>
      <c r="BG85" s="30" t="n">
        <f aca="false">BD85+BE85-BF85</f>
        <v>0</v>
      </c>
      <c r="BH85" s="30" t="n">
        <f aca="false">BM84</f>
        <v>0</v>
      </c>
      <c r="BI85" s="30" t="n">
        <f aca="false">BH85*$BH$5/12</f>
        <v>0</v>
      </c>
      <c r="BJ85" s="30" t="n">
        <f aca="false">MIN($BH$6,BH85+BI85)</f>
        <v>0</v>
      </c>
      <c r="BK85" s="30" t="n">
        <f aca="false">MAX(0,MIN(BB85,BH85+BI85-BJ85))</f>
        <v>0</v>
      </c>
      <c r="BL85" s="29" t="n">
        <f aca="false">BB85-BK85</f>
        <v>690</v>
      </c>
      <c r="BM85" s="30" t="n">
        <f aca="false">BH85+BI85-BJ85-BK85</f>
        <v>0</v>
      </c>
      <c r="BN85" s="30" t="n">
        <f aca="false">BQ84</f>
        <v>0</v>
      </c>
      <c r="BO85" s="30" t="n">
        <f aca="false">BN85*$BH$5/12</f>
        <v>0</v>
      </c>
      <c r="BP85" s="30" t="n">
        <f aca="false">MIN($BH$6,BN85+BO85)</f>
        <v>0</v>
      </c>
      <c r="BQ85" s="30" t="n">
        <f aca="false">BN85+BO85-BP85</f>
        <v>0</v>
      </c>
      <c r="BR85" s="30" t="n">
        <f aca="false">BW84</f>
        <v>0</v>
      </c>
      <c r="BS85" s="30" t="n">
        <f aca="false">BR85*$BR$5/12</f>
        <v>0</v>
      </c>
      <c r="BT85" s="30" t="n">
        <f aca="false">MIN($BR$6,BR85+BS85)</f>
        <v>0</v>
      </c>
      <c r="BU85" s="30" t="n">
        <f aca="false">MAX(0,MIN(BL85,BR85+BS85-BT85))</f>
        <v>0</v>
      </c>
      <c r="BV85" s="29" t="n">
        <f aca="false">BL85-BU85</f>
        <v>690</v>
      </c>
      <c r="BW85" s="30" t="n">
        <f aca="false">BR85+BS85-BT85-BU85</f>
        <v>0</v>
      </c>
      <c r="BX85" s="30" t="n">
        <f aca="false">CA84</f>
        <v>0</v>
      </c>
      <c r="BY85" s="30" t="n">
        <f aca="false">BX85*$BR$5/12</f>
        <v>0</v>
      </c>
      <c r="BZ85" s="30" t="n">
        <f aca="false">MIN($BR$6,BX85+BY85)</f>
        <v>0</v>
      </c>
      <c r="CA85" s="30" t="n">
        <f aca="false">BX85+BY85-BZ85</f>
        <v>0</v>
      </c>
      <c r="CB85" s="30" t="n">
        <f aca="false">CG84</f>
        <v>0</v>
      </c>
      <c r="CC85" s="30" t="n">
        <f aca="false">CB85*$CB$5/12</f>
        <v>0</v>
      </c>
      <c r="CD85" s="30" t="n">
        <f aca="false">MIN($CB$6,CB85+CC85)</f>
        <v>0</v>
      </c>
      <c r="CE85" s="30" t="n">
        <f aca="false">MAX(0,MIN(BV85,CB85+CC85-CD85))</f>
        <v>0</v>
      </c>
      <c r="CF85" s="29" t="n">
        <f aca="false">BV85-CE85</f>
        <v>690</v>
      </c>
      <c r="CG85" s="30" t="n">
        <f aca="false">CB85+CC85-CD85-CE85</f>
        <v>0</v>
      </c>
      <c r="CH85" s="30" t="n">
        <f aca="false">CK84</f>
        <v>0</v>
      </c>
      <c r="CI85" s="30" t="n">
        <f aca="false">CH85*$CB$5/12</f>
        <v>0</v>
      </c>
      <c r="CJ85" s="30" t="n">
        <f aca="false">MIN($CB$6,CH85+CI85)</f>
        <v>0</v>
      </c>
      <c r="CK85" s="30" t="n">
        <f aca="false">CH85+CI85-CJ85</f>
        <v>0</v>
      </c>
    </row>
    <row r="86" customFormat="false" ht="15" hidden="false" customHeight="false" outlineLevel="0" collapsed="false">
      <c r="A86" s="0" t="n">
        <v>78</v>
      </c>
      <c r="B86" s="29" t="n">
        <f aca="false">'1 Your debts'!$B$16-(L86+V86+AF86+AP86+AZ86+BJ86+BT86+CD86)</f>
        <v>690</v>
      </c>
      <c r="C86" s="34" t="n">
        <f aca="false">O86+Y86+AI86+AS86+BC86+BM86+BW86+CG86</f>
        <v>0</v>
      </c>
      <c r="D86" s="34" t="n">
        <f aca="false">K86+U86+AE86+AO86+AY86+BI86+BS86+CC86</f>
        <v>0</v>
      </c>
      <c r="F86" s="34" t="n">
        <f aca="false">S86+AC86+AM86+AW86+BG86+BQ86+CA86+CK86</f>
        <v>5826.19850094006</v>
      </c>
      <c r="G86" s="34" t="n">
        <f aca="false">Q86+AA86+AK86+AU86+BE86+BO86+BY86+CI86</f>
        <v>42.6105810667286</v>
      </c>
      <c r="J86" s="34" t="n">
        <f aca="false">O85</f>
        <v>0</v>
      </c>
      <c r="K86" s="34" t="n">
        <f aca="false">J86*$J$5/12</f>
        <v>0</v>
      </c>
      <c r="L86" s="29" t="n">
        <f aca="false">MIN($J$6,J86+K86)</f>
        <v>0</v>
      </c>
      <c r="M86" s="30" t="n">
        <f aca="false">MAX(0,MIN($B86,J86+K86-L86))</f>
        <v>0</v>
      </c>
      <c r="N86" s="29" t="n">
        <f aca="false">$B86-M86</f>
        <v>690</v>
      </c>
      <c r="O86" s="34" t="n">
        <f aca="false">J86+K86-L86-M86</f>
        <v>0</v>
      </c>
      <c r="P86" s="34" t="n">
        <f aca="false">S85</f>
        <v>925.113582389482</v>
      </c>
      <c r="Q86" s="34" t="n">
        <f aca="false">P86*$J$5/12</f>
        <v>19.265490353261</v>
      </c>
      <c r="R86" s="29" t="n">
        <f aca="false">MIN($J$6,P86+Q86)</f>
        <v>105</v>
      </c>
      <c r="S86" s="34" t="n">
        <f aca="false">P86+Q86-R86</f>
        <v>839.379072742743</v>
      </c>
      <c r="T86" s="34" t="n">
        <f aca="false">Y85</f>
        <v>0</v>
      </c>
      <c r="U86" s="34" t="n">
        <f aca="false">T86*$T$5/12</f>
        <v>0</v>
      </c>
      <c r="V86" s="29" t="n">
        <f aca="false">MIN($T$6,T86+U86)</f>
        <v>0</v>
      </c>
      <c r="W86" s="30" t="n">
        <f aca="false">MAX(0,MIN(N86,T86+U86-V86))</f>
        <v>0</v>
      </c>
      <c r="X86" s="29" t="n">
        <f aca="false">N86-W86</f>
        <v>690</v>
      </c>
      <c r="Y86" s="34" t="n">
        <f aca="false">T86+U86-V86-W86</f>
        <v>0</v>
      </c>
      <c r="Z86" s="34" t="n">
        <f aca="false">AC85</f>
        <v>0</v>
      </c>
      <c r="AA86" s="34" t="n">
        <f aca="false">Z86*$T$5/12</f>
        <v>0</v>
      </c>
      <c r="AB86" s="29" t="n">
        <f aca="false">MIN($T$6,Z86+AA86)</f>
        <v>0</v>
      </c>
      <c r="AC86" s="34" t="n">
        <f aca="false">Z86+AA86-AB86</f>
        <v>0</v>
      </c>
      <c r="AD86" s="34" t="n">
        <f aca="false">AI85</f>
        <v>0</v>
      </c>
      <c r="AE86" s="34" t="n">
        <f aca="false">AD86*$AD$5/12</f>
        <v>0</v>
      </c>
      <c r="AF86" s="29" t="n">
        <f aca="false">MIN($AD$6,AD86+AE86)</f>
        <v>0</v>
      </c>
      <c r="AG86" s="30" t="n">
        <f aca="false">MAX(0,MIN(X86,AD86+AE86-AF86))</f>
        <v>0</v>
      </c>
      <c r="AH86" s="29" t="n">
        <f aca="false">X86-AG86</f>
        <v>690</v>
      </c>
      <c r="AI86" s="34" t="n">
        <f aca="false">AD86+AE86-AF86-AG86</f>
        <v>0</v>
      </c>
      <c r="AJ86" s="34" t="n">
        <f aca="false">AM85</f>
        <v>0</v>
      </c>
      <c r="AK86" s="34" t="n">
        <f aca="false">AJ86*$AD$5/12</f>
        <v>0</v>
      </c>
      <c r="AL86" s="29" t="n">
        <f aca="false">MIN($AD$6,AJ86+AK86)</f>
        <v>0</v>
      </c>
      <c r="AM86" s="34" t="n">
        <f aca="false">AJ86+AK86-AL86</f>
        <v>0</v>
      </c>
      <c r="AN86" s="34" t="n">
        <f aca="false">AS85</f>
        <v>0</v>
      </c>
      <c r="AO86" s="34" t="n">
        <f aca="false">AN86*$AN$5/12</f>
        <v>0</v>
      </c>
      <c r="AP86" s="29" t="n">
        <f aca="false">MIN($AN$6,AN86+AO86)</f>
        <v>0</v>
      </c>
      <c r="AQ86" s="30" t="n">
        <f aca="false">MAX(0,MIN(AH86,AN86+AO86-AP86))</f>
        <v>0</v>
      </c>
      <c r="AR86" s="29" t="n">
        <f aca="false">AH86-AQ86</f>
        <v>690</v>
      </c>
      <c r="AS86" s="34" t="n">
        <f aca="false">AN86+AO86-AP86-AQ86</f>
        <v>0</v>
      </c>
      <c r="AT86" s="34" t="n">
        <f aca="false">AW85</f>
        <v>5093.47433748385</v>
      </c>
      <c r="AU86" s="34" t="n">
        <f aca="false">AT86*$AN$5/12</f>
        <v>23.3450907134677</v>
      </c>
      <c r="AV86" s="29" t="n">
        <f aca="false">MIN($AN$6,AT86+AU86)</f>
        <v>130</v>
      </c>
      <c r="AW86" s="34" t="n">
        <f aca="false">AT86+AU86-AV86</f>
        <v>4986.81942819732</v>
      </c>
      <c r="AX86" s="30" t="n">
        <f aca="false">BC85</f>
        <v>0</v>
      </c>
      <c r="AY86" s="30" t="n">
        <f aca="false">AX86*$AX$5/12</f>
        <v>0</v>
      </c>
      <c r="AZ86" s="30" t="n">
        <f aca="false">MIN($AX$6,AX86+AY86)</f>
        <v>0</v>
      </c>
      <c r="BA86" s="30" t="n">
        <f aca="false">MAX(0,MIN(AR86,AX86+AY86-AZ86))</f>
        <v>0</v>
      </c>
      <c r="BB86" s="29" t="n">
        <f aca="false">AR86-BA86</f>
        <v>690</v>
      </c>
      <c r="BC86" s="30" t="n">
        <f aca="false">AX86+AY86-AZ86-BA86</f>
        <v>0</v>
      </c>
      <c r="BD86" s="30" t="n">
        <f aca="false">BG85</f>
        <v>0</v>
      </c>
      <c r="BE86" s="30" t="n">
        <f aca="false">BD86*$AX$5/12</f>
        <v>0</v>
      </c>
      <c r="BF86" s="30" t="n">
        <f aca="false">MIN($AX$6,BD86+BE86)</f>
        <v>0</v>
      </c>
      <c r="BG86" s="30" t="n">
        <f aca="false">BD86+BE86-BF86</f>
        <v>0</v>
      </c>
      <c r="BH86" s="30" t="n">
        <f aca="false">BM85</f>
        <v>0</v>
      </c>
      <c r="BI86" s="30" t="n">
        <f aca="false">BH86*$BH$5/12</f>
        <v>0</v>
      </c>
      <c r="BJ86" s="30" t="n">
        <f aca="false">MIN($BH$6,BH86+BI86)</f>
        <v>0</v>
      </c>
      <c r="BK86" s="30" t="n">
        <f aca="false">MAX(0,MIN(BB86,BH86+BI86-BJ86))</f>
        <v>0</v>
      </c>
      <c r="BL86" s="29" t="n">
        <f aca="false">BB86-BK86</f>
        <v>690</v>
      </c>
      <c r="BM86" s="30" t="n">
        <f aca="false">BH86+BI86-BJ86-BK86</f>
        <v>0</v>
      </c>
      <c r="BN86" s="30" t="n">
        <f aca="false">BQ85</f>
        <v>0</v>
      </c>
      <c r="BO86" s="30" t="n">
        <f aca="false">BN86*$BH$5/12</f>
        <v>0</v>
      </c>
      <c r="BP86" s="30" t="n">
        <f aca="false">MIN($BH$6,BN86+BO86)</f>
        <v>0</v>
      </c>
      <c r="BQ86" s="30" t="n">
        <f aca="false">BN86+BO86-BP86</f>
        <v>0</v>
      </c>
      <c r="BR86" s="30" t="n">
        <f aca="false">BW85</f>
        <v>0</v>
      </c>
      <c r="BS86" s="30" t="n">
        <f aca="false">BR86*$BR$5/12</f>
        <v>0</v>
      </c>
      <c r="BT86" s="30" t="n">
        <f aca="false">MIN($BR$6,BR86+BS86)</f>
        <v>0</v>
      </c>
      <c r="BU86" s="30" t="n">
        <f aca="false">MAX(0,MIN(BL86,BR86+BS86-BT86))</f>
        <v>0</v>
      </c>
      <c r="BV86" s="29" t="n">
        <f aca="false">BL86-BU86</f>
        <v>690</v>
      </c>
      <c r="BW86" s="30" t="n">
        <f aca="false">BR86+BS86-BT86-BU86</f>
        <v>0</v>
      </c>
      <c r="BX86" s="30" t="n">
        <f aca="false">CA85</f>
        <v>0</v>
      </c>
      <c r="BY86" s="30" t="n">
        <f aca="false">BX86*$BR$5/12</f>
        <v>0</v>
      </c>
      <c r="BZ86" s="30" t="n">
        <f aca="false">MIN($BR$6,BX86+BY86)</f>
        <v>0</v>
      </c>
      <c r="CA86" s="30" t="n">
        <f aca="false">BX86+BY86-BZ86</f>
        <v>0</v>
      </c>
      <c r="CB86" s="30" t="n">
        <f aca="false">CG85</f>
        <v>0</v>
      </c>
      <c r="CC86" s="30" t="n">
        <f aca="false">CB86*$CB$5/12</f>
        <v>0</v>
      </c>
      <c r="CD86" s="30" t="n">
        <f aca="false">MIN($CB$6,CB86+CC86)</f>
        <v>0</v>
      </c>
      <c r="CE86" s="30" t="n">
        <f aca="false">MAX(0,MIN(BV86,CB86+CC86-CD86))</f>
        <v>0</v>
      </c>
      <c r="CF86" s="29" t="n">
        <f aca="false">BV86-CE86</f>
        <v>690</v>
      </c>
      <c r="CG86" s="30" t="n">
        <f aca="false">CB86+CC86-CD86-CE86</f>
        <v>0</v>
      </c>
      <c r="CH86" s="30" t="n">
        <f aca="false">CK85</f>
        <v>0</v>
      </c>
      <c r="CI86" s="30" t="n">
        <f aca="false">CH86*$CB$5/12</f>
        <v>0</v>
      </c>
      <c r="CJ86" s="30" t="n">
        <f aca="false">MIN($CB$6,CH86+CI86)</f>
        <v>0</v>
      </c>
      <c r="CK86" s="30" t="n">
        <f aca="false">CH86+CI86-CJ86</f>
        <v>0</v>
      </c>
    </row>
    <row r="87" customFormat="false" ht="15" hidden="false" customHeight="false" outlineLevel="0" collapsed="false">
      <c r="A87" s="0" t="n">
        <v>79</v>
      </c>
      <c r="B87" s="29" t="n">
        <f aca="false">'1 Your debts'!$B$16-(L87+V87+AF87+AP87+AZ87+BJ87+BT87+CD87)</f>
        <v>690</v>
      </c>
      <c r="C87" s="34" t="n">
        <f aca="false">O87+Y87+AI87+AS87+BC87+BM87+BW87+CG87</f>
        <v>0</v>
      </c>
      <c r="D87" s="34" t="n">
        <f aca="false">K87+U87+AE87+AO87+AY87+BI87+BS87+CC87</f>
        <v>0</v>
      </c>
      <c r="F87" s="34" t="n">
        <f aca="false">S87+AC87+AM87+AW87+BG87+BQ87+CA87+CK87</f>
        <v>5631.5348258425</v>
      </c>
      <c r="G87" s="34" t="n">
        <f aca="false">Q87+AA87+AK87+AU87+BE87+BO87+BY87+CI87</f>
        <v>40.3363249024387</v>
      </c>
      <c r="J87" s="34" t="n">
        <f aca="false">O86</f>
        <v>0</v>
      </c>
      <c r="K87" s="34" t="n">
        <f aca="false">J87*$J$5/12</f>
        <v>0</v>
      </c>
      <c r="L87" s="29" t="n">
        <f aca="false">MIN($J$6,J87+K87)</f>
        <v>0</v>
      </c>
      <c r="M87" s="30" t="n">
        <f aca="false">MAX(0,MIN($B87,J87+K87-L87))</f>
        <v>0</v>
      </c>
      <c r="N87" s="29" t="n">
        <f aca="false">$B87-M87</f>
        <v>690</v>
      </c>
      <c r="O87" s="34" t="n">
        <f aca="false">J87+K87-L87-M87</f>
        <v>0</v>
      </c>
      <c r="P87" s="34" t="n">
        <f aca="false">S86</f>
        <v>839.379072742743</v>
      </c>
      <c r="Q87" s="34" t="n">
        <f aca="false">P87*$J$5/12</f>
        <v>17.4800691898676</v>
      </c>
      <c r="R87" s="29" t="n">
        <f aca="false">MIN($J$6,P87+Q87)</f>
        <v>105</v>
      </c>
      <c r="S87" s="34" t="n">
        <f aca="false">P87+Q87-R87</f>
        <v>751.859141932611</v>
      </c>
      <c r="T87" s="34" t="n">
        <f aca="false">Y86</f>
        <v>0</v>
      </c>
      <c r="U87" s="34" t="n">
        <f aca="false">T87*$T$5/12</f>
        <v>0</v>
      </c>
      <c r="V87" s="29" t="n">
        <f aca="false">MIN($T$6,T87+U87)</f>
        <v>0</v>
      </c>
      <c r="W87" s="30" t="n">
        <f aca="false">MAX(0,MIN(N87,T87+U87-V87))</f>
        <v>0</v>
      </c>
      <c r="X87" s="29" t="n">
        <f aca="false">N87-W87</f>
        <v>690</v>
      </c>
      <c r="Y87" s="34" t="n">
        <f aca="false">T87+U87-V87-W87</f>
        <v>0</v>
      </c>
      <c r="Z87" s="34" t="n">
        <f aca="false">AC86</f>
        <v>0</v>
      </c>
      <c r="AA87" s="34" t="n">
        <f aca="false">Z87*$T$5/12</f>
        <v>0</v>
      </c>
      <c r="AB87" s="29" t="n">
        <f aca="false">MIN($T$6,Z87+AA87)</f>
        <v>0</v>
      </c>
      <c r="AC87" s="34" t="n">
        <f aca="false">Z87+AA87-AB87</f>
        <v>0</v>
      </c>
      <c r="AD87" s="34" t="n">
        <f aca="false">AI86</f>
        <v>0</v>
      </c>
      <c r="AE87" s="34" t="n">
        <f aca="false">AD87*$AD$5/12</f>
        <v>0</v>
      </c>
      <c r="AF87" s="29" t="n">
        <f aca="false">MIN($AD$6,AD87+AE87)</f>
        <v>0</v>
      </c>
      <c r="AG87" s="30" t="n">
        <f aca="false">MAX(0,MIN(X87,AD87+AE87-AF87))</f>
        <v>0</v>
      </c>
      <c r="AH87" s="29" t="n">
        <f aca="false">X87-AG87</f>
        <v>690</v>
      </c>
      <c r="AI87" s="34" t="n">
        <f aca="false">AD87+AE87-AF87-AG87</f>
        <v>0</v>
      </c>
      <c r="AJ87" s="34" t="n">
        <f aca="false">AM86</f>
        <v>0</v>
      </c>
      <c r="AK87" s="34" t="n">
        <f aca="false">AJ87*$AD$5/12</f>
        <v>0</v>
      </c>
      <c r="AL87" s="29" t="n">
        <f aca="false">MIN($AD$6,AJ87+AK87)</f>
        <v>0</v>
      </c>
      <c r="AM87" s="34" t="n">
        <f aca="false">AJ87+AK87-AL87</f>
        <v>0</v>
      </c>
      <c r="AN87" s="34" t="n">
        <f aca="false">AS86</f>
        <v>0</v>
      </c>
      <c r="AO87" s="34" t="n">
        <f aca="false">AN87*$AN$5/12</f>
        <v>0</v>
      </c>
      <c r="AP87" s="29" t="n">
        <f aca="false">MIN($AN$6,AN87+AO87)</f>
        <v>0</v>
      </c>
      <c r="AQ87" s="30" t="n">
        <f aca="false">MAX(0,MIN(AH87,AN87+AO87-AP87))</f>
        <v>0</v>
      </c>
      <c r="AR87" s="29" t="n">
        <f aca="false">AH87-AQ87</f>
        <v>690</v>
      </c>
      <c r="AS87" s="34" t="n">
        <f aca="false">AN87+AO87-AP87-AQ87</f>
        <v>0</v>
      </c>
      <c r="AT87" s="34" t="n">
        <f aca="false">AW86</f>
        <v>4986.81942819732</v>
      </c>
      <c r="AU87" s="34" t="n">
        <f aca="false">AT87*$AN$5/12</f>
        <v>22.856255712571</v>
      </c>
      <c r="AV87" s="29" t="n">
        <f aca="false">MIN($AN$6,AT87+AU87)</f>
        <v>130</v>
      </c>
      <c r="AW87" s="34" t="n">
        <f aca="false">AT87+AU87-AV87</f>
        <v>4879.67568390989</v>
      </c>
      <c r="AX87" s="30" t="n">
        <f aca="false">BC86</f>
        <v>0</v>
      </c>
      <c r="AY87" s="30" t="n">
        <f aca="false">AX87*$AX$5/12</f>
        <v>0</v>
      </c>
      <c r="AZ87" s="30" t="n">
        <f aca="false">MIN($AX$6,AX87+AY87)</f>
        <v>0</v>
      </c>
      <c r="BA87" s="30" t="n">
        <f aca="false">MAX(0,MIN(AR87,AX87+AY87-AZ87))</f>
        <v>0</v>
      </c>
      <c r="BB87" s="29" t="n">
        <f aca="false">AR87-BA87</f>
        <v>690</v>
      </c>
      <c r="BC87" s="30" t="n">
        <f aca="false">AX87+AY87-AZ87-BA87</f>
        <v>0</v>
      </c>
      <c r="BD87" s="30" t="n">
        <f aca="false">BG86</f>
        <v>0</v>
      </c>
      <c r="BE87" s="30" t="n">
        <f aca="false">BD87*$AX$5/12</f>
        <v>0</v>
      </c>
      <c r="BF87" s="30" t="n">
        <f aca="false">MIN($AX$6,BD87+BE87)</f>
        <v>0</v>
      </c>
      <c r="BG87" s="30" t="n">
        <f aca="false">BD87+BE87-BF87</f>
        <v>0</v>
      </c>
      <c r="BH87" s="30" t="n">
        <f aca="false">BM86</f>
        <v>0</v>
      </c>
      <c r="BI87" s="30" t="n">
        <f aca="false">BH87*$BH$5/12</f>
        <v>0</v>
      </c>
      <c r="BJ87" s="30" t="n">
        <f aca="false">MIN($BH$6,BH87+BI87)</f>
        <v>0</v>
      </c>
      <c r="BK87" s="30" t="n">
        <f aca="false">MAX(0,MIN(BB87,BH87+BI87-BJ87))</f>
        <v>0</v>
      </c>
      <c r="BL87" s="29" t="n">
        <f aca="false">BB87-BK87</f>
        <v>690</v>
      </c>
      <c r="BM87" s="30" t="n">
        <f aca="false">BH87+BI87-BJ87-BK87</f>
        <v>0</v>
      </c>
      <c r="BN87" s="30" t="n">
        <f aca="false">BQ86</f>
        <v>0</v>
      </c>
      <c r="BO87" s="30" t="n">
        <f aca="false">BN87*$BH$5/12</f>
        <v>0</v>
      </c>
      <c r="BP87" s="30" t="n">
        <f aca="false">MIN($BH$6,BN87+BO87)</f>
        <v>0</v>
      </c>
      <c r="BQ87" s="30" t="n">
        <f aca="false">BN87+BO87-BP87</f>
        <v>0</v>
      </c>
      <c r="BR87" s="30" t="n">
        <f aca="false">BW86</f>
        <v>0</v>
      </c>
      <c r="BS87" s="30" t="n">
        <f aca="false">BR87*$BR$5/12</f>
        <v>0</v>
      </c>
      <c r="BT87" s="30" t="n">
        <f aca="false">MIN($BR$6,BR87+BS87)</f>
        <v>0</v>
      </c>
      <c r="BU87" s="30" t="n">
        <f aca="false">MAX(0,MIN(BL87,BR87+BS87-BT87))</f>
        <v>0</v>
      </c>
      <c r="BV87" s="29" t="n">
        <f aca="false">BL87-BU87</f>
        <v>690</v>
      </c>
      <c r="BW87" s="30" t="n">
        <f aca="false">BR87+BS87-BT87-BU87</f>
        <v>0</v>
      </c>
      <c r="BX87" s="30" t="n">
        <f aca="false">CA86</f>
        <v>0</v>
      </c>
      <c r="BY87" s="30" t="n">
        <f aca="false">BX87*$BR$5/12</f>
        <v>0</v>
      </c>
      <c r="BZ87" s="30" t="n">
        <f aca="false">MIN($BR$6,BX87+BY87)</f>
        <v>0</v>
      </c>
      <c r="CA87" s="30" t="n">
        <f aca="false">BX87+BY87-BZ87</f>
        <v>0</v>
      </c>
      <c r="CB87" s="30" t="n">
        <f aca="false">CG86</f>
        <v>0</v>
      </c>
      <c r="CC87" s="30" t="n">
        <f aca="false">CB87*$CB$5/12</f>
        <v>0</v>
      </c>
      <c r="CD87" s="30" t="n">
        <f aca="false">MIN($CB$6,CB87+CC87)</f>
        <v>0</v>
      </c>
      <c r="CE87" s="30" t="n">
        <f aca="false">MAX(0,MIN(BV87,CB87+CC87-CD87))</f>
        <v>0</v>
      </c>
      <c r="CF87" s="29" t="n">
        <f aca="false">BV87-CE87</f>
        <v>690</v>
      </c>
      <c r="CG87" s="30" t="n">
        <f aca="false">CB87+CC87-CD87-CE87</f>
        <v>0</v>
      </c>
      <c r="CH87" s="30" t="n">
        <f aca="false">CK86</f>
        <v>0</v>
      </c>
      <c r="CI87" s="30" t="n">
        <f aca="false">CH87*$CB$5/12</f>
        <v>0</v>
      </c>
      <c r="CJ87" s="30" t="n">
        <f aca="false">MIN($CB$6,CH87+CI87)</f>
        <v>0</v>
      </c>
      <c r="CK87" s="30" t="n">
        <f aca="false">CH87+CI87-CJ87</f>
        <v>0</v>
      </c>
    </row>
    <row r="88" customFormat="false" ht="15" hidden="false" customHeight="false" outlineLevel="0" collapsed="false">
      <c r="A88" s="0" t="n">
        <v>80</v>
      </c>
      <c r="B88" s="29" t="n">
        <f aca="false">'1 Your debts'!$B$16-(L88+V88+AF88+AP88+AZ88+BJ88+BT88+CD88)</f>
        <v>690</v>
      </c>
      <c r="C88" s="34" t="n">
        <f aca="false">O88+Y88+AI88+AS88+BC88+BM88+BW88+CG88</f>
        <v>0</v>
      </c>
      <c r="D88" s="34" t="n">
        <f aca="false">K88+U88+AE88+AO88+AY88+BI88+BS88+CC88</f>
        <v>0</v>
      </c>
      <c r="F88" s="34" t="n">
        <f aca="false">S88+AC88+AM88+AW88+BG88+BQ88+CA88+CK88</f>
        <v>5434.55747269117</v>
      </c>
      <c r="G88" s="34" t="n">
        <f aca="false">Q88+AA88+AK88+AU88+BE88+BO88+BY88+CI88</f>
        <v>38.022646848667</v>
      </c>
      <c r="J88" s="34" t="n">
        <f aca="false">O87</f>
        <v>0</v>
      </c>
      <c r="K88" s="34" t="n">
        <f aca="false">J88*$J$5/12</f>
        <v>0</v>
      </c>
      <c r="L88" s="29" t="n">
        <f aca="false">MIN($J$6,J88+K88)</f>
        <v>0</v>
      </c>
      <c r="M88" s="30" t="n">
        <f aca="false">MAX(0,MIN($B88,J88+K88-L88))</f>
        <v>0</v>
      </c>
      <c r="N88" s="29" t="n">
        <f aca="false">$B88-M88</f>
        <v>690</v>
      </c>
      <c r="O88" s="34" t="n">
        <f aca="false">J88+K88-L88-M88</f>
        <v>0</v>
      </c>
      <c r="P88" s="34" t="n">
        <f aca="false">S87</f>
        <v>751.859141932611</v>
      </c>
      <c r="Q88" s="34" t="n">
        <f aca="false">P88*$J$5/12</f>
        <v>15.6574666307466</v>
      </c>
      <c r="R88" s="29" t="n">
        <f aca="false">MIN($J$6,P88+Q88)</f>
        <v>105</v>
      </c>
      <c r="S88" s="34" t="n">
        <f aca="false">P88+Q88-R88</f>
        <v>662.516608563358</v>
      </c>
      <c r="T88" s="34" t="n">
        <f aca="false">Y87</f>
        <v>0</v>
      </c>
      <c r="U88" s="34" t="n">
        <f aca="false">T88*$T$5/12</f>
        <v>0</v>
      </c>
      <c r="V88" s="29" t="n">
        <f aca="false">MIN($T$6,T88+U88)</f>
        <v>0</v>
      </c>
      <c r="W88" s="30" t="n">
        <f aca="false">MAX(0,MIN(N88,T88+U88-V88))</f>
        <v>0</v>
      </c>
      <c r="X88" s="29" t="n">
        <f aca="false">N88-W88</f>
        <v>690</v>
      </c>
      <c r="Y88" s="34" t="n">
        <f aca="false">T88+U88-V88-W88</f>
        <v>0</v>
      </c>
      <c r="Z88" s="34" t="n">
        <f aca="false">AC87</f>
        <v>0</v>
      </c>
      <c r="AA88" s="34" t="n">
        <f aca="false">Z88*$T$5/12</f>
        <v>0</v>
      </c>
      <c r="AB88" s="29" t="n">
        <f aca="false">MIN($T$6,Z88+AA88)</f>
        <v>0</v>
      </c>
      <c r="AC88" s="34" t="n">
        <f aca="false">Z88+AA88-AB88</f>
        <v>0</v>
      </c>
      <c r="AD88" s="34" t="n">
        <f aca="false">AI87</f>
        <v>0</v>
      </c>
      <c r="AE88" s="34" t="n">
        <f aca="false">AD88*$AD$5/12</f>
        <v>0</v>
      </c>
      <c r="AF88" s="29" t="n">
        <f aca="false">MIN($AD$6,AD88+AE88)</f>
        <v>0</v>
      </c>
      <c r="AG88" s="30" t="n">
        <f aca="false">MAX(0,MIN(X88,AD88+AE88-AF88))</f>
        <v>0</v>
      </c>
      <c r="AH88" s="29" t="n">
        <f aca="false">X88-AG88</f>
        <v>690</v>
      </c>
      <c r="AI88" s="34" t="n">
        <f aca="false">AD88+AE88-AF88-AG88</f>
        <v>0</v>
      </c>
      <c r="AJ88" s="34" t="n">
        <f aca="false">AM87</f>
        <v>0</v>
      </c>
      <c r="AK88" s="34" t="n">
        <f aca="false">AJ88*$AD$5/12</f>
        <v>0</v>
      </c>
      <c r="AL88" s="29" t="n">
        <f aca="false">MIN($AD$6,AJ88+AK88)</f>
        <v>0</v>
      </c>
      <c r="AM88" s="34" t="n">
        <f aca="false">AJ88+AK88-AL88</f>
        <v>0</v>
      </c>
      <c r="AN88" s="34" t="n">
        <f aca="false">AS87</f>
        <v>0</v>
      </c>
      <c r="AO88" s="34" t="n">
        <f aca="false">AN88*$AN$5/12</f>
        <v>0</v>
      </c>
      <c r="AP88" s="29" t="n">
        <f aca="false">MIN($AN$6,AN88+AO88)</f>
        <v>0</v>
      </c>
      <c r="AQ88" s="30" t="n">
        <f aca="false">MAX(0,MIN(AH88,AN88+AO88-AP88))</f>
        <v>0</v>
      </c>
      <c r="AR88" s="29" t="n">
        <f aca="false">AH88-AQ88</f>
        <v>690</v>
      </c>
      <c r="AS88" s="34" t="n">
        <f aca="false">AN88+AO88-AP88-AQ88</f>
        <v>0</v>
      </c>
      <c r="AT88" s="34" t="n">
        <f aca="false">AW87</f>
        <v>4879.67568390989</v>
      </c>
      <c r="AU88" s="34" t="n">
        <f aca="false">AT88*$AN$5/12</f>
        <v>22.3651802179203</v>
      </c>
      <c r="AV88" s="29" t="n">
        <f aca="false">MIN($AN$6,AT88+AU88)</f>
        <v>130</v>
      </c>
      <c r="AW88" s="34" t="n">
        <f aca="false">AT88+AU88-AV88</f>
        <v>4772.04086412781</v>
      </c>
      <c r="AX88" s="30" t="n">
        <f aca="false">BC87</f>
        <v>0</v>
      </c>
      <c r="AY88" s="30" t="n">
        <f aca="false">AX88*$AX$5/12</f>
        <v>0</v>
      </c>
      <c r="AZ88" s="30" t="n">
        <f aca="false">MIN($AX$6,AX88+AY88)</f>
        <v>0</v>
      </c>
      <c r="BA88" s="30" t="n">
        <f aca="false">MAX(0,MIN(AR88,AX88+AY88-AZ88))</f>
        <v>0</v>
      </c>
      <c r="BB88" s="29" t="n">
        <f aca="false">AR88-BA88</f>
        <v>690</v>
      </c>
      <c r="BC88" s="30" t="n">
        <f aca="false">AX88+AY88-AZ88-BA88</f>
        <v>0</v>
      </c>
      <c r="BD88" s="30" t="n">
        <f aca="false">BG87</f>
        <v>0</v>
      </c>
      <c r="BE88" s="30" t="n">
        <f aca="false">BD88*$AX$5/12</f>
        <v>0</v>
      </c>
      <c r="BF88" s="30" t="n">
        <f aca="false">MIN($AX$6,BD88+BE88)</f>
        <v>0</v>
      </c>
      <c r="BG88" s="30" t="n">
        <f aca="false">BD88+BE88-BF88</f>
        <v>0</v>
      </c>
      <c r="BH88" s="30" t="n">
        <f aca="false">BM87</f>
        <v>0</v>
      </c>
      <c r="BI88" s="30" t="n">
        <f aca="false">BH88*$BH$5/12</f>
        <v>0</v>
      </c>
      <c r="BJ88" s="30" t="n">
        <f aca="false">MIN($BH$6,BH88+BI88)</f>
        <v>0</v>
      </c>
      <c r="BK88" s="30" t="n">
        <f aca="false">MAX(0,MIN(BB88,BH88+BI88-BJ88))</f>
        <v>0</v>
      </c>
      <c r="BL88" s="29" t="n">
        <f aca="false">BB88-BK88</f>
        <v>690</v>
      </c>
      <c r="BM88" s="30" t="n">
        <f aca="false">BH88+BI88-BJ88-BK88</f>
        <v>0</v>
      </c>
      <c r="BN88" s="30" t="n">
        <f aca="false">BQ87</f>
        <v>0</v>
      </c>
      <c r="BO88" s="30" t="n">
        <f aca="false">BN88*$BH$5/12</f>
        <v>0</v>
      </c>
      <c r="BP88" s="30" t="n">
        <f aca="false">MIN($BH$6,BN88+BO88)</f>
        <v>0</v>
      </c>
      <c r="BQ88" s="30" t="n">
        <f aca="false">BN88+BO88-BP88</f>
        <v>0</v>
      </c>
      <c r="BR88" s="30" t="n">
        <f aca="false">BW87</f>
        <v>0</v>
      </c>
      <c r="BS88" s="30" t="n">
        <f aca="false">BR88*$BR$5/12</f>
        <v>0</v>
      </c>
      <c r="BT88" s="30" t="n">
        <f aca="false">MIN($BR$6,BR88+BS88)</f>
        <v>0</v>
      </c>
      <c r="BU88" s="30" t="n">
        <f aca="false">MAX(0,MIN(BL88,BR88+BS88-BT88))</f>
        <v>0</v>
      </c>
      <c r="BV88" s="29" t="n">
        <f aca="false">BL88-BU88</f>
        <v>690</v>
      </c>
      <c r="BW88" s="30" t="n">
        <f aca="false">BR88+BS88-BT88-BU88</f>
        <v>0</v>
      </c>
      <c r="BX88" s="30" t="n">
        <f aca="false">CA87</f>
        <v>0</v>
      </c>
      <c r="BY88" s="30" t="n">
        <f aca="false">BX88*$BR$5/12</f>
        <v>0</v>
      </c>
      <c r="BZ88" s="30" t="n">
        <f aca="false">MIN($BR$6,BX88+BY88)</f>
        <v>0</v>
      </c>
      <c r="CA88" s="30" t="n">
        <f aca="false">BX88+BY88-BZ88</f>
        <v>0</v>
      </c>
      <c r="CB88" s="30" t="n">
        <f aca="false">CG87</f>
        <v>0</v>
      </c>
      <c r="CC88" s="30" t="n">
        <f aca="false">CB88*$CB$5/12</f>
        <v>0</v>
      </c>
      <c r="CD88" s="30" t="n">
        <f aca="false">MIN($CB$6,CB88+CC88)</f>
        <v>0</v>
      </c>
      <c r="CE88" s="30" t="n">
        <f aca="false">MAX(0,MIN(BV88,CB88+CC88-CD88))</f>
        <v>0</v>
      </c>
      <c r="CF88" s="29" t="n">
        <f aca="false">BV88-CE88</f>
        <v>690</v>
      </c>
      <c r="CG88" s="30" t="n">
        <f aca="false">CB88+CC88-CD88-CE88</f>
        <v>0</v>
      </c>
      <c r="CH88" s="30" t="n">
        <f aca="false">CK87</f>
        <v>0</v>
      </c>
      <c r="CI88" s="30" t="n">
        <f aca="false">CH88*$CB$5/12</f>
        <v>0</v>
      </c>
      <c r="CJ88" s="30" t="n">
        <f aca="false">MIN($CB$6,CH88+CI88)</f>
        <v>0</v>
      </c>
      <c r="CK88" s="30" t="n">
        <f aca="false">CH88+CI88-CJ88</f>
        <v>0</v>
      </c>
    </row>
    <row r="89" customFormat="false" ht="15" hidden="false" customHeight="false" outlineLevel="0" collapsed="false">
      <c r="A89" s="0" t="n">
        <v>81</v>
      </c>
      <c r="B89" s="29" t="n">
        <f aca="false">'1 Your debts'!$B$16-(L89+V89+AF89+AP89+AZ89+BJ89+BT89+CD89)</f>
        <v>690</v>
      </c>
      <c r="C89" s="34" t="n">
        <f aca="false">O89+Y89+AI89+AS89+BC89+BM89+BW89+CG89</f>
        <v>0</v>
      </c>
      <c r="D89" s="34" t="n">
        <f aca="false">K89+U89+AE89+AO89+AY89+BI89+BS89+CC89</f>
        <v>0</v>
      </c>
      <c r="F89" s="34" t="n">
        <f aca="false">S89+AC89+AM89+AW89+BG89+BQ89+CA89+CK89</f>
        <v>5235.22623502509</v>
      </c>
      <c r="G89" s="34" t="n">
        <f aca="false">Q89+AA89+AK89+AU89+BE89+BO89+BY89+CI89</f>
        <v>35.6687623339177</v>
      </c>
      <c r="J89" s="34" t="n">
        <f aca="false">O88</f>
        <v>0</v>
      </c>
      <c r="K89" s="34" t="n">
        <f aca="false">J89*$J$5/12</f>
        <v>0</v>
      </c>
      <c r="L89" s="29" t="n">
        <f aca="false">MIN($J$6,J89+K89)</f>
        <v>0</v>
      </c>
      <c r="M89" s="30" t="n">
        <f aca="false">MAX(0,MIN($B89,J89+K89-L89))</f>
        <v>0</v>
      </c>
      <c r="N89" s="29" t="n">
        <f aca="false">$B89-M89</f>
        <v>690</v>
      </c>
      <c r="O89" s="34" t="n">
        <f aca="false">J89+K89-L89-M89</f>
        <v>0</v>
      </c>
      <c r="P89" s="34" t="n">
        <f aca="false">S88</f>
        <v>662.516608563358</v>
      </c>
      <c r="Q89" s="34" t="n">
        <f aca="false">P89*$J$5/12</f>
        <v>13.7969083733319</v>
      </c>
      <c r="R89" s="29" t="n">
        <f aca="false">MIN($J$6,P89+Q89)</f>
        <v>105</v>
      </c>
      <c r="S89" s="34" t="n">
        <f aca="false">P89+Q89-R89</f>
        <v>571.31351693669</v>
      </c>
      <c r="T89" s="34" t="n">
        <f aca="false">Y88</f>
        <v>0</v>
      </c>
      <c r="U89" s="34" t="n">
        <f aca="false">T89*$T$5/12</f>
        <v>0</v>
      </c>
      <c r="V89" s="29" t="n">
        <f aca="false">MIN($T$6,T89+U89)</f>
        <v>0</v>
      </c>
      <c r="W89" s="30" t="n">
        <f aca="false">MAX(0,MIN(N89,T89+U89-V89))</f>
        <v>0</v>
      </c>
      <c r="X89" s="29" t="n">
        <f aca="false">N89-W89</f>
        <v>690</v>
      </c>
      <c r="Y89" s="34" t="n">
        <f aca="false">T89+U89-V89-W89</f>
        <v>0</v>
      </c>
      <c r="Z89" s="34" t="n">
        <f aca="false">AC88</f>
        <v>0</v>
      </c>
      <c r="AA89" s="34" t="n">
        <f aca="false">Z89*$T$5/12</f>
        <v>0</v>
      </c>
      <c r="AB89" s="29" t="n">
        <f aca="false">MIN($T$6,Z89+AA89)</f>
        <v>0</v>
      </c>
      <c r="AC89" s="34" t="n">
        <f aca="false">Z89+AA89-AB89</f>
        <v>0</v>
      </c>
      <c r="AD89" s="34" t="n">
        <f aca="false">AI88</f>
        <v>0</v>
      </c>
      <c r="AE89" s="34" t="n">
        <f aca="false">AD89*$AD$5/12</f>
        <v>0</v>
      </c>
      <c r="AF89" s="29" t="n">
        <f aca="false">MIN($AD$6,AD89+AE89)</f>
        <v>0</v>
      </c>
      <c r="AG89" s="30" t="n">
        <f aca="false">MAX(0,MIN(X89,AD89+AE89-AF89))</f>
        <v>0</v>
      </c>
      <c r="AH89" s="29" t="n">
        <f aca="false">X89-AG89</f>
        <v>690</v>
      </c>
      <c r="AI89" s="34" t="n">
        <f aca="false">AD89+AE89-AF89-AG89</f>
        <v>0</v>
      </c>
      <c r="AJ89" s="34" t="n">
        <f aca="false">AM88</f>
        <v>0</v>
      </c>
      <c r="AK89" s="34" t="n">
        <f aca="false">AJ89*$AD$5/12</f>
        <v>0</v>
      </c>
      <c r="AL89" s="29" t="n">
        <f aca="false">MIN($AD$6,AJ89+AK89)</f>
        <v>0</v>
      </c>
      <c r="AM89" s="34" t="n">
        <f aca="false">AJ89+AK89-AL89</f>
        <v>0</v>
      </c>
      <c r="AN89" s="34" t="n">
        <f aca="false">AS88</f>
        <v>0</v>
      </c>
      <c r="AO89" s="34" t="n">
        <f aca="false">AN89*$AN$5/12</f>
        <v>0</v>
      </c>
      <c r="AP89" s="29" t="n">
        <f aca="false">MIN($AN$6,AN89+AO89)</f>
        <v>0</v>
      </c>
      <c r="AQ89" s="30" t="n">
        <f aca="false">MAX(0,MIN(AH89,AN89+AO89-AP89))</f>
        <v>0</v>
      </c>
      <c r="AR89" s="29" t="n">
        <f aca="false">AH89-AQ89</f>
        <v>690</v>
      </c>
      <c r="AS89" s="34" t="n">
        <f aca="false">AN89+AO89-AP89-AQ89</f>
        <v>0</v>
      </c>
      <c r="AT89" s="34" t="n">
        <f aca="false">AW88</f>
        <v>4772.04086412781</v>
      </c>
      <c r="AU89" s="34" t="n">
        <f aca="false">AT89*$AN$5/12</f>
        <v>21.8718539605858</v>
      </c>
      <c r="AV89" s="29" t="n">
        <f aca="false">MIN($AN$6,AT89+AU89)</f>
        <v>130</v>
      </c>
      <c r="AW89" s="34" t="n">
        <f aca="false">AT89+AU89-AV89</f>
        <v>4663.9127180884</v>
      </c>
      <c r="AX89" s="30" t="n">
        <f aca="false">BC88</f>
        <v>0</v>
      </c>
      <c r="AY89" s="30" t="n">
        <f aca="false">AX89*$AX$5/12</f>
        <v>0</v>
      </c>
      <c r="AZ89" s="30" t="n">
        <f aca="false">MIN($AX$6,AX89+AY89)</f>
        <v>0</v>
      </c>
      <c r="BA89" s="30" t="n">
        <f aca="false">MAX(0,MIN(AR89,AX89+AY89-AZ89))</f>
        <v>0</v>
      </c>
      <c r="BB89" s="29" t="n">
        <f aca="false">AR89-BA89</f>
        <v>690</v>
      </c>
      <c r="BC89" s="30" t="n">
        <f aca="false">AX89+AY89-AZ89-BA89</f>
        <v>0</v>
      </c>
      <c r="BD89" s="30" t="n">
        <f aca="false">BG88</f>
        <v>0</v>
      </c>
      <c r="BE89" s="30" t="n">
        <f aca="false">BD89*$AX$5/12</f>
        <v>0</v>
      </c>
      <c r="BF89" s="30" t="n">
        <f aca="false">MIN($AX$6,BD89+BE89)</f>
        <v>0</v>
      </c>
      <c r="BG89" s="30" t="n">
        <f aca="false">BD89+BE89-BF89</f>
        <v>0</v>
      </c>
      <c r="BH89" s="30" t="n">
        <f aca="false">BM88</f>
        <v>0</v>
      </c>
      <c r="BI89" s="30" t="n">
        <f aca="false">BH89*$BH$5/12</f>
        <v>0</v>
      </c>
      <c r="BJ89" s="30" t="n">
        <f aca="false">MIN($BH$6,BH89+BI89)</f>
        <v>0</v>
      </c>
      <c r="BK89" s="30" t="n">
        <f aca="false">MAX(0,MIN(BB89,BH89+BI89-BJ89))</f>
        <v>0</v>
      </c>
      <c r="BL89" s="29" t="n">
        <f aca="false">BB89-BK89</f>
        <v>690</v>
      </c>
      <c r="BM89" s="30" t="n">
        <f aca="false">BH89+BI89-BJ89-BK89</f>
        <v>0</v>
      </c>
      <c r="BN89" s="30" t="n">
        <f aca="false">BQ88</f>
        <v>0</v>
      </c>
      <c r="BO89" s="30" t="n">
        <f aca="false">BN89*$BH$5/12</f>
        <v>0</v>
      </c>
      <c r="BP89" s="30" t="n">
        <f aca="false">MIN($BH$6,BN89+BO89)</f>
        <v>0</v>
      </c>
      <c r="BQ89" s="30" t="n">
        <f aca="false">BN89+BO89-BP89</f>
        <v>0</v>
      </c>
      <c r="BR89" s="30" t="n">
        <f aca="false">BW88</f>
        <v>0</v>
      </c>
      <c r="BS89" s="30" t="n">
        <f aca="false">BR89*$BR$5/12</f>
        <v>0</v>
      </c>
      <c r="BT89" s="30" t="n">
        <f aca="false">MIN($BR$6,BR89+BS89)</f>
        <v>0</v>
      </c>
      <c r="BU89" s="30" t="n">
        <f aca="false">MAX(0,MIN(BL89,BR89+BS89-BT89))</f>
        <v>0</v>
      </c>
      <c r="BV89" s="29" t="n">
        <f aca="false">BL89-BU89</f>
        <v>690</v>
      </c>
      <c r="BW89" s="30" t="n">
        <f aca="false">BR89+BS89-BT89-BU89</f>
        <v>0</v>
      </c>
      <c r="BX89" s="30" t="n">
        <f aca="false">CA88</f>
        <v>0</v>
      </c>
      <c r="BY89" s="30" t="n">
        <f aca="false">BX89*$BR$5/12</f>
        <v>0</v>
      </c>
      <c r="BZ89" s="30" t="n">
        <f aca="false">MIN($BR$6,BX89+BY89)</f>
        <v>0</v>
      </c>
      <c r="CA89" s="30" t="n">
        <f aca="false">BX89+BY89-BZ89</f>
        <v>0</v>
      </c>
      <c r="CB89" s="30" t="n">
        <f aca="false">CG88</f>
        <v>0</v>
      </c>
      <c r="CC89" s="30" t="n">
        <f aca="false">CB89*$CB$5/12</f>
        <v>0</v>
      </c>
      <c r="CD89" s="30" t="n">
        <f aca="false">MIN($CB$6,CB89+CC89)</f>
        <v>0</v>
      </c>
      <c r="CE89" s="30" t="n">
        <f aca="false">MAX(0,MIN(BV89,CB89+CC89-CD89))</f>
        <v>0</v>
      </c>
      <c r="CF89" s="29" t="n">
        <f aca="false">BV89-CE89</f>
        <v>690</v>
      </c>
      <c r="CG89" s="30" t="n">
        <f aca="false">CB89+CC89-CD89-CE89</f>
        <v>0</v>
      </c>
      <c r="CH89" s="30" t="n">
        <f aca="false">CK88</f>
        <v>0</v>
      </c>
      <c r="CI89" s="30" t="n">
        <f aca="false">CH89*$CB$5/12</f>
        <v>0</v>
      </c>
      <c r="CJ89" s="30" t="n">
        <f aca="false">MIN($CB$6,CH89+CI89)</f>
        <v>0</v>
      </c>
      <c r="CK89" s="30" t="n">
        <f aca="false">CH89+CI89-CJ89</f>
        <v>0</v>
      </c>
    </row>
    <row r="90" customFormat="false" ht="15" hidden="false" customHeight="false" outlineLevel="0" collapsed="false">
      <c r="A90" s="0" t="n">
        <v>82</v>
      </c>
      <c r="B90" s="29" t="n">
        <f aca="false">'1 Your debts'!$B$16-(L90+V90+AF90+AP90+AZ90+BJ90+BT90+CD90)</f>
        <v>690</v>
      </c>
      <c r="C90" s="34" t="n">
        <f aca="false">O90+Y90+AI90+AS90+BC90+BM90+BW90+CG90</f>
        <v>0</v>
      </c>
      <c r="D90" s="34" t="n">
        <f aca="false">K90+U90+AE90+AO90+AY90+BI90+BS90+CC90</f>
        <v>0</v>
      </c>
      <c r="F90" s="34" t="n">
        <f aca="false">S90+AC90+AM90+AW90+BG90+BQ90+CA90+CK90</f>
        <v>5033.50010563986</v>
      </c>
      <c r="G90" s="34" t="n">
        <f aca="false">Q90+AA90+AK90+AU90+BE90+BO90+BY90+CI90</f>
        <v>33.2738706147784</v>
      </c>
      <c r="J90" s="34" t="n">
        <f aca="false">O89</f>
        <v>0</v>
      </c>
      <c r="K90" s="34" t="n">
        <f aca="false">J90*$J$5/12</f>
        <v>0</v>
      </c>
      <c r="L90" s="29" t="n">
        <f aca="false">MIN($J$6,J90+K90)</f>
        <v>0</v>
      </c>
      <c r="M90" s="30" t="n">
        <f aca="false">MAX(0,MIN($B90,J90+K90-L90))</f>
        <v>0</v>
      </c>
      <c r="N90" s="29" t="n">
        <f aca="false">$B90-M90</f>
        <v>690</v>
      </c>
      <c r="O90" s="34" t="n">
        <f aca="false">J90+K90-L90-M90</f>
        <v>0</v>
      </c>
      <c r="P90" s="34" t="n">
        <f aca="false">S89</f>
        <v>571.31351693669</v>
      </c>
      <c r="Q90" s="34" t="n">
        <f aca="false">P90*$J$5/12</f>
        <v>11.8976039902066</v>
      </c>
      <c r="R90" s="29" t="n">
        <f aca="false">MIN($J$6,P90+Q90)</f>
        <v>105</v>
      </c>
      <c r="S90" s="34" t="n">
        <f aca="false">P90+Q90-R90</f>
        <v>478.211120926896</v>
      </c>
      <c r="T90" s="34" t="n">
        <f aca="false">Y89</f>
        <v>0</v>
      </c>
      <c r="U90" s="34" t="n">
        <f aca="false">T90*$T$5/12</f>
        <v>0</v>
      </c>
      <c r="V90" s="29" t="n">
        <f aca="false">MIN($T$6,T90+U90)</f>
        <v>0</v>
      </c>
      <c r="W90" s="30" t="n">
        <f aca="false">MAX(0,MIN(N90,T90+U90-V90))</f>
        <v>0</v>
      </c>
      <c r="X90" s="29" t="n">
        <f aca="false">N90-W90</f>
        <v>690</v>
      </c>
      <c r="Y90" s="34" t="n">
        <f aca="false">T90+U90-V90-W90</f>
        <v>0</v>
      </c>
      <c r="Z90" s="34" t="n">
        <f aca="false">AC89</f>
        <v>0</v>
      </c>
      <c r="AA90" s="34" t="n">
        <f aca="false">Z90*$T$5/12</f>
        <v>0</v>
      </c>
      <c r="AB90" s="29" t="n">
        <f aca="false">MIN($T$6,Z90+AA90)</f>
        <v>0</v>
      </c>
      <c r="AC90" s="34" t="n">
        <f aca="false">Z90+AA90-AB90</f>
        <v>0</v>
      </c>
      <c r="AD90" s="34" t="n">
        <f aca="false">AI89</f>
        <v>0</v>
      </c>
      <c r="AE90" s="34" t="n">
        <f aca="false">AD90*$AD$5/12</f>
        <v>0</v>
      </c>
      <c r="AF90" s="29" t="n">
        <f aca="false">MIN($AD$6,AD90+AE90)</f>
        <v>0</v>
      </c>
      <c r="AG90" s="30" t="n">
        <f aca="false">MAX(0,MIN(X90,AD90+AE90-AF90))</f>
        <v>0</v>
      </c>
      <c r="AH90" s="29" t="n">
        <f aca="false">X90-AG90</f>
        <v>690</v>
      </c>
      <c r="AI90" s="34" t="n">
        <f aca="false">AD90+AE90-AF90-AG90</f>
        <v>0</v>
      </c>
      <c r="AJ90" s="34" t="n">
        <f aca="false">AM89</f>
        <v>0</v>
      </c>
      <c r="AK90" s="34" t="n">
        <f aca="false">AJ90*$AD$5/12</f>
        <v>0</v>
      </c>
      <c r="AL90" s="29" t="n">
        <f aca="false">MIN($AD$6,AJ90+AK90)</f>
        <v>0</v>
      </c>
      <c r="AM90" s="34" t="n">
        <f aca="false">AJ90+AK90-AL90</f>
        <v>0</v>
      </c>
      <c r="AN90" s="34" t="n">
        <f aca="false">AS89</f>
        <v>0</v>
      </c>
      <c r="AO90" s="34" t="n">
        <f aca="false">AN90*$AN$5/12</f>
        <v>0</v>
      </c>
      <c r="AP90" s="29" t="n">
        <f aca="false">MIN($AN$6,AN90+AO90)</f>
        <v>0</v>
      </c>
      <c r="AQ90" s="30" t="n">
        <f aca="false">MAX(0,MIN(AH90,AN90+AO90-AP90))</f>
        <v>0</v>
      </c>
      <c r="AR90" s="29" t="n">
        <f aca="false">AH90-AQ90</f>
        <v>690</v>
      </c>
      <c r="AS90" s="34" t="n">
        <f aca="false">AN90+AO90-AP90-AQ90</f>
        <v>0</v>
      </c>
      <c r="AT90" s="34" t="n">
        <f aca="false">AW89</f>
        <v>4663.9127180884</v>
      </c>
      <c r="AU90" s="34" t="n">
        <f aca="false">AT90*$AN$5/12</f>
        <v>21.3762666245718</v>
      </c>
      <c r="AV90" s="29" t="n">
        <f aca="false">MIN($AN$6,AT90+AU90)</f>
        <v>130</v>
      </c>
      <c r="AW90" s="34" t="n">
        <f aca="false">AT90+AU90-AV90</f>
        <v>4555.28898471297</v>
      </c>
      <c r="AX90" s="30" t="n">
        <f aca="false">BC89</f>
        <v>0</v>
      </c>
      <c r="AY90" s="30" t="n">
        <f aca="false">AX90*$AX$5/12</f>
        <v>0</v>
      </c>
      <c r="AZ90" s="30" t="n">
        <f aca="false">MIN($AX$6,AX90+AY90)</f>
        <v>0</v>
      </c>
      <c r="BA90" s="30" t="n">
        <f aca="false">MAX(0,MIN(AR90,AX90+AY90-AZ90))</f>
        <v>0</v>
      </c>
      <c r="BB90" s="29" t="n">
        <f aca="false">AR90-BA90</f>
        <v>690</v>
      </c>
      <c r="BC90" s="30" t="n">
        <f aca="false">AX90+AY90-AZ90-BA90</f>
        <v>0</v>
      </c>
      <c r="BD90" s="30" t="n">
        <f aca="false">BG89</f>
        <v>0</v>
      </c>
      <c r="BE90" s="30" t="n">
        <f aca="false">BD90*$AX$5/12</f>
        <v>0</v>
      </c>
      <c r="BF90" s="30" t="n">
        <f aca="false">MIN($AX$6,BD90+BE90)</f>
        <v>0</v>
      </c>
      <c r="BG90" s="30" t="n">
        <f aca="false">BD90+BE90-BF90</f>
        <v>0</v>
      </c>
      <c r="BH90" s="30" t="n">
        <f aca="false">BM89</f>
        <v>0</v>
      </c>
      <c r="BI90" s="30" t="n">
        <f aca="false">BH90*$BH$5/12</f>
        <v>0</v>
      </c>
      <c r="BJ90" s="30" t="n">
        <f aca="false">MIN($BH$6,BH90+BI90)</f>
        <v>0</v>
      </c>
      <c r="BK90" s="30" t="n">
        <f aca="false">MAX(0,MIN(BB90,BH90+BI90-BJ90))</f>
        <v>0</v>
      </c>
      <c r="BL90" s="29" t="n">
        <f aca="false">BB90-BK90</f>
        <v>690</v>
      </c>
      <c r="BM90" s="30" t="n">
        <f aca="false">BH90+BI90-BJ90-BK90</f>
        <v>0</v>
      </c>
      <c r="BN90" s="30" t="n">
        <f aca="false">BQ89</f>
        <v>0</v>
      </c>
      <c r="BO90" s="30" t="n">
        <f aca="false">BN90*$BH$5/12</f>
        <v>0</v>
      </c>
      <c r="BP90" s="30" t="n">
        <f aca="false">MIN($BH$6,BN90+BO90)</f>
        <v>0</v>
      </c>
      <c r="BQ90" s="30" t="n">
        <f aca="false">BN90+BO90-BP90</f>
        <v>0</v>
      </c>
      <c r="BR90" s="30" t="n">
        <f aca="false">BW89</f>
        <v>0</v>
      </c>
      <c r="BS90" s="30" t="n">
        <f aca="false">BR90*$BR$5/12</f>
        <v>0</v>
      </c>
      <c r="BT90" s="30" t="n">
        <f aca="false">MIN($BR$6,BR90+BS90)</f>
        <v>0</v>
      </c>
      <c r="BU90" s="30" t="n">
        <f aca="false">MAX(0,MIN(BL90,BR90+BS90-BT90))</f>
        <v>0</v>
      </c>
      <c r="BV90" s="29" t="n">
        <f aca="false">BL90-BU90</f>
        <v>690</v>
      </c>
      <c r="BW90" s="30" t="n">
        <f aca="false">BR90+BS90-BT90-BU90</f>
        <v>0</v>
      </c>
      <c r="BX90" s="30" t="n">
        <f aca="false">CA89</f>
        <v>0</v>
      </c>
      <c r="BY90" s="30" t="n">
        <f aca="false">BX90*$BR$5/12</f>
        <v>0</v>
      </c>
      <c r="BZ90" s="30" t="n">
        <f aca="false">MIN($BR$6,BX90+BY90)</f>
        <v>0</v>
      </c>
      <c r="CA90" s="30" t="n">
        <f aca="false">BX90+BY90-BZ90</f>
        <v>0</v>
      </c>
      <c r="CB90" s="30" t="n">
        <f aca="false">CG89</f>
        <v>0</v>
      </c>
      <c r="CC90" s="30" t="n">
        <f aca="false">CB90*$CB$5/12</f>
        <v>0</v>
      </c>
      <c r="CD90" s="30" t="n">
        <f aca="false">MIN($CB$6,CB90+CC90)</f>
        <v>0</v>
      </c>
      <c r="CE90" s="30" t="n">
        <f aca="false">MAX(0,MIN(BV90,CB90+CC90-CD90))</f>
        <v>0</v>
      </c>
      <c r="CF90" s="29" t="n">
        <f aca="false">BV90-CE90</f>
        <v>690</v>
      </c>
      <c r="CG90" s="30" t="n">
        <f aca="false">CB90+CC90-CD90-CE90</f>
        <v>0</v>
      </c>
      <c r="CH90" s="30" t="n">
        <f aca="false">CK89</f>
        <v>0</v>
      </c>
      <c r="CI90" s="30" t="n">
        <f aca="false">CH90*$CB$5/12</f>
        <v>0</v>
      </c>
      <c r="CJ90" s="30" t="n">
        <f aca="false">MIN($CB$6,CH90+CI90)</f>
        <v>0</v>
      </c>
      <c r="CK90" s="30" t="n">
        <f aca="false">CH90+CI90-CJ90</f>
        <v>0</v>
      </c>
    </row>
    <row r="91" customFormat="false" ht="15" hidden="false" customHeight="false" outlineLevel="0" collapsed="false">
      <c r="A91" s="0" t="n">
        <v>83</v>
      </c>
      <c r="B91" s="29" t="n">
        <f aca="false">'1 Your debts'!$B$16-(L91+V91+AF91+AP91+AZ91+BJ91+BT91+CD91)</f>
        <v>690</v>
      </c>
      <c r="C91" s="34" t="n">
        <f aca="false">O91+Y91+AI91+AS91+BC91+BM91+BW91+CG91</f>
        <v>0</v>
      </c>
      <c r="D91" s="34" t="n">
        <f aca="false">K91+U91+AE91+AO91+AY91+BI91+BS91+CC91</f>
        <v>0</v>
      </c>
      <c r="F91" s="34" t="n">
        <f aca="false">S91+AC91+AM91+AW91+BG91+BQ91+CA91+CK91</f>
        <v>4829.33726007977</v>
      </c>
      <c r="G91" s="34" t="n">
        <f aca="false">Q91+AA91+AK91+AU91+BE91+BO91+BY91+CI91</f>
        <v>30.8371544399037</v>
      </c>
      <c r="J91" s="34" t="n">
        <f aca="false">O90</f>
        <v>0</v>
      </c>
      <c r="K91" s="34" t="n">
        <f aca="false">J91*$J$5/12</f>
        <v>0</v>
      </c>
      <c r="L91" s="29" t="n">
        <f aca="false">MIN($J$6,J91+K91)</f>
        <v>0</v>
      </c>
      <c r="M91" s="30" t="n">
        <f aca="false">MAX(0,MIN($B91,J91+K91-L91))</f>
        <v>0</v>
      </c>
      <c r="N91" s="29" t="n">
        <f aca="false">$B91-M91</f>
        <v>690</v>
      </c>
      <c r="O91" s="34" t="n">
        <f aca="false">J91+K91-L91-M91</f>
        <v>0</v>
      </c>
      <c r="P91" s="34" t="n">
        <f aca="false">S90</f>
        <v>478.211120926896</v>
      </c>
      <c r="Q91" s="34" t="n">
        <f aca="false">P91*$J$5/12</f>
        <v>9.95874659330261</v>
      </c>
      <c r="R91" s="29" t="n">
        <f aca="false">MIN($J$6,P91+Q91)</f>
        <v>105</v>
      </c>
      <c r="S91" s="34" t="n">
        <f aca="false">P91+Q91-R91</f>
        <v>383.169867520199</v>
      </c>
      <c r="T91" s="34" t="n">
        <f aca="false">Y90</f>
        <v>0</v>
      </c>
      <c r="U91" s="34" t="n">
        <f aca="false">T91*$T$5/12</f>
        <v>0</v>
      </c>
      <c r="V91" s="29" t="n">
        <f aca="false">MIN($T$6,T91+U91)</f>
        <v>0</v>
      </c>
      <c r="W91" s="30" t="n">
        <f aca="false">MAX(0,MIN(N91,T91+U91-V91))</f>
        <v>0</v>
      </c>
      <c r="X91" s="29" t="n">
        <f aca="false">N91-W91</f>
        <v>690</v>
      </c>
      <c r="Y91" s="34" t="n">
        <f aca="false">T91+U91-V91-W91</f>
        <v>0</v>
      </c>
      <c r="Z91" s="34" t="n">
        <f aca="false">AC90</f>
        <v>0</v>
      </c>
      <c r="AA91" s="34" t="n">
        <f aca="false">Z91*$T$5/12</f>
        <v>0</v>
      </c>
      <c r="AB91" s="29" t="n">
        <f aca="false">MIN($T$6,Z91+AA91)</f>
        <v>0</v>
      </c>
      <c r="AC91" s="34" t="n">
        <f aca="false">Z91+AA91-AB91</f>
        <v>0</v>
      </c>
      <c r="AD91" s="34" t="n">
        <f aca="false">AI90</f>
        <v>0</v>
      </c>
      <c r="AE91" s="34" t="n">
        <f aca="false">AD91*$AD$5/12</f>
        <v>0</v>
      </c>
      <c r="AF91" s="29" t="n">
        <f aca="false">MIN($AD$6,AD91+AE91)</f>
        <v>0</v>
      </c>
      <c r="AG91" s="30" t="n">
        <f aca="false">MAX(0,MIN(X91,AD91+AE91-AF91))</f>
        <v>0</v>
      </c>
      <c r="AH91" s="29" t="n">
        <f aca="false">X91-AG91</f>
        <v>690</v>
      </c>
      <c r="AI91" s="34" t="n">
        <f aca="false">AD91+AE91-AF91-AG91</f>
        <v>0</v>
      </c>
      <c r="AJ91" s="34" t="n">
        <f aca="false">AM90</f>
        <v>0</v>
      </c>
      <c r="AK91" s="34" t="n">
        <f aca="false">AJ91*$AD$5/12</f>
        <v>0</v>
      </c>
      <c r="AL91" s="29" t="n">
        <f aca="false">MIN($AD$6,AJ91+AK91)</f>
        <v>0</v>
      </c>
      <c r="AM91" s="34" t="n">
        <f aca="false">AJ91+AK91-AL91</f>
        <v>0</v>
      </c>
      <c r="AN91" s="34" t="n">
        <f aca="false">AS90</f>
        <v>0</v>
      </c>
      <c r="AO91" s="34" t="n">
        <f aca="false">AN91*$AN$5/12</f>
        <v>0</v>
      </c>
      <c r="AP91" s="29" t="n">
        <f aca="false">MIN($AN$6,AN91+AO91)</f>
        <v>0</v>
      </c>
      <c r="AQ91" s="30" t="n">
        <f aca="false">MAX(0,MIN(AH91,AN91+AO91-AP91))</f>
        <v>0</v>
      </c>
      <c r="AR91" s="29" t="n">
        <f aca="false">AH91-AQ91</f>
        <v>690</v>
      </c>
      <c r="AS91" s="34" t="n">
        <f aca="false">AN91+AO91-AP91-AQ91</f>
        <v>0</v>
      </c>
      <c r="AT91" s="34" t="n">
        <f aca="false">AW90</f>
        <v>4555.28898471297</v>
      </c>
      <c r="AU91" s="34" t="n">
        <f aca="false">AT91*$AN$5/12</f>
        <v>20.8784078466011</v>
      </c>
      <c r="AV91" s="29" t="n">
        <f aca="false">MIN($AN$6,AT91+AU91)</f>
        <v>130</v>
      </c>
      <c r="AW91" s="34" t="n">
        <f aca="false">AT91+AU91-AV91</f>
        <v>4446.16739255957</v>
      </c>
      <c r="AX91" s="30" t="n">
        <f aca="false">BC90</f>
        <v>0</v>
      </c>
      <c r="AY91" s="30" t="n">
        <f aca="false">AX91*$AX$5/12</f>
        <v>0</v>
      </c>
      <c r="AZ91" s="30" t="n">
        <f aca="false">MIN($AX$6,AX91+AY91)</f>
        <v>0</v>
      </c>
      <c r="BA91" s="30" t="n">
        <f aca="false">MAX(0,MIN(AR91,AX91+AY91-AZ91))</f>
        <v>0</v>
      </c>
      <c r="BB91" s="29" t="n">
        <f aca="false">AR91-BA91</f>
        <v>690</v>
      </c>
      <c r="BC91" s="30" t="n">
        <f aca="false">AX91+AY91-AZ91-BA91</f>
        <v>0</v>
      </c>
      <c r="BD91" s="30" t="n">
        <f aca="false">BG90</f>
        <v>0</v>
      </c>
      <c r="BE91" s="30" t="n">
        <f aca="false">BD91*$AX$5/12</f>
        <v>0</v>
      </c>
      <c r="BF91" s="30" t="n">
        <f aca="false">MIN($AX$6,BD91+BE91)</f>
        <v>0</v>
      </c>
      <c r="BG91" s="30" t="n">
        <f aca="false">BD91+BE91-BF91</f>
        <v>0</v>
      </c>
      <c r="BH91" s="30" t="n">
        <f aca="false">BM90</f>
        <v>0</v>
      </c>
      <c r="BI91" s="30" t="n">
        <f aca="false">BH91*$BH$5/12</f>
        <v>0</v>
      </c>
      <c r="BJ91" s="30" t="n">
        <f aca="false">MIN($BH$6,BH91+BI91)</f>
        <v>0</v>
      </c>
      <c r="BK91" s="30" t="n">
        <f aca="false">MAX(0,MIN(BB91,BH91+BI91-BJ91))</f>
        <v>0</v>
      </c>
      <c r="BL91" s="29" t="n">
        <f aca="false">BB91-BK91</f>
        <v>690</v>
      </c>
      <c r="BM91" s="30" t="n">
        <f aca="false">BH91+BI91-BJ91-BK91</f>
        <v>0</v>
      </c>
      <c r="BN91" s="30" t="n">
        <f aca="false">BQ90</f>
        <v>0</v>
      </c>
      <c r="BO91" s="30" t="n">
        <f aca="false">BN91*$BH$5/12</f>
        <v>0</v>
      </c>
      <c r="BP91" s="30" t="n">
        <f aca="false">MIN($BH$6,BN91+BO91)</f>
        <v>0</v>
      </c>
      <c r="BQ91" s="30" t="n">
        <f aca="false">BN91+BO91-BP91</f>
        <v>0</v>
      </c>
      <c r="BR91" s="30" t="n">
        <f aca="false">BW90</f>
        <v>0</v>
      </c>
      <c r="BS91" s="30" t="n">
        <f aca="false">BR91*$BR$5/12</f>
        <v>0</v>
      </c>
      <c r="BT91" s="30" t="n">
        <f aca="false">MIN($BR$6,BR91+BS91)</f>
        <v>0</v>
      </c>
      <c r="BU91" s="30" t="n">
        <f aca="false">MAX(0,MIN(BL91,BR91+BS91-BT91))</f>
        <v>0</v>
      </c>
      <c r="BV91" s="29" t="n">
        <f aca="false">BL91-BU91</f>
        <v>690</v>
      </c>
      <c r="BW91" s="30" t="n">
        <f aca="false">BR91+BS91-BT91-BU91</f>
        <v>0</v>
      </c>
      <c r="BX91" s="30" t="n">
        <f aca="false">CA90</f>
        <v>0</v>
      </c>
      <c r="BY91" s="30" t="n">
        <f aca="false">BX91*$BR$5/12</f>
        <v>0</v>
      </c>
      <c r="BZ91" s="30" t="n">
        <f aca="false">MIN($BR$6,BX91+BY91)</f>
        <v>0</v>
      </c>
      <c r="CA91" s="30" t="n">
        <f aca="false">BX91+BY91-BZ91</f>
        <v>0</v>
      </c>
      <c r="CB91" s="30" t="n">
        <f aca="false">CG90</f>
        <v>0</v>
      </c>
      <c r="CC91" s="30" t="n">
        <f aca="false">CB91*$CB$5/12</f>
        <v>0</v>
      </c>
      <c r="CD91" s="30" t="n">
        <f aca="false">MIN($CB$6,CB91+CC91)</f>
        <v>0</v>
      </c>
      <c r="CE91" s="30" t="n">
        <f aca="false">MAX(0,MIN(BV91,CB91+CC91-CD91))</f>
        <v>0</v>
      </c>
      <c r="CF91" s="29" t="n">
        <f aca="false">BV91-CE91</f>
        <v>690</v>
      </c>
      <c r="CG91" s="30" t="n">
        <f aca="false">CB91+CC91-CD91-CE91</f>
        <v>0</v>
      </c>
      <c r="CH91" s="30" t="n">
        <f aca="false">CK90</f>
        <v>0</v>
      </c>
      <c r="CI91" s="30" t="n">
        <f aca="false">CH91*$CB$5/12</f>
        <v>0</v>
      </c>
      <c r="CJ91" s="30" t="n">
        <f aca="false">MIN($CB$6,CH91+CI91)</f>
        <v>0</v>
      </c>
      <c r="CK91" s="30" t="n">
        <f aca="false">CH91+CI91-CJ91</f>
        <v>0</v>
      </c>
    </row>
    <row r="92" customFormat="false" ht="15" hidden="false" customHeight="false" outlineLevel="0" collapsed="false">
      <c r="A92" s="0" t="n">
        <v>84</v>
      </c>
      <c r="B92" s="29" t="n">
        <f aca="false">'1 Your debts'!$B$16-(L92+V92+AF92+AP92+AZ92+BJ92+BT92+CD92)</f>
        <v>690</v>
      </c>
      <c r="C92" s="34" t="n">
        <f aca="false">O92+Y92+AI92+AS92+BC92+BM92+BW92+CG92</f>
        <v>0</v>
      </c>
      <c r="D92" s="34" t="n">
        <f aca="false">K92+U92+AE92+AO92+AY92+BI92+BS92+CC92</f>
        <v>0</v>
      </c>
      <c r="F92" s="34" t="n">
        <f aca="false">S92+AC92+AM92+AW92+BG92+BQ92+CA92+CK92</f>
        <v>4622.69503978677</v>
      </c>
      <c r="G92" s="34" t="n">
        <f aca="false">Q92+AA92+AK92+AU92+BE92+BO92+BY92+CI92</f>
        <v>28.3577797070062</v>
      </c>
      <c r="J92" s="34" t="n">
        <f aca="false">O91</f>
        <v>0</v>
      </c>
      <c r="K92" s="34" t="n">
        <f aca="false">J92*$J$5/12</f>
        <v>0</v>
      </c>
      <c r="L92" s="29" t="n">
        <f aca="false">MIN($J$6,J92+K92)</f>
        <v>0</v>
      </c>
      <c r="M92" s="30" t="n">
        <f aca="false">MAX(0,MIN($B92,J92+K92-L92))</f>
        <v>0</v>
      </c>
      <c r="N92" s="29" t="n">
        <f aca="false">$B92-M92</f>
        <v>690</v>
      </c>
      <c r="O92" s="34" t="n">
        <f aca="false">J92+K92-L92-M92</f>
        <v>0</v>
      </c>
      <c r="P92" s="34" t="n">
        <f aca="false">S91</f>
        <v>383.169867520199</v>
      </c>
      <c r="Q92" s="34" t="n">
        <f aca="false">P92*$J$5/12</f>
        <v>7.97951249110814</v>
      </c>
      <c r="R92" s="29" t="n">
        <f aca="false">MIN($J$6,P92+Q92)</f>
        <v>105</v>
      </c>
      <c r="S92" s="34" t="n">
        <f aca="false">P92+Q92-R92</f>
        <v>286.149380011307</v>
      </c>
      <c r="T92" s="34" t="n">
        <f aca="false">Y91</f>
        <v>0</v>
      </c>
      <c r="U92" s="34" t="n">
        <f aca="false">T92*$T$5/12</f>
        <v>0</v>
      </c>
      <c r="V92" s="29" t="n">
        <f aca="false">MIN($T$6,T92+U92)</f>
        <v>0</v>
      </c>
      <c r="W92" s="30" t="n">
        <f aca="false">MAX(0,MIN(N92,T92+U92-V92))</f>
        <v>0</v>
      </c>
      <c r="X92" s="29" t="n">
        <f aca="false">N92-W92</f>
        <v>690</v>
      </c>
      <c r="Y92" s="34" t="n">
        <f aca="false">T92+U92-V92-W92</f>
        <v>0</v>
      </c>
      <c r="Z92" s="34" t="n">
        <f aca="false">AC91</f>
        <v>0</v>
      </c>
      <c r="AA92" s="34" t="n">
        <f aca="false">Z92*$T$5/12</f>
        <v>0</v>
      </c>
      <c r="AB92" s="29" t="n">
        <f aca="false">MIN($T$6,Z92+AA92)</f>
        <v>0</v>
      </c>
      <c r="AC92" s="34" t="n">
        <f aca="false">Z92+AA92-AB92</f>
        <v>0</v>
      </c>
      <c r="AD92" s="34" t="n">
        <f aca="false">AI91</f>
        <v>0</v>
      </c>
      <c r="AE92" s="34" t="n">
        <f aca="false">AD92*$AD$5/12</f>
        <v>0</v>
      </c>
      <c r="AF92" s="29" t="n">
        <f aca="false">MIN($AD$6,AD92+AE92)</f>
        <v>0</v>
      </c>
      <c r="AG92" s="30" t="n">
        <f aca="false">MAX(0,MIN(X92,AD92+AE92-AF92))</f>
        <v>0</v>
      </c>
      <c r="AH92" s="29" t="n">
        <f aca="false">X92-AG92</f>
        <v>690</v>
      </c>
      <c r="AI92" s="34" t="n">
        <f aca="false">AD92+AE92-AF92-AG92</f>
        <v>0</v>
      </c>
      <c r="AJ92" s="34" t="n">
        <f aca="false">AM91</f>
        <v>0</v>
      </c>
      <c r="AK92" s="34" t="n">
        <f aca="false">AJ92*$AD$5/12</f>
        <v>0</v>
      </c>
      <c r="AL92" s="29" t="n">
        <f aca="false">MIN($AD$6,AJ92+AK92)</f>
        <v>0</v>
      </c>
      <c r="AM92" s="34" t="n">
        <f aca="false">AJ92+AK92-AL92</f>
        <v>0</v>
      </c>
      <c r="AN92" s="34" t="n">
        <f aca="false">AS91</f>
        <v>0</v>
      </c>
      <c r="AO92" s="34" t="n">
        <f aca="false">AN92*$AN$5/12</f>
        <v>0</v>
      </c>
      <c r="AP92" s="29" t="n">
        <f aca="false">MIN($AN$6,AN92+AO92)</f>
        <v>0</v>
      </c>
      <c r="AQ92" s="30" t="n">
        <f aca="false">MAX(0,MIN(AH92,AN92+AO92-AP92))</f>
        <v>0</v>
      </c>
      <c r="AR92" s="29" t="n">
        <f aca="false">AH92-AQ92</f>
        <v>690</v>
      </c>
      <c r="AS92" s="34" t="n">
        <f aca="false">AN92+AO92-AP92-AQ92</f>
        <v>0</v>
      </c>
      <c r="AT92" s="34" t="n">
        <f aca="false">AW91</f>
        <v>4446.16739255957</v>
      </c>
      <c r="AU92" s="34" t="n">
        <f aca="false">AT92*$AN$5/12</f>
        <v>20.378267215898</v>
      </c>
      <c r="AV92" s="29" t="n">
        <f aca="false">MIN($AN$6,AT92+AU92)</f>
        <v>130</v>
      </c>
      <c r="AW92" s="34" t="n">
        <f aca="false">AT92+AU92-AV92</f>
        <v>4336.54565977547</v>
      </c>
      <c r="AX92" s="30" t="n">
        <f aca="false">BC91</f>
        <v>0</v>
      </c>
      <c r="AY92" s="30" t="n">
        <f aca="false">AX92*$AX$5/12</f>
        <v>0</v>
      </c>
      <c r="AZ92" s="30" t="n">
        <f aca="false">MIN($AX$6,AX92+AY92)</f>
        <v>0</v>
      </c>
      <c r="BA92" s="30" t="n">
        <f aca="false">MAX(0,MIN(AR92,AX92+AY92-AZ92))</f>
        <v>0</v>
      </c>
      <c r="BB92" s="29" t="n">
        <f aca="false">AR92-BA92</f>
        <v>690</v>
      </c>
      <c r="BC92" s="30" t="n">
        <f aca="false">AX92+AY92-AZ92-BA92</f>
        <v>0</v>
      </c>
      <c r="BD92" s="30" t="n">
        <f aca="false">BG91</f>
        <v>0</v>
      </c>
      <c r="BE92" s="30" t="n">
        <f aca="false">BD92*$AX$5/12</f>
        <v>0</v>
      </c>
      <c r="BF92" s="30" t="n">
        <f aca="false">MIN($AX$6,BD92+BE92)</f>
        <v>0</v>
      </c>
      <c r="BG92" s="30" t="n">
        <f aca="false">BD92+BE92-BF92</f>
        <v>0</v>
      </c>
      <c r="BH92" s="30" t="n">
        <f aca="false">BM91</f>
        <v>0</v>
      </c>
      <c r="BI92" s="30" t="n">
        <f aca="false">BH92*$BH$5/12</f>
        <v>0</v>
      </c>
      <c r="BJ92" s="30" t="n">
        <f aca="false">MIN($BH$6,BH92+BI92)</f>
        <v>0</v>
      </c>
      <c r="BK92" s="30" t="n">
        <f aca="false">MAX(0,MIN(BB92,BH92+BI92-BJ92))</f>
        <v>0</v>
      </c>
      <c r="BL92" s="29" t="n">
        <f aca="false">BB92-BK92</f>
        <v>690</v>
      </c>
      <c r="BM92" s="30" t="n">
        <f aca="false">BH92+BI92-BJ92-BK92</f>
        <v>0</v>
      </c>
      <c r="BN92" s="30" t="n">
        <f aca="false">BQ91</f>
        <v>0</v>
      </c>
      <c r="BO92" s="30" t="n">
        <f aca="false">BN92*$BH$5/12</f>
        <v>0</v>
      </c>
      <c r="BP92" s="30" t="n">
        <f aca="false">MIN($BH$6,BN92+BO92)</f>
        <v>0</v>
      </c>
      <c r="BQ92" s="30" t="n">
        <f aca="false">BN92+BO92-BP92</f>
        <v>0</v>
      </c>
      <c r="BR92" s="30" t="n">
        <f aca="false">BW91</f>
        <v>0</v>
      </c>
      <c r="BS92" s="30" t="n">
        <f aca="false">BR92*$BR$5/12</f>
        <v>0</v>
      </c>
      <c r="BT92" s="30" t="n">
        <f aca="false">MIN($BR$6,BR92+BS92)</f>
        <v>0</v>
      </c>
      <c r="BU92" s="30" t="n">
        <f aca="false">MAX(0,MIN(BL92,BR92+BS92-BT92))</f>
        <v>0</v>
      </c>
      <c r="BV92" s="29" t="n">
        <f aca="false">BL92-BU92</f>
        <v>690</v>
      </c>
      <c r="BW92" s="30" t="n">
        <f aca="false">BR92+BS92-BT92-BU92</f>
        <v>0</v>
      </c>
      <c r="BX92" s="30" t="n">
        <f aca="false">CA91</f>
        <v>0</v>
      </c>
      <c r="BY92" s="30" t="n">
        <f aca="false">BX92*$BR$5/12</f>
        <v>0</v>
      </c>
      <c r="BZ92" s="30" t="n">
        <f aca="false">MIN($BR$6,BX92+BY92)</f>
        <v>0</v>
      </c>
      <c r="CA92" s="30" t="n">
        <f aca="false">BX92+BY92-BZ92</f>
        <v>0</v>
      </c>
      <c r="CB92" s="30" t="n">
        <f aca="false">CG91</f>
        <v>0</v>
      </c>
      <c r="CC92" s="30" t="n">
        <f aca="false">CB92*$CB$5/12</f>
        <v>0</v>
      </c>
      <c r="CD92" s="30" t="n">
        <f aca="false">MIN($CB$6,CB92+CC92)</f>
        <v>0</v>
      </c>
      <c r="CE92" s="30" t="n">
        <f aca="false">MAX(0,MIN(BV92,CB92+CC92-CD92))</f>
        <v>0</v>
      </c>
      <c r="CF92" s="29" t="n">
        <f aca="false">BV92-CE92</f>
        <v>690</v>
      </c>
      <c r="CG92" s="30" t="n">
        <f aca="false">CB92+CC92-CD92-CE92</f>
        <v>0</v>
      </c>
      <c r="CH92" s="30" t="n">
        <f aca="false">CK91</f>
        <v>0</v>
      </c>
      <c r="CI92" s="30" t="n">
        <f aca="false">CH92*$CB$5/12</f>
        <v>0</v>
      </c>
      <c r="CJ92" s="30" t="n">
        <f aca="false">MIN($CB$6,CH92+CI92)</f>
        <v>0</v>
      </c>
      <c r="CK92" s="30" t="n">
        <f aca="false">CH92+CI92-CJ92</f>
        <v>0</v>
      </c>
    </row>
    <row r="93" customFormat="false" ht="15" hidden="false" customHeight="false" outlineLevel="0" collapsed="false">
      <c r="A93" s="0" t="n">
        <v>85</v>
      </c>
      <c r="B93" s="29" t="n">
        <f aca="false">'1 Your debts'!$B$16-(L93+V93+AF93+AP93+AZ93+BJ93+BT93+CD93)</f>
        <v>690</v>
      </c>
      <c r="C93" s="34" t="n">
        <f aca="false">O93+Y93+AI93+AS93+BC93+BM93+BW93+CG93</f>
        <v>0</v>
      </c>
      <c r="D93" s="34" t="n">
        <f aca="false">K93+U93+AE93+AO93+AY93+BI93+BS93+CC93</f>
        <v>0</v>
      </c>
      <c r="F93" s="34" t="n">
        <f aca="false">S93+AC93+AM93+AW93+BG93+BQ93+CA93+CK93</f>
        <v>4413.52993489948</v>
      </c>
      <c r="G93" s="34" t="n">
        <f aca="false">Q93+AA93+AK93+AU93+BE93+BO93+BY93+CI93</f>
        <v>25.8348951127064</v>
      </c>
      <c r="J93" s="34" t="n">
        <f aca="false">O92</f>
        <v>0</v>
      </c>
      <c r="K93" s="34" t="n">
        <f aca="false">J93*$J$5/12</f>
        <v>0</v>
      </c>
      <c r="L93" s="29" t="n">
        <f aca="false">MIN($J$6,J93+K93)</f>
        <v>0</v>
      </c>
      <c r="M93" s="30" t="n">
        <f aca="false">MAX(0,MIN($B93,J93+K93-L93))</f>
        <v>0</v>
      </c>
      <c r="N93" s="29" t="n">
        <f aca="false">$B93-M93</f>
        <v>690</v>
      </c>
      <c r="O93" s="34" t="n">
        <f aca="false">J93+K93-L93-M93</f>
        <v>0</v>
      </c>
      <c r="P93" s="34" t="n">
        <f aca="false">S92</f>
        <v>286.149380011307</v>
      </c>
      <c r="Q93" s="34" t="n">
        <f aca="false">P93*$J$5/12</f>
        <v>5.95906083873547</v>
      </c>
      <c r="R93" s="29" t="n">
        <f aca="false">MIN($J$6,P93+Q93)</f>
        <v>105</v>
      </c>
      <c r="S93" s="34" t="n">
        <f aca="false">P93+Q93-R93</f>
        <v>187.108440850042</v>
      </c>
      <c r="T93" s="34" t="n">
        <f aca="false">Y92</f>
        <v>0</v>
      </c>
      <c r="U93" s="34" t="n">
        <f aca="false">T93*$T$5/12</f>
        <v>0</v>
      </c>
      <c r="V93" s="29" t="n">
        <f aca="false">MIN($T$6,T93+U93)</f>
        <v>0</v>
      </c>
      <c r="W93" s="30" t="n">
        <f aca="false">MAX(0,MIN(N93,T93+U93-V93))</f>
        <v>0</v>
      </c>
      <c r="X93" s="29" t="n">
        <f aca="false">N93-W93</f>
        <v>690</v>
      </c>
      <c r="Y93" s="34" t="n">
        <f aca="false">T93+U93-V93-W93</f>
        <v>0</v>
      </c>
      <c r="Z93" s="34" t="n">
        <f aca="false">AC92</f>
        <v>0</v>
      </c>
      <c r="AA93" s="34" t="n">
        <f aca="false">Z93*$T$5/12</f>
        <v>0</v>
      </c>
      <c r="AB93" s="29" t="n">
        <f aca="false">MIN($T$6,Z93+AA93)</f>
        <v>0</v>
      </c>
      <c r="AC93" s="34" t="n">
        <f aca="false">Z93+AA93-AB93</f>
        <v>0</v>
      </c>
      <c r="AD93" s="34" t="n">
        <f aca="false">AI92</f>
        <v>0</v>
      </c>
      <c r="AE93" s="34" t="n">
        <f aca="false">AD93*$AD$5/12</f>
        <v>0</v>
      </c>
      <c r="AF93" s="29" t="n">
        <f aca="false">MIN($AD$6,AD93+AE93)</f>
        <v>0</v>
      </c>
      <c r="AG93" s="30" t="n">
        <f aca="false">MAX(0,MIN(X93,AD93+AE93-AF93))</f>
        <v>0</v>
      </c>
      <c r="AH93" s="29" t="n">
        <f aca="false">X93-AG93</f>
        <v>690</v>
      </c>
      <c r="AI93" s="34" t="n">
        <f aca="false">AD93+AE93-AF93-AG93</f>
        <v>0</v>
      </c>
      <c r="AJ93" s="34" t="n">
        <f aca="false">AM92</f>
        <v>0</v>
      </c>
      <c r="AK93" s="34" t="n">
        <f aca="false">AJ93*$AD$5/12</f>
        <v>0</v>
      </c>
      <c r="AL93" s="29" t="n">
        <f aca="false">MIN($AD$6,AJ93+AK93)</f>
        <v>0</v>
      </c>
      <c r="AM93" s="34" t="n">
        <f aca="false">AJ93+AK93-AL93</f>
        <v>0</v>
      </c>
      <c r="AN93" s="34" t="n">
        <f aca="false">AS92</f>
        <v>0</v>
      </c>
      <c r="AO93" s="34" t="n">
        <f aca="false">AN93*$AN$5/12</f>
        <v>0</v>
      </c>
      <c r="AP93" s="29" t="n">
        <f aca="false">MIN($AN$6,AN93+AO93)</f>
        <v>0</v>
      </c>
      <c r="AQ93" s="30" t="n">
        <f aca="false">MAX(0,MIN(AH93,AN93+AO93-AP93))</f>
        <v>0</v>
      </c>
      <c r="AR93" s="29" t="n">
        <f aca="false">AH93-AQ93</f>
        <v>690</v>
      </c>
      <c r="AS93" s="34" t="n">
        <f aca="false">AN93+AO93-AP93-AQ93</f>
        <v>0</v>
      </c>
      <c r="AT93" s="34" t="n">
        <f aca="false">AW92</f>
        <v>4336.54565977547</v>
      </c>
      <c r="AU93" s="34" t="n">
        <f aca="false">AT93*$AN$5/12</f>
        <v>19.8758342739709</v>
      </c>
      <c r="AV93" s="29" t="n">
        <f aca="false">MIN($AN$6,AT93+AU93)</f>
        <v>130</v>
      </c>
      <c r="AW93" s="34" t="n">
        <f aca="false">AT93+AU93-AV93</f>
        <v>4226.42149404944</v>
      </c>
      <c r="AX93" s="30" t="n">
        <f aca="false">BC92</f>
        <v>0</v>
      </c>
      <c r="AY93" s="30" t="n">
        <f aca="false">AX93*$AX$5/12</f>
        <v>0</v>
      </c>
      <c r="AZ93" s="30" t="n">
        <f aca="false">MIN($AX$6,AX93+AY93)</f>
        <v>0</v>
      </c>
      <c r="BA93" s="30" t="n">
        <f aca="false">MAX(0,MIN(AR93,AX93+AY93-AZ93))</f>
        <v>0</v>
      </c>
      <c r="BB93" s="29" t="n">
        <f aca="false">AR93-BA93</f>
        <v>690</v>
      </c>
      <c r="BC93" s="30" t="n">
        <f aca="false">AX93+AY93-AZ93-BA93</f>
        <v>0</v>
      </c>
      <c r="BD93" s="30" t="n">
        <f aca="false">BG92</f>
        <v>0</v>
      </c>
      <c r="BE93" s="30" t="n">
        <f aca="false">BD93*$AX$5/12</f>
        <v>0</v>
      </c>
      <c r="BF93" s="30" t="n">
        <f aca="false">MIN($AX$6,BD93+BE93)</f>
        <v>0</v>
      </c>
      <c r="BG93" s="30" t="n">
        <f aca="false">BD93+BE93-BF93</f>
        <v>0</v>
      </c>
      <c r="BH93" s="30" t="n">
        <f aca="false">BM92</f>
        <v>0</v>
      </c>
      <c r="BI93" s="30" t="n">
        <f aca="false">BH93*$BH$5/12</f>
        <v>0</v>
      </c>
      <c r="BJ93" s="30" t="n">
        <f aca="false">MIN($BH$6,BH93+BI93)</f>
        <v>0</v>
      </c>
      <c r="BK93" s="30" t="n">
        <f aca="false">MAX(0,MIN(BB93,BH93+BI93-BJ93))</f>
        <v>0</v>
      </c>
      <c r="BL93" s="29" t="n">
        <f aca="false">BB93-BK93</f>
        <v>690</v>
      </c>
      <c r="BM93" s="30" t="n">
        <f aca="false">BH93+BI93-BJ93-BK93</f>
        <v>0</v>
      </c>
      <c r="BN93" s="30" t="n">
        <f aca="false">BQ92</f>
        <v>0</v>
      </c>
      <c r="BO93" s="30" t="n">
        <f aca="false">BN93*$BH$5/12</f>
        <v>0</v>
      </c>
      <c r="BP93" s="30" t="n">
        <f aca="false">MIN($BH$6,BN93+BO93)</f>
        <v>0</v>
      </c>
      <c r="BQ93" s="30" t="n">
        <f aca="false">BN93+BO93-BP93</f>
        <v>0</v>
      </c>
      <c r="BR93" s="30" t="n">
        <f aca="false">BW92</f>
        <v>0</v>
      </c>
      <c r="BS93" s="30" t="n">
        <f aca="false">BR93*$BR$5/12</f>
        <v>0</v>
      </c>
      <c r="BT93" s="30" t="n">
        <f aca="false">MIN($BR$6,BR93+BS93)</f>
        <v>0</v>
      </c>
      <c r="BU93" s="30" t="n">
        <f aca="false">MAX(0,MIN(BL93,BR93+BS93-BT93))</f>
        <v>0</v>
      </c>
      <c r="BV93" s="29" t="n">
        <f aca="false">BL93-BU93</f>
        <v>690</v>
      </c>
      <c r="BW93" s="30" t="n">
        <f aca="false">BR93+BS93-BT93-BU93</f>
        <v>0</v>
      </c>
      <c r="BX93" s="30" t="n">
        <f aca="false">CA92</f>
        <v>0</v>
      </c>
      <c r="BY93" s="30" t="n">
        <f aca="false">BX93*$BR$5/12</f>
        <v>0</v>
      </c>
      <c r="BZ93" s="30" t="n">
        <f aca="false">MIN($BR$6,BX93+BY93)</f>
        <v>0</v>
      </c>
      <c r="CA93" s="30" t="n">
        <f aca="false">BX93+BY93-BZ93</f>
        <v>0</v>
      </c>
      <c r="CB93" s="30" t="n">
        <f aca="false">CG92</f>
        <v>0</v>
      </c>
      <c r="CC93" s="30" t="n">
        <f aca="false">CB93*$CB$5/12</f>
        <v>0</v>
      </c>
      <c r="CD93" s="30" t="n">
        <f aca="false">MIN($CB$6,CB93+CC93)</f>
        <v>0</v>
      </c>
      <c r="CE93" s="30" t="n">
        <f aca="false">MAX(0,MIN(BV93,CB93+CC93-CD93))</f>
        <v>0</v>
      </c>
      <c r="CF93" s="29" t="n">
        <f aca="false">BV93-CE93</f>
        <v>690</v>
      </c>
      <c r="CG93" s="30" t="n">
        <f aca="false">CB93+CC93-CD93-CE93</f>
        <v>0</v>
      </c>
      <c r="CH93" s="30" t="n">
        <f aca="false">CK92</f>
        <v>0</v>
      </c>
      <c r="CI93" s="30" t="n">
        <f aca="false">CH93*$CB$5/12</f>
        <v>0</v>
      </c>
      <c r="CJ93" s="30" t="n">
        <f aca="false">MIN($CB$6,CH93+CI93)</f>
        <v>0</v>
      </c>
      <c r="CK93" s="30" t="n">
        <f aca="false">CH93+CI93-CJ93</f>
        <v>0</v>
      </c>
    </row>
    <row r="94" customFormat="false" ht="15" hidden="false" customHeight="false" outlineLevel="0" collapsed="false">
      <c r="A94" s="0" t="n">
        <v>86</v>
      </c>
      <c r="B94" s="29" t="n">
        <f aca="false">'1 Your debts'!$B$16-(L94+V94+AF94+AP94+AZ94+BJ94+BT94+CD94)</f>
        <v>690</v>
      </c>
      <c r="C94" s="34" t="n">
        <f aca="false">O94+Y94+AI94+AS94+BC94+BM94+BW94+CG94</f>
        <v>0</v>
      </c>
      <c r="D94" s="34" t="n">
        <f aca="false">K94+U94+AE94+AO94+AY94+BI94+BS94+CC94</f>
        <v>0</v>
      </c>
      <c r="F94" s="34" t="n">
        <f aca="false">S94+AC94+AM94+AW94+BG94+BQ94+CA94+CK94</f>
        <v>4201.79756669458</v>
      </c>
      <c r="G94" s="34" t="n">
        <f aca="false">Q94+AA94+AK94+AU94+BE94+BO94+BY94+CI94</f>
        <v>23.2676317950954</v>
      </c>
      <c r="J94" s="34" t="n">
        <f aca="false">O93</f>
        <v>0</v>
      </c>
      <c r="K94" s="34" t="n">
        <f aca="false">J94*$J$5/12</f>
        <v>0</v>
      </c>
      <c r="L94" s="29" t="n">
        <f aca="false">MIN($J$6,J94+K94)</f>
        <v>0</v>
      </c>
      <c r="M94" s="30" t="n">
        <f aca="false">MAX(0,MIN($B94,J94+K94-L94))</f>
        <v>0</v>
      </c>
      <c r="N94" s="29" t="n">
        <f aca="false">$B94-M94</f>
        <v>690</v>
      </c>
      <c r="O94" s="34" t="n">
        <f aca="false">J94+K94-L94-M94</f>
        <v>0</v>
      </c>
      <c r="P94" s="34" t="n">
        <f aca="false">S93</f>
        <v>187.108440850042</v>
      </c>
      <c r="Q94" s="34" t="n">
        <f aca="false">P94*$J$5/12</f>
        <v>3.89653328070213</v>
      </c>
      <c r="R94" s="29" t="n">
        <f aca="false">MIN($J$6,P94+Q94)</f>
        <v>105</v>
      </c>
      <c r="S94" s="34" t="n">
        <f aca="false">P94+Q94-R94</f>
        <v>86.0049741307445</v>
      </c>
      <c r="T94" s="34" t="n">
        <f aca="false">Y93</f>
        <v>0</v>
      </c>
      <c r="U94" s="34" t="n">
        <f aca="false">T94*$T$5/12</f>
        <v>0</v>
      </c>
      <c r="V94" s="29" t="n">
        <f aca="false">MIN($T$6,T94+U94)</f>
        <v>0</v>
      </c>
      <c r="W94" s="30" t="n">
        <f aca="false">MAX(0,MIN(N94,T94+U94-V94))</f>
        <v>0</v>
      </c>
      <c r="X94" s="29" t="n">
        <f aca="false">N94-W94</f>
        <v>690</v>
      </c>
      <c r="Y94" s="34" t="n">
        <f aca="false">T94+U94-V94-W94</f>
        <v>0</v>
      </c>
      <c r="Z94" s="34" t="n">
        <f aca="false">AC93</f>
        <v>0</v>
      </c>
      <c r="AA94" s="34" t="n">
        <f aca="false">Z94*$T$5/12</f>
        <v>0</v>
      </c>
      <c r="AB94" s="29" t="n">
        <f aca="false">MIN($T$6,Z94+AA94)</f>
        <v>0</v>
      </c>
      <c r="AC94" s="34" t="n">
        <f aca="false">Z94+AA94-AB94</f>
        <v>0</v>
      </c>
      <c r="AD94" s="34" t="n">
        <f aca="false">AI93</f>
        <v>0</v>
      </c>
      <c r="AE94" s="34" t="n">
        <f aca="false">AD94*$AD$5/12</f>
        <v>0</v>
      </c>
      <c r="AF94" s="29" t="n">
        <f aca="false">MIN($AD$6,AD94+AE94)</f>
        <v>0</v>
      </c>
      <c r="AG94" s="30" t="n">
        <f aca="false">MAX(0,MIN(X94,AD94+AE94-AF94))</f>
        <v>0</v>
      </c>
      <c r="AH94" s="29" t="n">
        <f aca="false">X94-AG94</f>
        <v>690</v>
      </c>
      <c r="AI94" s="34" t="n">
        <f aca="false">AD94+AE94-AF94-AG94</f>
        <v>0</v>
      </c>
      <c r="AJ94" s="34" t="n">
        <f aca="false">AM93</f>
        <v>0</v>
      </c>
      <c r="AK94" s="34" t="n">
        <f aca="false">AJ94*$AD$5/12</f>
        <v>0</v>
      </c>
      <c r="AL94" s="29" t="n">
        <f aca="false">MIN($AD$6,AJ94+AK94)</f>
        <v>0</v>
      </c>
      <c r="AM94" s="34" t="n">
        <f aca="false">AJ94+AK94-AL94</f>
        <v>0</v>
      </c>
      <c r="AN94" s="34" t="n">
        <f aca="false">AS93</f>
        <v>0</v>
      </c>
      <c r="AO94" s="34" t="n">
        <f aca="false">AN94*$AN$5/12</f>
        <v>0</v>
      </c>
      <c r="AP94" s="29" t="n">
        <f aca="false">MIN($AN$6,AN94+AO94)</f>
        <v>0</v>
      </c>
      <c r="AQ94" s="30" t="n">
        <f aca="false">MAX(0,MIN(AH94,AN94+AO94-AP94))</f>
        <v>0</v>
      </c>
      <c r="AR94" s="29" t="n">
        <f aca="false">AH94-AQ94</f>
        <v>690</v>
      </c>
      <c r="AS94" s="34" t="n">
        <f aca="false">AN94+AO94-AP94-AQ94</f>
        <v>0</v>
      </c>
      <c r="AT94" s="34" t="n">
        <f aca="false">AW93</f>
        <v>4226.42149404944</v>
      </c>
      <c r="AU94" s="34" t="n">
        <f aca="false">AT94*$AN$5/12</f>
        <v>19.3710985143933</v>
      </c>
      <c r="AV94" s="29" t="n">
        <f aca="false">MIN($AN$6,AT94+AU94)</f>
        <v>130</v>
      </c>
      <c r="AW94" s="34" t="n">
        <f aca="false">AT94+AU94-AV94</f>
        <v>4115.79259256383</v>
      </c>
      <c r="AX94" s="30" t="n">
        <f aca="false">BC93</f>
        <v>0</v>
      </c>
      <c r="AY94" s="30" t="n">
        <f aca="false">AX94*$AX$5/12</f>
        <v>0</v>
      </c>
      <c r="AZ94" s="30" t="n">
        <f aca="false">MIN($AX$6,AX94+AY94)</f>
        <v>0</v>
      </c>
      <c r="BA94" s="30" t="n">
        <f aca="false">MAX(0,MIN(AR94,AX94+AY94-AZ94))</f>
        <v>0</v>
      </c>
      <c r="BB94" s="29" t="n">
        <f aca="false">AR94-BA94</f>
        <v>690</v>
      </c>
      <c r="BC94" s="30" t="n">
        <f aca="false">AX94+AY94-AZ94-BA94</f>
        <v>0</v>
      </c>
      <c r="BD94" s="30" t="n">
        <f aca="false">BG93</f>
        <v>0</v>
      </c>
      <c r="BE94" s="30" t="n">
        <f aca="false">BD94*$AX$5/12</f>
        <v>0</v>
      </c>
      <c r="BF94" s="30" t="n">
        <f aca="false">MIN($AX$6,BD94+BE94)</f>
        <v>0</v>
      </c>
      <c r="BG94" s="30" t="n">
        <f aca="false">BD94+BE94-BF94</f>
        <v>0</v>
      </c>
      <c r="BH94" s="30" t="n">
        <f aca="false">BM93</f>
        <v>0</v>
      </c>
      <c r="BI94" s="30" t="n">
        <f aca="false">BH94*$BH$5/12</f>
        <v>0</v>
      </c>
      <c r="BJ94" s="30" t="n">
        <f aca="false">MIN($BH$6,BH94+BI94)</f>
        <v>0</v>
      </c>
      <c r="BK94" s="30" t="n">
        <f aca="false">MAX(0,MIN(BB94,BH94+BI94-BJ94))</f>
        <v>0</v>
      </c>
      <c r="BL94" s="29" t="n">
        <f aca="false">BB94-BK94</f>
        <v>690</v>
      </c>
      <c r="BM94" s="30" t="n">
        <f aca="false">BH94+BI94-BJ94-BK94</f>
        <v>0</v>
      </c>
      <c r="BN94" s="30" t="n">
        <f aca="false">BQ93</f>
        <v>0</v>
      </c>
      <c r="BO94" s="30" t="n">
        <f aca="false">BN94*$BH$5/12</f>
        <v>0</v>
      </c>
      <c r="BP94" s="30" t="n">
        <f aca="false">MIN($BH$6,BN94+BO94)</f>
        <v>0</v>
      </c>
      <c r="BQ94" s="30" t="n">
        <f aca="false">BN94+BO94-BP94</f>
        <v>0</v>
      </c>
      <c r="BR94" s="30" t="n">
        <f aca="false">BW93</f>
        <v>0</v>
      </c>
      <c r="BS94" s="30" t="n">
        <f aca="false">BR94*$BR$5/12</f>
        <v>0</v>
      </c>
      <c r="BT94" s="30" t="n">
        <f aca="false">MIN($BR$6,BR94+BS94)</f>
        <v>0</v>
      </c>
      <c r="BU94" s="30" t="n">
        <f aca="false">MAX(0,MIN(BL94,BR94+BS94-BT94))</f>
        <v>0</v>
      </c>
      <c r="BV94" s="29" t="n">
        <f aca="false">BL94-BU94</f>
        <v>690</v>
      </c>
      <c r="BW94" s="30" t="n">
        <f aca="false">BR94+BS94-BT94-BU94</f>
        <v>0</v>
      </c>
      <c r="BX94" s="30" t="n">
        <f aca="false">CA93</f>
        <v>0</v>
      </c>
      <c r="BY94" s="30" t="n">
        <f aca="false">BX94*$BR$5/12</f>
        <v>0</v>
      </c>
      <c r="BZ94" s="30" t="n">
        <f aca="false">MIN($BR$6,BX94+BY94)</f>
        <v>0</v>
      </c>
      <c r="CA94" s="30" t="n">
        <f aca="false">BX94+BY94-BZ94</f>
        <v>0</v>
      </c>
      <c r="CB94" s="30" t="n">
        <f aca="false">CG93</f>
        <v>0</v>
      </c>
      <c r="CC94" s="30" t="n">
        <f aca="false">CB94*$CB$5/12</f>
        <v>0</v>
      </c>
      <c r="CD94" s="30" t="n">
        <f aca="false">MIN($CB$6,CB94+CC94)</f>
        <v>0</v>
      </c>
      <c r="CE94" s="30" t="n">
        <f aca="false">MAX(0,MIN(BV94,CB94+CC94-CD94))</f>
        <v>0</v>
      </c>
      <c r="CF94" s="29" t="n">
        <f aca="false">BV94-CE94</f>
        <v>690</v>
      </c>
      <c r="CG94" s="30" t="n">
        <f aca="false">CB94+CC94-CD94-CE94</f>
        <v>0</v>
      </c>
      <c r="CH94" s="30" t="n">
        <f aca="false">CK93</f>
        <v>0</v>
      </c>
      <c r="CI94" s="30" t="n">
        <f aca="false">CH94*$CB$5/12</f>
        <v>0</v>
      </c>
      <c r="CJ94" s="30" t="n">
        <f aca="false">MIN($CB$6,CH94+CI94)</f>
        <v>0</v>
      </c>
      <c r="CK94" s="30" t="n">
        <f aca="false">CH94+CI94-CJ94</f>
        <v>0</v>
      </c>
    </row>
    <row r="95" customFormat="false" ht="15" hidden="false" customHeight="false" outlineLevel="0" collapsed="false">
      <c r="A95" s="0" t="n">
        <v>87</v>
      </c>
      <c r="B95" s="29" t="n">
        <f aca="false">'1 Your debts'!$B$16-(L95+V95+AF95+AP95+AZ95+BJ95+BT95+CD95)</f>
        <v>690</v>
      </c>
      <c r="C95" s="34" t="n">
        <f aca="false">O95+Y95+AI95+AS95+BC95+BM95+BW95+CG95</f>
        <v>0</v>
      </c>
      <c r="D95" s="34" t="n">
        <f aca="false">K95+U95+AE95+AO95+AY95+BI95+BS95+CC95</f>
        <v>0</v>
      </c>
      <c r="F95" s="34" t="n">
        <f aca="false">S95+AC95+AM95+AW95+BG95+BQ95+CA95+CK95</f>
        <v>4004.65664194642</v>
      </c>
      <c r="G95" s="34" t="n">
        <f aca="false">Q95+AA95+AK95+AU95+BE95+BO95+BY95+CI95</f>
        <v>20.655102968857</v>
      </c>
      <c r="J95" s="34" t="n">
        <f aca="false">O94</f>
        <v>0</v>
      </c>
      <c r="K95" s="34" t="n">
        <f aca="false">J95*$J$5/12</f>
        <v>0</v>
      </c>
      <c r="L95" s="29" t="n">
        <f aca="false">MIN($J$6,J95+K95)</f>
        <v>0</v>
      </c>
      <c r="M95" s="30" t="n">
        <f aca="false">MAX(0,MIN($B95,J95+K95-L95))</f>
        <v>0</v>
      </c>
      <c r="N95" s="29" t="n">
        <f aca="false">$B95-M95</f>
        <v>690</v>
      </c>
      <c r="O95" s="34" t="n">
        <f aca="false">J95+K95-L95-M95</f>
        <v>0</v>
      </c>
      <c r="P95" s="34" t="n">
        <f aca="false">S94</f>
        <v>86.0049741307445</v>
      </c>
      <c r="Q95" s="34" t="n">
        <f aca="false">P95*$J$5/12</f>
        <v>1.79105358627275</v>
      </c>
      <c r="R95" s="29" t="n">
        <f aca="false">MIN($J$6,P95+Q95)</f>
        <v>87.7960277170173</v>
      </c>
      <c r="S95" s="34" t="n">
        <f aca="false">P95+Q95-R95</f>
        <v>0</v>
      </c>
      <c r="T95" s="34" t="n">
        <f aca="false">Y94</f>
        <v>0</v>
      </c>
      <c r="U95" s="34" t="n">
        <f aca="false">T95*$T$5/12</f>
        <v>0</v>
      </c>
      <c r="V95" s="29" t="n">
        <f aca="false">MIN($T$6,T95+U95)</f>
        <v>0</v>
      </c>
      <c r="W95" s="30" t="n">
        <f aca="false">MAX(0,MIN(N95,T95+U95-V95))</f>
        <v>0</v>
      </c>
      <c r="X95" s="29" t="n">
        <f aca="false">N95-W95</f>
        <v>690</v>
      </c>
      <c r="Y95" s="34" t="n">
        <f aca="false">T95+U95-V95-W95</f>
        <v>0</v>
      </c>
      <c r="Z95" s="34" t="n">
        <f aca="false">AC94</f>
        <v>0</v>
      </c>
      <c r="AA95" s="34" t="n">
        <f aca="false">Z95*$T$5/12</f>
        <v>0</v>
      </c>
      <c r="AB95" s="29" t="n">
        <f aca="false">MIN($T$6,Z95+AA95)</f>
        <v>0</v>
      </c>
      <c r="AC95" s="34" t="n">
        <f aca="false">Z95+AA95-AB95</f>
        <v>0</v>
      </c>
      <c r="AD95" s="34" t="n">
        <f aca="false">AI94</f>
        <v>0</v>
      </c>
      <c r="AE95" s="34" t="n">
        <f aca="false">AD95*$AD$5/12</f>
        <v>0</v>
      </c>
      <c r="AF95" s="29" t="n">
        <f aca="false">MIN($AD$6,AD95+AE95)</f>
        <v>0</v>
      </c>
      <c r="AG95" s="30" t="n">
        <f aca="false">MAX(0,MIN(X95,AD95+AE95-AF95))</f>
        <v>0</v>
      </c>
      <c r="AH95" s="29" t="n">
        <f aca="false">X95-AG95</f>
        <v>690</v>
      </c>
      <c r="AI95" s="34" t="n">
        <f aca="false">AD95+AE95-AF95-AG95</f>
        <v>0</v>
      </c>
      <c r="AJ95" s="34" t="n">
        <f aca="false">AM94</f>
        <v>0</v>
      </c>
      <c r="AK95" s="34" t="n">
        <f aca="false">AJ95*$AD$5/12</f>
        <v>0</v>
      </c>
      <c r="AL95" s="29" t="n">
        <f aca="false">MIN($AD$6,AJ95+AK95)</f>
        <v>0</v>
      </c>
      <c r="AM95" s="34" t="n">
        <f aca="false">AJ95+AK95-AL95</f>
        <v>0</v>
      </c>
      <c r="AN95" s="34" t="n">
        <f aca="false">AS94</f>
        <v>0</v>
      </c>
      <c r="AO95" s="34" t="n">
        <f aca="false">AN95*$AN$5/12</f>
        <v>0</v>
      </c>
      <c r="AP95" s="29" t="n">
        <f aca="false">MIN($AN$6,AN95+AO95)</f>
        <v>0</v>
      </c>
      <c r="AQ95" s="30" t="n">
        <f aca="false">MAX(0,MIN(AH95,AN95+AO95-AP95))</f>
        <v>0</v>
      </c>
      <c r="AR95" s="29" t="n">
        <f aca="false">AH95-AQ95</f>
        <v>690</v>
      </c>
      <c r="AS95" s="34" t="n">
        <f aca="false">AN95+AO95-AP95-AQ95</f>
        <v>0</v>
      </c>
      <c r="AT95" s="34" t="n">
        <f aca="false">AW94</f>
        <v>4115.79259256383</v>
      </c>
      <c r="AU95" s="34" t="n">
        <f aca="false">AT95*$AN$5/12</f>
        <v>18.8640493825842</v>
      </c>
      <c r="AV95" s="29" t="n">
        <f aca="false">MIN($AN$6,AT95+AU95)</f>
        <v>130</v>
      </c>
      <c r="AW95" s="34" t="n">
        <f aca="false">AT95+AU95-AV95</f>
        <v>4004.65664194642</v>
      </c>
      <c r="AX95" s="30" t="n">
        <f aca="false">BC94</f>
        <v>0</v>
      </c>
      <c r="AY95" s="30" t="n">
        <f aca="false">AX95*$AX$5/12</f>
        <v>0</v>
      </c>
      <c r="AZ95" s="30" t="n">
        <f aca="false">MIN($AX$6,AX95+AY95)</f>
        <v>0</v>
      </c>
      <c r="BA95" s="30" t="n">
        <f aca="false">MAX(0,MIN(AR95,AX95+AY95-AZ95))</f>
        <v>0</v>
      </c>
      <c r="BB95" s="29" t="n">
        <f aca="false">AR95-BA95</f>
        <v>690</v>
      </c>
      <c r="BC95" s="30" t="n">
        <f aca="false">AX95+AY95-AZ95-BA95</f>
        <v>0</v>
      </c>
      <c r="BD95" s="30" t="n">
        <f aca="false">BG94</f>
        <v>0</v>
      </c>
      <c r="BE95" s="30" t="n">
        <f aca="false">BD95*$AX$5/12</f>
        <v>0</v>
      </c>
      <c r="BF95" s="30" t="n">
        <f aca="false">MIN($AX$6,BD95+BE95)</f>
        <v>0</v>
      </c>
      <c r="BG95" s="30" t="n">
        <f aca="false">BD95+BE95-BF95</f>
        <v>0</v>
      </c>
      <c r="BH95" s="30" t="n">
        <f aca="false">BM94</f>
        <v>0</v>
      </c>
      <c r="BI95" s="30" t="n">
        <f aca="false">BH95*$BH$5/12</f>
        <v>0</v>
      </c>
      <c r="BJ95" s="30" t="n">
        <f aca="false">MIN($BH$6,BH95+BI95)</f>
        <v>0</v>
      </c>
      <c r="BK95" s="30" t="n">
        <f aca="false">MAX(0,MIN(BB95,BH95+BI95-BJ95))</f>
        <v>0</v>
      </c>
      <c r="BL95" s="29" t="n">
        <f aca="false">BB95-BK95</f>
        <v>690</v>
      </c>
      <c r="BM95" s="30" t="n">
        <f aca="false">BH95+BI95-BJ95-BK95</f>
        <v>0</v>
      </c>
      <c r="BN95" s="30" t="n">
        <f aca="false">BQ94</f>
        <v>0</v>
      </c>
      <c r="BO95" s="30" t="n">
        <f aca="false">BN95*$BH$5/12</f>
        <v>0</v>
      </c>
      <c r="BP95" s="30" t="n">
        <f aca="false">MIN($BH$6,BN95+BO95)</f>
        <v>0</v>
      </c>
      <c r="BQ95" s="30" t="n">
        <f aca="false">BN95+BO95-BP95</f>
        <v>0</v>
      </c>
      <c r="BR95" s="30" t="n">
        <f aca="false">BW94</f>
        <v>0</v>
      </c>
      <c r="BS95" s="30" t="n">
        <f aca="false">BR95*$BR$5/12</f>
        <v>0</v>
      </c>
      <c r="BT95" s="30" t="n">
        <f aca="false">MIN($BR$6,BR95+BS95)</f>
        <v>0</v>
      </c>
      <c r="BU95" s="30" t="n">
        <f aca="false">MAX(0,MIN(BL95,BR95+BS95-BT95))</f>
        <v>0</v>
      </c>
      <c r="BV95" s="29" t="n">
        <f aca="false">BL95-BU95</f>
        <v>690</v>
      </c>
      <c r="BW95" s="30" t="n">
        <f aca="false">BR95+BS95-BT95-BU95</f>
        <v>0</v>
      </c>
      <c r="BX95" s="30" t="n">
        <f aca="false">CA94</f>
        <v>0</v>
      </c>
      <c r="BY95" s="30" t="n">
        <f aca="false">BX95*$BR$5/12</f>
        <v>0</v>
      </c>
      <c r="BZ95" s="30" t="n">
        <f aca="false">MIN($BR$6,BX95+BY95)</f>
        <v>0</v>
      </c>
      <c r="CA95" s="30" t="n">
        <f aca="false">BX95+BY95-BZ95</f>
        <v>0</v>
      </c>
      <c r="CB95" s="30" t="n">
        <f aca="false">CG94</f>
        <v>0</v>
      </c>
      <c r="CC95" s="30" t="n">
        <f aca="false">CB95*$CB$5/12</f>
        <v>0</v>
      </c>
      <c r="CD95" s="30" t="n">
        <f aca="false">MIN($CB$6,CB95+CC95)</f>
        <v>0</v>
      </c>
      <c r="CE95" s="30" t="n">
        <f aca="false">MAX(0,MIN(BV95,CB95+CC95-CD95))</f>
        <v>0</v>
      </c>
      <c r="CF95" s="29" t="n">
        <f aca="false">BV95-CE95</f>
        <v>690</v>
      </c>
      <c r="CG95" s="30" t="n">
        <f aca="false">CB95+CC95-CD95-CE95</f>
        <v>0</v>
      </c>
      <c r="CH95" s="30" t="n">
        <f aca="false">CK94</f>
        <v>0</v>
      </c>
      <c r="CI95" s="30" t="n">
        <f aca="false">CH95*$CB$5/12</f>
        <v>0</v>
      </c>
      <c r="CJ95" s="30" t="n">
        <f aca="false">MIN($CB$6,CH95+CI95)</f>
        <v>0</v>
      </c>
      <c r="CK95" s="30" t="n">
        <f aca="false">CH95+CI95-CJ95</f>
        <v>0</v>
      </c>
    </row>
    <row r="96" customFormat="false" ht="15" hidden="false" customHeight="false" outlineLevel="0" collapsed="false">
      <c r="A96" s="0" t="n">
        <v>88</v>
      </c>
      <c r="B96" s="29" t="n">
        <f aca="false">'1 Your debts'!$B$16-(L96+V96+AF96+AP96+AZ96+BJ96+BT96+CD96)</f>
        <v>690</v>
      </c>
      <c r="C96" s="34" t="n">
        <f aca="false">O96+Y96+AI96+AS96+BC96+BM96+BW96+CG96</f>
        <v>0</v>
      </c>
      <c r="D96" s="34" t="n">
        <f aca="false">K96+U96+AE96+AO96+AY96+BI96+BS96+CC96</f>
        <v>0</v>
      </c>
      <c r="F96" s="34" t="n">
        <f aca="false">S96+AC96+AM96+AW96+BG96+BQ96+CA96+CK96</f>
        <v>3893.011318222</v>
      </c>
      <c r="G96" s="34" t="n">
        <f aca="false">Q96+AA96+AK96+AU96+BE96+BO96+BY96+CI96</f>
        <v>18.3546762755877</v>
      </c>
      <c r="J96" s="34" t="n">
        <f aca="false">O95</f>
        <v>0</v>
      </c>
      <c r="K96" s="34" t="n">
        <f aca="false">J96*$J$5/12</f>
        <v>0</v>
      </c>
      <c r="L96" s="29" t="n">
        <f aca="false">MIN($J$6,J96+K96)</f>
        <v>0</v>
      </c>
      <c r="M96" s="30" t="n">
        <f aca="false">MAX(0,MIN($B96,J96+K96-L96))</f>
        <v>0</v>
      </c>
      <c r="N96" s="29" t="n">
        <f aca="false">$B96-M96</f>
        <v>690</v>
      </c>
      <c r="O96" s="34" t="n">
        <f aca="false">J96+K96-L96-M96</f>
        <v>0</v>
      </c>
      <c r="P96" s="34" t="n">
        <f aca="false">S95</f>
        <v>0</v>
      </c>
      <c r="Q96" s="34" t="n">
        <f aca="false">P96*$J$5/12</f>
        <v>0</v>
      </c>
      <c r="R96" s="29" t="n">
        <f aca="false">MIN($J$6,P96+Q96)</f>
        <v>0</v>
      </c>
      <c r="S96" s="34" t="n">
        <f aca="false">P96+Q96-R96</f>
        <v>0</v>
      </c>
      <c r="T96" s="34" t="n">
        <f aca="false">Y95</f>
        <v>0</v>
      </c>
      <c r="U96" s="34" t="n">
        <f aca="false">T96*$T$5/12</f>
        <v>0</v>
      </c>
      <c r="V96" s="29" t="n">
        <f aca="false">MIN($T$6,T96+U96)</f>
        <v>0</v>
      </c>
      <c r="W96" s="30" t="n">
        <f aca="false">MAX(0,MIN(N96,T96+U96-V96))</f>
        <v>0</v>
      </c>
      <c r="X96" s="29" t="n">
        <f aca="false">N96-W96</f>
        <v>690</v>
      </c>
      <c r="Y96" s="34" t="n">
        <f aca="false">T96+U96-V96-W96</f>
        <v>0</v>
      </c>
      <c r="Z96" s="34" t="n">
        <f aca="false">AC95</f>
        <v>0</v>
      </c>
      <c r="AA96" s="34" t="n">
        <f aca="false">Z96*$T$5/12</f>
        <v>0</v>
      </c>
      <c r="AB96" s="29" t="n">
        <f aca="false">MIN($T$6,Z96+AA96)</f>
        <v>0</v>
      </c>
      <c r="AC96" s="34" t="n">
        <f aca="false">Z96+AA96-AB96</f>
        <v>0</v>
      </c>
      <c r="AD96" s="34" t="n">
        <f aca="false">AI95</f>
        <v>0</v>
      </c>
      <c r="AE96" s="34" t="n">
        <f aca="false">AD96*$AD$5/12</f>
        <v>0</v>
      </c>
      <c r="AF96" s="29" t="n">
        <f aca="false">MIN($AD$6,AD96+AE96)</f>
        <v>0</v>
      </c>
      <c r="AG96" s="30" t="n">
        <f aca="false">MAX(0,MIN(X96,AD96+AE96-AF96))</f>
        <v>0</v>
      </c>
      <c r="AH96" s="29" t="n">
        <f aca="false">X96-AG96</f>
        <v>690</v>
      </c>
      <c r="AI96" s="34" t="n">
        <f aca="false">AD96+AE96-AF96-AG96</f>
        <v>0</v>
      </c>
      <c r="AJ96" s="34" t="n">
        <f aca="false">AM95</f>
        <v>0</v>
      </c>
      <c r="AK96" s="34" t="n">
        <f aca="false">AJ96*$AD$5/12</f>
        <v>0</v>
      </c>
      <c r="AL96" s="29" t="n">
        <f aca="false">MIN($AD$6,AJ96+AK96)</f>
        <v>0</v>
      </c>
      <c r="AM96" s="34" t="n">
        <f aca="false">AJ96+AK96-AL96</f>
        <v>0</v>
      </c>
      <c r="AN96" s="34" t="n">
        <f aca="false">AS95</f>
        <v>0</v>
      </c>
      <c r="AO96" s="34" t="n">
        <f aca="false">AN96*$AN$5/12</f>
        <v>0</v>
      </c>
      <c r="AP96" s="29" t="n">
        <f aca="false">MIN($AN$6,AN96+AO96)</f>
        <v>0</v>
      </c>
      <c r="AQ96" s="30" t="n">
        <f aca="false">MAX(0,MIN(AH96,AN96+AO96-AP96))</f>
        <v>0</v>
      </c>
      <c r="AR96" s="29" t="n">
        <f aca="false">AH96-AQ96</f>
        <v>690</v>
      </c>
      <c r="AS96" s="34" t="n">
        <f aca="false">AN96+AO96-AP96-AQ96</f>
        <v>0</v>
      </c>
      <c r="AT96" s="34" t="n">
        <f aca="false">AW95</f>
        <v>4004.65664194642</v>
      </c>
      <c r="AU96" s="34" t="n">
        <f aca="false">AT96*$AN$5/12</f>
        <v>18.3546762755877</v>
      </c>
      <c r="AV96" s="29" t="n">
        <f aca="false">MIN($AN$6,AT96+AU96)</f>
        <v>130</v>
      </c>
      <c r="AW96" s="34" t="n">
        <f aca="false">AT96+AU96-AV96</f>
        <v>3893.011318222</v>
      </c>
      <c r="AX96" s="30" t="n">
        <f aca="false">BC95</f>
        <v>0</v>
      </c>
      <c r="AY96" s="30" t="n">
        <f aca="false">AX96*$AX$5/12</f>
        <v>0</v>
      </c>
      <c r="AZ96" s="30" t="n">
        <f aca="false">MIN($AX$6,AX96+AY96)</f>
        <v>0</v>
      </c>
      <c r="BA96" s="30" t="n">
        <f aca="false">MAX(0,MIN(AR96,AX96+AY96-AZ96))</f>
        <v>0</v>
      </c>
      <c r="BB96" s="29" t="n">
        <f aca="false">AR96-BA96</f>
        <v>690</v>
      </c>
      <c r="BC96" s="30" t="n">
        <f aca="false">AX96+AY96-AZ96-BA96</f>
        <v>0</v>
      </c>
      <c r="BD96" s="30" t="n">
        <f aca="false">BG95</f>
        <v>0</v>
      </c>
      <c r="BE96" s="30" t="n">
        <f aca="false">BD96*$AX$5/12</f>
        <v>0</v>
      </c>
      <c r="BF96" s="30" t="n">
        <f aca="false">MIN($AX$6,BD96+BE96)</f>
        <v>0</v>
      </c>
      <c r="BG96" s="30" t="n">
        <f aca="false">BD96+BE96-BF96</f>
        <v>0</v>
      </c>
      <c r="BH96" s="30" t="n">
        <f aca="false">BM95</f>
        <v>0</v>
      </c>
      <c r="BI96" s="30" t="n">
        <f aca="false">BH96*$BH$5/12</f>
        <v>0</v>
      </c>
      <c r="BJ96" s="30" t="n">
        <f aca="false">MIN($BH$6,BH96+BI96)</f>
        <v>0</v>
      </c>
      <c r="BK96" s="30" t="n">
        <f aca="false">MAX(0,MIN(BB96,BH96+BI96-BJ96))</f>
        <v>0</v>
      </c>
      <c r="BL96" s="29" t="n">
        <f aca="false">BB96-BK96</f>
        <v>690</v>
      </c>
      <c r="BM96" s="30" t="n">
        <f aca="false">BH96+BI96-BJ96-BK96</f>
        <v>0</v>
      </c>
      <c r="BN96" s="30" t="n">
        <f aca="false">BQ95</f>
        <v>0</v>
      </c>
      <c r="BO96" s="30" t="n">
        <f aca="false">BN96*$BH$5/12</f>
        <v>0</v>
      </c>
      <c r="BP96" s="30" t="n">
        <f aca="false">MIN($BH$6,BN96+BO96)</f>
        <v>0</v>
      </c>
      <c r="BQ96" s="30" t="n">
        <f aca="false">BN96+BO96-BP96</f>
        <v>0</v>
      </c>
      <c r="BR96" s="30" t="n">
        <f aca="false">BW95</f>
        <v>0</v>
      </c>
      <c r="BS96" s="30" t="n">
        <f aca="false">BR96*$BR$5/12</f>
        <v>0</v>
      </c>
      <c r="BT96" s="30" t="n">
        <f aca="false">MIN($BR$6,BR96+BS96)</f>
        <v>0</v>
      </c>
      <c r="BU96" s="30" t="n">
        <f aca="false">MAX(0,MIN(BL96,BR96+BS96-BT96))</f>
        <v>0</v>
      </c>
      <c r="BV96" s="29" t="n">
        <f aca="false">BL96-BU96</f>
        <v>690</v>
      </c>
      <c r="BW96" s="30" t="n">
        <f aca="false">BR96+BS96-BT96-BU96</f>
        <v>0</v>
      </c>
      <c r="BX96" s="30" t="n">
        <f aca="false">CA95</f>
        <v>0</v>
      </c>
      <c r="BY96" s="30" t="n">
        <f aca="false">BX96*$BR$5/12</f>
        <v>0</v>
      </c>
      <c r="BZ96" s="30" t="n">
        <f aca="false">MIN($BR$6,BX96+BY96)</f>
        <v>0</v>
      </c>
      <c r="CA96" s="30" t="n">
        <f aca="false">BX96+BY96-BZ96</f>
        <v>0</v>
      </c>
      <c r="CB96" s="30" t="n">
        <f aca="false">CG95</f>
        <v>0</v>
      </c>
      <c r="CC96" s="30" t="n">
        <f aca="false">CB96*$CB$5/12</f>
        <v>0</v>
      </c>
      <c r="CD96" s="30" t="n">
        <f aca="false">MIN($CB$6,CB96+CC96)</f>
        <v>0</v>
      </c>
      <c r="CE96" s="30" t="n">
        <f aca="false">MAX(0,MIN(BV96,CB96+CC96-CD96))</f>
        <v>0</v>
      </c>
      <c r="CF96" s="29" t="n">
        <f aca="false">BV96-CE96</f>
        <v>690</v>
      </c>
      <c r="CG96" s="30" t="n">
        <f aca="false">CB96+CC96-CD96-CE96</f>
        <v>0</v>
      </c>
      <c r="CH96" s="30" t="n">
        <f aca="false">CK95</f>
        <v>0</v>
      </c>
      <c r="CI96" s="30" t="n">
        <f aca="false">CH96*$CB$5/12</f>
        <v>0</v>
      </c>
      <c r="CJ96" s="30" t="n">
        <f aca="false">MIN($CB$6,CH96+CI96)</f>
        <v>0</v>
      </c>
      <c r="CK96" s="30" t="n">
        <f aca="false">CH96+CI96-CJ96</f>
        <v>0</v>
      </c>
    </row>
    <row r="97" customFormat="false" ht="15" hidden="false" customHeight="false" outlineLevel="0" collapsed="false">
      <c r="A97" s="0" t="n">
        <v>89</v>
      </c>
      <c r="B97" s="29" t="n">
        <f aca="false">'1 Your debts'!$B$16-(L97+V97+AF97+AP97+AZ97+BJ97+BT97+CD97)</f>
        <v>690</v>
      </c>
      <c r="C97" s="34" t="n">
        <f aca="false">O97+Y97+AI97+AS97+BC97+BM97+BW97+CG97</f>
        <v>0</v>
      </c>
      <c r="D97" s="34" t="n">
        <f aca="false">K97+U97+AE97+AO97+AY97+BI97+BS97+CC97</f>
        <v>0</v>
      </c>
      <c r="F97" s="34" t="n">
        <f aca="false">S97+AC97+AM97+AW97+BG97+BQ97+CA97+CK97</f>
        <v>3780.85428676385</v>
      </c>
      <c r="G97" s="34" t="n">
        <f aca="false">Q97+AA97+AK97+AU97+BE97+BO97+BY97+CI97</f>
        <v>17.8429685418508</v>
      </c>
      <c r="J97" s="34" t="n">
        <f aca="false">O96</f>
        <v>0</v>
      </c>
      <c r="K97" s="34" t="n">
        <f aca="false">J97*$J$5/12</f>
        <v>0</v>
      </c>
      <c r="L97" s="29" t="n">
        <f aca="false">MIN($J$6,J97+K97)</f>
        <v>0</v>
      </c>
      <c r="M97" s="30" t="n">
        <f aca="false">MAX(0,MIN($B97,J97+K97-L97))</f>
        <v>0</v>
      </c>
      <c r="N97" s="29" t="n">
        <f aca="false">$B97-M97</f>
        <v>690</v>
      </c>
      <c r="O97" s="34" t="n">
        <f aca="false">J97+K97-L97-M97</f>
        <v>0</v>
      </c>
      <c r="P97" s="34" t="n">
        <f aca="false">S96</f>
        <v>0</v>
      </c>
      <c r="Q97" s="34" t="n">
        <f aca="false">P97*$J$5/12</f>
        <v>0</v>
      </c>
      <c r="R97" s="29" t="n">
        <f aca="false">MIN($J$6,P97+Q97)</f>
        <v>0</v>
      </c>
      <c r="S97" s="34" t="n">
        <f aca="false">P97+Q97-R97</f>
        <v>0</v>
      </c>
      <c r="T97" s="34" t="n">
        <f aca="false">Y96</f>
        <v>0</v>
      </c>
      <c r="U97" s="34" t="n">
        <f aca="false">T97*$T$5/12</f>
        <v>0</v>
      </c>
      <c r="V97" s="29" t="n">
        <f aca="false">MIN($T$6,T97+U97)</f>
        <v>0</v>
      </c>
      <c r="W97" s="30" t="n">
        <f aca="false">MAX(0,MIN(N97,T97+U97-V97))</f>
        <v>0</v>
      </c>
      <c r="X97" s="29" t="n">
        <f aca="false">N97-W97</f>
        <v>690</v>
      </c>
      <c r="Y97" s="34" t="n">
        <f aca="false">T97+U97-V97-W97</f>
        <v>0</v>
      </c>
      <c r="Z97" s="34" t="n">
        <f aca="false">AC96</f>
        <v>0</v>
      </c>
      <c r="AA97" s="34" t="n">
        <f aca="false">Z97*$T$5/12</f>
        <v>0</v>
      </c>
      <c r="AB97" s="29" t="n">
        <f aca="false">MIN($T$6,Z97+AA97)</f>
        <v>0</v>
      </c>
      <c r="AC97" s="34" t="n">
        <f aca="false">Z97+AA97-AB97</f>
        <v>0</v>
      </c>
      <c r="AD97" s="34" t="n">
        <f aca="false">AI96</f>
        <v>0</v>
      </c>
      <c r="AE97" s="34" t="n">
        <f aca="false">AD97*$AD$5/12</f>
        <v>0</v>
      </c>
      <c r="AF97" s="29" t="n">
        <f aca="false">MIN($AD$6,AD97+AE97)</f>
        <v>0</v>
      </c>
      <c r="AG97" s="30" t="n">
        <f aca="false">MAX(0,MIN(X97,AD97+AE97-AF97))</f>
        <v>0</v>
      </c>
      <c r="AH97" s="29" t="n">
        <f aca="false">X97-AG97</f>
        <v>690</v>
      </c>
      <c r="AI97" s="34" t="n">
        <f aca="false">AD97+AE97-AF97-AG97</f>
        <v>0</v>
      </c>
      <c r="AJ97" s="34" t="n">
        <f aca="false">AM96</f>
        <v>0</v>
      </c>
      <c r="AK97" s="34" t="n">
        <f aca="false">AJ97*$AD$5/12</f>
        <v>0</v>
      </c>
      <c r="AL97" s="29" t="n">
        <f aca="false">MIN($AD$6,AJ97+AK97)</f>
        <v>0</v>
      </c>
      <c r="AM97" s="34" t="n">
        <f aca="false">AJ97+AK97-AL97</f>
        <v>0</v>
      </c>
      <c r="AN97" s="34" t="n">
        <f aca="false">AS96</f>
        <v>0</v>
      </c>
      <c r="AO97" s="34" t="n">
        <f aca="false">AN97*$AN$5/12</f>
        <v>0</v>
      </c>
      <c r="AP97" s="29" t="n">
        <f aca="false">MIN($AN$6,AN97+AO97)</f>
        <v>0</v>
      </c>
      <c r="AQ97" s="30" t="n">
        <f aca="false">MAX(0,MIN(AH97,AN97+AO97-AP97))</f>
        <v>0</v>
      </c>
      <c r="AR97" s="29" t="n">
        <f aca="false">AH97-AQ97</f>
        <v>690</v>
      </c>
      <c r="AS97" s="34" t="n">
        <f aca="false">AN97+AO97-AP97-AQ97</f>
        <v>0</v>
      </c>
      <c r="AT97" s="34" t="n">
        <f aca="false">AW96</f>
        <v>3893.011318222</v>
      </c>
      <c r="AU97" s="34" t="n">
        <f aca="false">AT97*$AN$5/12</f>
        <v>17.8429685418508</v>
      </c>
      <c r="AV97" s="29" t="n">
        <f aca="false">MIN($AN$6,AT97+AU97)</f>
        <v>130</v>
      </c>
      <c r="AW97" s="34" t="n">
        <f aca="false">AT97+AU97-AV97</f>
        <v>3780.85428676385</v>
      </c>
      <c r="AX97" s="30" t="n">
        <f aca="false">BC96</f>
        <v>0</v>
      </c>
      <c r="AY97" s="30" t="n">
        <f aca="false">AX97*$AX$5/12</f>
        <v>0</v>
      </c>
      <c r="AZ97" s="30" t="n">
        <f aca="false">MIN($AX$6,AX97+AY97)</f>
        <v>0</v>
      </c>
      <c r="BA97" s="30" t="n">
        <f aca="false">MAX(0,MIN(AR97,AX97+AY97-AZ97))</f>
        <v>0</v>
      </c>
      <c r="BB97" s="29" t="n">
        <f aca="false">AR97-BA97</f>
        <v>690</v>
      </c>
      <c r="BC97" s="30" t="n">
        <f aca="false">AX97+AY97-AZ97-BA97</f>
        <v>0</v>
      </c>
      <c r="BD97" s="30" t="n">
        <f aca="false">BG96</f>
        <v>0</v>
      </c>
      <c r="BE97" s="30" t="n">
        <f aca="false">BD97*$AX$5/12</f>
        <v>0</v>
      </c>
      <c r="BF97" s="30" t="n">
        <f aca="false">MIN($AX$6,BD97+BE97)</f>
        <v>0</v>
      </c>
      <c r="BG97" s="30" t="n">
        <f aca="false">BD97+BE97-BF97</f>
        <v>0</v>
      </c>
      <c r="BH97" s="30" t="n">
        <f aca="false">BM96</f>
        <v>0</v>
      </c>
      <c r="BI97" s="30" t="n">
        <f aca="false">BH97*$BH$5/12</f>
        <v>0</v>
      </c>
      <c r="BJ97" s="30" t="n">
        <f aca="false">MIN($BH$6,BH97+BI97)</f>
        <v>0</v>
      </c>
      <c r="BK97" s="30" t="n">
        <f aca="false">MAX(0,MIN(BB97,BH97+BI97-BJ97))</f>
        <v>0</v>
      </c>
      <c r="BL97" s="29" t="n">
        <f aca="false">BB97-BK97</f>
        <v>690</v>
      </c>
      <c r="BM97" s="30" t="n">
        <f aca="false">BH97+BI97-BJ97-BK97</f>
        <v>0</v>
      </c>
      <c r="BN97" s="30" t="n">
        <f aca="false">BQ96</f>
        <v>0</v>
      </c>
      <c r="BO97" s="30" t="n">
        <f aca="false">BN97*$BH$5/12</f>
        <v>0</v>
      </c>
      <c r="BP97" s="30" t="n">
        <f aca="false">MIN($BH$6,BN97+BO97)</f>
        <v>0</v>
      </c>
      <c r="BQ97" s="30" t="n">
        <f aca="false">BN97+BO97-BP97</f>
        <v>0</v>
      </c>
      <c r="BR97" s="30" t="n">
        <f aca="false">BW96</f>
        <v>0</v>
      </c>
      <c r="BS97" s="30" t="n">
        <f aca="false">BR97*$BR$5/12</f>
        <v>0</v>
      </c>
      <c r="BT97" s="30" t="n">
        <f aca="false">MIN($BR$6,BR97+BS97)</f>
        <v>0</v>
      </c>
      <c r="BU97" s="30" t="n">
        <f aca="false">MAX(0,MIN(BL97,BR97+BS97-BT97))</f>
        <v>0</v>
      </c>
      <c r="BV97" s="29" t="n">
        <f aca="false">BL97-BU97</f>
        <v>690</v>
      </c>
      <c r="BW97" s="30" t="n">
        <f aca="false">BR97+BS97-BT97-BU97</f>
        <v>0</v>
      </c>
      <c r="BX97" s="30" t="n">
        <f aca="false">CA96</f>
        <v>0</v>
      </c>
      <c r="BY97" s="30" t="n">
        <f aca="false">BX97*$BR$5/12</f>
        <v>0</v>
      </c>
      <c r="BZ97" s="30" t="n">
        <f aca="false">MIN($BR$6,BX97+BY97)</f>
        <v>0</v>
      </c>
      <c r="CA97" s="30" t="n">
        <f aca="false">BX97+BY97-BZ97</f>
        <v>0</v>
      </c>
      <c r="CB97" s="30" t="n">
        <f aca="false">CG96</f>
        <v>0</v>
      </c>
      <c r="CC97" s="30" t="n">
        <f aca="false">CB97*$CB$5/12</f>
        <v>0</v>
      </c>
      <c r="CD97" s="30" t="n">
        <f aca="false">MIN($CB$6,CB97+CC97)</f>
        <v>0</v>
      </c>
      <c r="CE97" s="30" t="n">
        <f aca="false">MAX(0,MIN(BV97,CB97+CC97-CD97))</f>
        <v>0</v>
      </c>
      <c r="CF97" s="29" t="n">
        <f aca="false">BV97-CE97</f>
        <v>690</v>
      </c>
      <c r="CG97" s="30" t="n">
        <f aca="false">CB97+CC97-CD97-CE97</f>
        <v>0</v>
      </c>
      <c r="CH97" s="30" t="n">
        <f aca="false">CK96</f>
        <v>0</v>
      </c>
      <c r="CI97" s="30" t="n">
        <f aca="false">CH97*$CB$5/12</f>
        <v>0</v>
      </c>
      <c r="CJ97" s="30" t="n">
        <f aca="false">MIN($CB$6,CH97+CI97)</f>
        <v>0</v>
      </c>
      <c r="CK97" s="30" t="n">
        <f aca="false">CH97+CI97-CJ97</f>
        <v>0</v>
      </c>
    </row>
    <row r="98" customFormat="false" ht="15" hidden="false" customHeight="false" outlineLevel="0" collapsed="false">
      <c r="A98" s="0" t="n">
        <v>90</v>
      </c>
      <c r="B98" s="29" t="n">
        <f aca="false">'1 Your debts'!$B$16-(L98+V98+AF98+AP98+AZ98+BJ98+BT98+CD98)</f>
        <v>690</v>
      </c>
      <c r="C98" s="34" t="n">
        <f aca="false">O98+Y98+AI98+AS98+BC98+BM98+BW98+CG98</f>
        <v>0</v>
      </c>
      <c r="D98" s="34" t="n">
        <f aca="false">K98+U98+AE98+AO98+AY98+BI98+BS98+CC98</f>
        <v>0</v>
      </c>
      <c r="F98" s="34" t="n">
        <f aca="false">S98+AC98+AM98+AW98+BG98+BQ98+CA98+CK98</f>
        <v>3668.18320224486</v>
      </c>
      <c r="G98" s="34" t="n">
        <f aca="false">Q98+AA98+AK98+AU98+BE98+BO98+BY98+CI98</f>
        <v>17.328915481001</v>
      </c>
      <c r="J98" s="34" t="n">
        <f aca="false">O97</f>
        <v>0</v>
      </c>
      <c r="K98" s="34" t="n">
        <f aca="false">J98*$J$5/12</f>
        <v>0</v>
      </c>
      <c r="L98" s="29" t="n">
        <f aca="false">MIN($J$6,J98+K98)</f>
        <v>0</v>
      </c>
      <c r="M98" s="30" t="n">
        <f aca="false">MAX(0,MIN($B98,J98+K98-L98))</f>
        <v>0</v>
      </c>
      <c r="N98" s="29" t="n">
        <f aca="false">$B98-M98</f>
        <v>690</v>
      </c>
      <c r="O98" s="34" t="n">
        <f aca="false">J98+K98-L98-M98</f>
        <v>0</v>
      </c>
      <c r="P98" s="34" t="n">
        <f aca="false">S97</f>
        <v>0</v>
      </c>
      <c r="Q98" s="34" t="n">
        <f aca="false">P98*$J$5/12</f>
        <v>0</v>
      </c>
      <c r="R98" s="29" t="n">
        <f aca="false">MIN($J$6,P98+Q98)</f>
        <v>0</v>
      </c>
      <c r="S98" s="34" t="n">
        <f aca="false">P98+Q98-R98</f>
        <v>0</v>
      </c>
      <c r="T98" s="34" t="n">
        <f aca="false">Y97</f>
        <v>0</v>
      </c>
      <c r="U98" s="34" t="n">
        <f aca="false">T98*$T$5/12</f>
        <v>0</v>
      </c>
      <c r="V98" s="29" t="n">
        <f aca="false">MIN($T$6,T98+U98)</f>
        <v>0</v>
      </c>
      <c r="W98" s="30" t="n">
        <f aca="false">MAX(0,MIN(N98,T98+U98-V98))</f>
        <v>0</v>
      </c>
      <c r="X98" s="29" t="n">
        <f aca="false">N98-W98</f>
        <v>690</v>
      </c>
      <c r="Y98" s="34" t="n">
        <f aca="false">T98+U98-V98-W98</f>
        <v>0</v>
      </c>
      <c r="Z98" s="34" t="n">
        <f aca="false">AC97</f>
        <v>0</v>
      </c>
      <c r="AA98" s="34" t="n">
        <f aca="false">Z98*$T$5/12</f>
        <v>0</v>
      </c>
      <c r="AB98" s="29" t="n">
        <f aca="false">MIN($T$6,Z98+AA98)</f>
        <v>0</v>
      </c>
      <c r="AC98" s="34" t="n">
        <f aca="false">Z98+AA98-AB98</f>
        <v>0</v>
      </c>
      <c r="AD98" s="34" t="n">
        <f aca="false">AI97</f>
        <v>0</v>
      </c>
      <c r="AE98" s="34" t="n">
        <f aca="false">AD98*$AD$5/12</f>
        <v>0</v>
      </c>
      <c r="AF98" s="29" t="n">
        <f aca="false">MIN($AD$6,AD98+AE98)</f>
        <v>0</v>
      </c>
      <c r="AG98" s="30" t="n">
        <f aca="false">MAX(0,MIN(X98,AD98+AE98-AF98))</f>
        <v>0</v>
      </c>
      <c r="AH98" s="29" t="n">
        <f aca="false">X98-AG98</f>
        <v>690</v>
      </c>
      <c r="AI98" s="34" t="n">
        <f aca="false">AD98+AE98-AF98-AG98</f>
        <v>0</v>
      </c>
      <c r="AJ98" s="34" t="n">
        <f aca="false">AM97</f>
        <v>0</v>
      </c>
      <c r="AK98" s="34" t="n">
        <f aca="false">AJ98*$AD$5/12</f>
        <v>0</v>
      </c>
      <c r="AL98" s="29" t="n">
        <f aca="false">MIN($AD$6,AJ98+AK98)</f>
        <v>0</v>
      </c>
      <c r="AM98" s="34" t="n">
        <f aca="false">AJ98+AK98-AL98</f>
        <v>0</v>
      </c>
      <c r="AN98" s="34" t="n">
        <f aca="false">AS97</f>
        <v>0</v>
      </c>
      <c r="AO98" s="34" t="n">
        <f aca="false">AN98*$AN$5/12</f>
        <v>0</v>
      </c>
      <c r="AP98" s="29" t="n">
        <f aca="false">MIN($AN$6,AN98+AO98)</f>
        <v>0</v>
      </c>
      <c r="AQ98" s="30" t="n">
        <f aca="false">MAX(0,MIN(AH98,AN98+AO98-AP98))</f>
        <v>0</v>
      </c>
      <c r="AR98" s="29" t="n">
        <f aca="false">AH98-AQ98</f>
        <v>690</v>
      </c>
      <c r="AS98" s="34" t="n">
        <f aca="false">AN98+AO98-AP98-AQ98</f>
        <v>0</v>
      </c>
      <c r="AT98" s="34" t="n">
        <f aca="false">AW97</f>
        <v>3780.85428676385</v>
      </c>
      <c r="AU98" s="34" t="n">
        <f aca="false">AT98*$AN$5/12</f>
        <v>17.328915481001</v>
      </c>
      <c r="AV98" s="29" t="n">
        <f aca="false">MIN($AN$6,AT98+AU98)</f>
        <v>130</v>
      </c>
      <c r="AW98" s="34" t="n">
        <f aca="false">AT98+AU98-AV98</f>
        <v>3668.18320224486</v>
      </c>
      <c r="AX98" s="30" t="n">
        <f aca="false">BC97</f>
        <v>0</v>
      </c>
      <c r="AY98" s="30" t="n">
        <f aca="false">AX98*$AX$5/12</f>
        <v>0</v>
      </c>
      <c r="AZ98" s="30" t="n">
        <f aca="false">MIN($AX$6,AX98+AY98)</f>
        <v>0</v>
      </c>
      <c r="BA98" s="30" t="n">
        <f aca="false">MAX(0,MIN(AR98,AX98+AY98-AZ98))</f>
        <v>0</v>
      </c>
      <c r="BB98" s="29" t="n">
        <f aca="false">AR98-BA98</f>
        <v>690</v>
      </c>
      <c r="BC98" s="30" t="n">
        <f aca="false">AX98+AY98-AZ98-BA98</f>
        <v>0</v>
      </c>
      <c r="BD98" s="30" t="n">
        <f aca="false">BG97</f>
        <v>0</v>
      </c>
      <c r="BE98" s="30" t="n">
        <f aca="false">BD98*$AX$5/12</f>
        <v>0</v>
      </c>
      <c r="BF98" s="30" t="n">
        <f aca="false">MIN($AX$6,BD98+BE98)</f>
        <v>0</v>
      </c>
      <c r="BG98" s="30" t="n">
        <f aca="false">BD98+BE98-BF98</f>
        <v>0</v>
      </c>
      <c r="BH98" s="30" t="n">
        <f aca="false">BM97</f>
        <v>0</v>
      </c>
      <c r="BI98" s="30" t="n">
        <f aca="false">BH98*$BH$5/12</f>
        <v>0</v>
      </c>
      <c r="BJ98" s="30" t="n">
        <f aca="false">MIN($BH$6,BH98+BI98)</f>
        <v>0</v>
      </c>
      <c r="BK98" s="30" t="n">
        <f aca="false">MAX(0,MIN(BB98,BH98+BI98-BJ98))</f>
        <v>0</v>
      </c>
      <c r="BL98" s="29" t="n">
        <f aca="false">BB98-BK98</f>
        <v>690</v>
      </c>
      <c r="BM98" s="30" t="n">
        <f aca="false">BH98+BI98-BJ98-BK98</f>
        <v>0</v>
      </c>
      <c r="BN98" s="30" t="n">
        <f aca="false">BQ97</f>
        <v>0</v>
      </c>
      <c r="BO98" s="30" t="n">
        <f aca="false">BN98*$BH$5/12</f>
        <v>0</v>
      </c>
      <c r="BP98" s="30" t="n">
        <f aca="false">MIN($BH$6,BN98+BO98)</f>
        <v>0</v>
      </c>
      <c r="BQ98" s="30" t="n">
        <f aca="false">BN98+BO98-BP98</f>
        <v>0</v>
      </c>
      <c r="BR98" s="30" t="n">
        <f aca="false">BW97</f>
        <v>0</v>
      </c>
      <c r="BS98" s="30" t="n">
        <f aca="false">BR98*$BR$5/12</f>
        <v>0</v>
      </c>
      <c r="BT98" s="30" t="n">
        <f aca="false">MIN($BR$6,BR98+BS98)</f>
        <v>0</v>
      </c>
      <c r="BU98" s="30" t="n">
        <f aca="false">MAX(0,MIN(BL98,BR98+BS98-BT98))</f>
        <v>0</v>
      </c>
      <c r="BV98" s="29" t="n">
        <f aca="false">BL98-BU98</f>
        <v>690</v>
      </c>
      <c r="BW98" s="30" t="n">
        <f aca="false">BR98+BS98-BT98-BU98</f>
        <v>0</v>
      </c>
      <c r="BX98" s="30" t="n">
        <f aca="false">CA97</f>
        <v>0</v>
      </c>
      <c r="BY98" s="30" t="n">
        <f aca="false">BX98*$BR$5/12</f>
        <v>0</v>
      </c>
      <c r="BZ98" s="30" t="n">
        <f aca="false">MIN($BR$6,BX98+BY98)</f>
        <v>0</v>
      </c>
      <c r="CA98" s="30" t="n">
        <f aca="false">BX98+BY98-BZ98</f>
        <v>0</v>
      </c>
      <c r="CB98" s="30" t="n">
        <f aca="false">CG97</f>
        <v>0</v>
      </c>
      <c r="CC98" s="30" t="n">
        <f aca="false">CB98*$CB$5/12</f>
        <v>0</v>
      </c>
      <c r="CD98" s="30" t="n">
        <f aca="false">MIN($CB$6,CB98+CC98)</f>
        <v>0</v>
      </c>
      <c r="CE98" s="30" t="n">
        <f aca="false">MAX(0,MIN(BV98,CB98+CC98-CD98))</f>
        <v>0</v>
      </c>
      <c r="CF98" s="29" t="n">
        <f aca="false">BV98-CE98</f>
        <v>690</v>
      </c>
      <c r="CG98" s="30" t="n">
        <f aca="false">CB98+CC98-CD98-CE98</f>
        <v>0</v>
      </c>
      <c r="CH98" s="30" t="n">
        <f aca="false">CK97</f>
        <v>0</v>
      </c>
      <c r="CI98" s="30" t="n">
        <f aca="false">CH98*$CB$5/12</f>
        <v>0</v>
      </c>
      <c r="CJ98" s="30" t="n">
        <f aca="false">MIN($CB$6,CH98+CI98)</f>
        <v>0</v>
      </c>
      <c r="CK98" s="30" t="n">
        <f aca="false">CH98+CI98-CJ98</f>
        <v>0</v>
      </c>
    </row>
    <row r="99" customFormat="false" ht="15" hidden="false" customHeight="false" outlineLevel="0" collapsed="false">
      <c r="A99" s="0" t="n">
        <v>91</v>
      </c>
      <c r="B99" s="29" t="n">
        <f aca="false">'1 Your debts'!$B$16-(L99+V99+AF99+AP99+AZ99+BJ99+BT99+CD99)</f>
        <v>690</v>
      </c>
      <c r="C99" s="34" t="n">
        <f aca="false">O99+Y99+AI99+AS99+BC99+BM99+BW99+CG99</f>
        <v>0</v>
      </c>
      <c r="D99" s="34" t="n">
        <f aca="false">K99+U99+AE99+AO99+AY99+BI99+BS99+CC99</f>
        <v>0</v>
      </c>
      <c r="F99" s="34" t="n">
        <f aca="false">S99+AC99+AM99+AW99+BG99+BQ99+CA99+CK99</f>
        <v>3554.99570858848</v>
      </c>
      <c r="G99" s="34" t="n">
        <f aca="false">Q99+AA99+AK99+AU99+BE99+BO99+BY99+CI99</f>
        <v>16.8125063436223</v>
      </c>
      <c r="J99" s="34" t="n">
        <f aca="false">O98</f>
        <v>0</v>
      </c>
      <c r="K99" s="34" t="n">
        <f aca="false">J99*$J$5/12</f>
        <v>0</v>
      </c>
      <c r="L99" s="29" t="n">
        <f aca="false">MIN($J$6,J99+K99)</f>
        <v>0</v>
      </c>
      <c r="M99" s="30" t="n">
        <f aca="false">MAX(0,MIN($B99,J99+K99-L99))</f>
        <v>0</v>
      </c>
      <c r="N99" s="29" t="n">
        <f aca="false">$B99-M99</f>
        <v>690</v>
      </c>
      <c r="O99" s="34" t="n">
        <f aca="false">J99+K99-L99-M99</f>
        <v>0</v>
      </c>
      <c r="P99" s="34" t="n">
        <f aca="false">S98</f>
        <v>0</v>
      </c>
      <c r="Q99" s="34" t="n">
        <f aca="false">P99*$J$5/12</f>
        <v>0</v>
      </c>
      <c r="R99" s="29" t="n">
        <f aca="false">MIN($J$6,P99+Q99)</f>
        <v>0</v>
      </c>
      <c r="S99" s="34" t="n">
        <f aca="false">P99+Q99-R99</f>
        <v>0</v>
      </c>
      <c r="T99" s="34" t="n">
        <f aca="false">Y98</f>
        <v>0</v>
      </c>
      <c r="U99" s="34" t="n">
        <f aca="false">T99*$T$5/12</f>
        <v>0</v>
      </c>
      <c r="V99" s="29" t="n">
        <f aca="false">MIN($T$6,T99+U99)</f>
        <v>0</v>
      </c>
      <c r="W99" s="30" t="n">
        <f aca="false">MAX(0,MIN(N99,T99+U99-V99))</f>
        <v>0</v>
      </c>
      <c r="X99" s="29" t="n">
        <f aca="false">N99-W99</f>
        <v>690</v>
      </c>
      <c r="Y99" s="34" t="n">
        <f aca="false">T99+U99-V99-W99</f>
        <v>0</v>
      </c>
      <c r="Z99" s="34" t="n">
        <f aca="false">AC98</f>
        <v>0</v>
      </c>
      <c r="AA99" s="34" t="n">
        <f aca="false">Z99*$T$5/12</f>
        <v>0</v>
      </c>
      <c r="AB99" s="29" t="n">
        <f aca="false">MIN($T$6,Z99+AA99)</f>
        <v>0</v>
      </c>
      <c r="AC99" s="34" t="n">
        <f aca="false">Z99+AA99-AB99</f>
        <v>0</v>
      </c>
      <c r="AD99" s="34" t="n">
        <f aca="false">AI98</f>
        <v>0</v>
      </c>
      <c r="AE99" s="34" t="n">
        <f aca="false">AD99*$AD$5/12</f>
        <v>0</v>
      </c>
      <c r="AF99" s="29" t="n">
        <f aca="false">MIN($AD$6,AD99+AE99)</f>
        <v>0</v>
      </c>
      <c r="AG99" s="30" t="n">
        <f aca="false">MAX(0,MIN(X99,AD99+AE99-AF99))</f>
        <v>0</v>
      </c>
      <c r="AH99" s="29" t="n">
        <f aca="false">X99-AG99</f>
        <v>690</v>
      </c>
      <c r="AI99" s="34" t="n">
        <f aca="false">AD99+AE99-AF99-AG99</f>
        <v>0</v>
      </c>
      <c r="AJ99" s="34" t="n">
        <f aca="false">AM98</f>
        <v>0</v>
      </c>
      <c r="AK99" s="34" t="n">
        <f aca="false">AJ99*$AD$5/12</f>
        <v>0</v>
      </c>
      <c r="AL99" s="29" t="n">
        <f aca="false">MIN($AD$6,AJ99+AK99)</f>
        <v>0</v>
      </c>
      <c r="AM99" s="34" t="n">
        <f aca="false">AJ99+AK99-AL99</f>
        <v>0</v>
      </c>
      <c r="AN99" s="34" t="n">
        <f aca="false">AS98</f>
        <v>0</v>
      </c>
      <c r="AO99" s="34" t="n">
        <f aca="false">AN99*$AN$5/12</f>
        <v>0</v>
      </c>
      <c r="AP99" s="29" t="n">
        <f aca="false">MIN($AN$6,AN99+AO99)</f>
        <v>0</v>
      </c>
      <c r="AQ99" s="30" t="n">
        <f aca="false">MAX(0,MIN(AH99,AN99+AO99-AP99))</f>
        <v>0</v>
      </c>
      <c r="AR99" s="29" t="n">
        <f aca="false">AH99-AQ99</f>
        <v>690</v>
      </c>
      <c r="AS99" s="34" t="n">
        <f aca="false">AN99+AO99-AP99-AQ99</f>
        <v>0</v>
      </c>
      <c r="AT99" s="34" t="n">
        <f aca="false">AW98</f>
        <v>3668.18320224486</v>
      </c>
      <c r="AU99" s="34" t="n">
        <f aca="false">AT99*$AN$5/12</f>
        <v>16.8125063436223</v>
      </c>
      <c r="AV99" s="29" t="n">
        <f aca="false">MIN($AN$6,AT99+AU99)</f>
        <v>130</v>
      </c>
      <c r="AW99" s="34" t="n">
        <f aca="false">AT99+AU99-AV99</f>
        <v>3554.99570858848</v>
      </c>
      <c r="AX99" s="30" t="n">
        <f aca="false">BC98</f>
        <v>0</v>
      </c>
      <c r="AY99" s="30" t="n">
        <f aca="false">AX99*$AX$5/12</f>
        <v>0</v>
      </c>
      <c r="AZ99" s="30" t="n">
        <f aca="false">MIN($AX$6,AX99+AY99)</f>
        <v>0</v>
      </c>
      <c r="BA99" s="30" t="n">
        <f aca="false">MAX(0,MIN(AR99,AX99+AY99-AZ99))</f>
        <v>0</v>
      </c>
      <c r="BB99" s="29" t="n">
        <f aca="false">AR99-BA99</f>
        <v>690</v>
      </c>
      <c r="BC99" s="30" t="n">
        <f aca="false">AX99+AY99-AZ99-BA99</f>
        <v>0</v>
      </c>
      <c r="BD99" s="30" t="n">
        <f aca="false">BG98</f>
        <v>0</v>
      </c>
      <c r="BE99" s="30" t="n">
        <f aca="false">BD99*$AX$5/12</f>
        <v>0</v>
      </c>
      <c r="BF99" s="30" t="n">
        <f aca="false">MIN($AX$6,BD99+BE99)</f>
        <v>0</v>
      </c>
      <c r="BG99" s="30" t="n">
        <f aca="false">BD99+BE99-BF99</f>
        <v>0</v>
      </c>
      <c r="BH99" s="30" t="n">
        <f aca="false">BM98</f>
        <v>0</v>
      </c>
      <c r="BI99" s="30" t="n">
        <f aca="false">BH99*$BH$5/12</f>
        <v>0</v>
      </c>
      <c r="BJ99" s="30" t="n">
        <f aca="false">MIN($BH$6,BH99+BI99)</f>
        <v>0</v>
      </c>
      <c r="BK99" s="30" t="n">
        <f aca="false">MAX(0,MIN(BB99,BH99+BI99-BJ99))</f>
        <v>0</v>
      </c>
      <c r="BL99" s="29" t="n">
        <f aca="false">BB99-BK99</f>
        <v>690</v>
      </c>
      <c r="BM99" s="30" t="n">
        <f aca="false">BH99+BI99-BJ99-BK99</f>
        <v>0</v>
      </c>
      <c r="BN99" s="30" t="n">
        <f aca="false">BQ98</f>
        <v>0</v>
      </c>
      <c r="BO99" s="30" t="n">
        <f aca="false">BN99*$BH$5/12</f>
        <v>0</v>
      </c>
      <c r="BP99" s="30" t="n">
        <f aca="false">MIN($BH$6,BN99+BO99)</f>
        <v>0</v>
      </c>
      <c r="BQ99" s="30" t="n">
        <f aca="false">BN99+BO99-BP99</f>
        <v>0</v>
      </c>
      <c r="BR99" s="30" t="n">
        <f aca="false">BW98</f>
        <v>0</v>
      </c>
      <c r="BS99" s="30" t="n">
        <f aca="false">BR99*$BR$5/12</f>
        <v>0</v>
      </c>
      <c r="BT99" s="30" t="n">
        <f aca="false">MIN($BR$6,BR99+BS99)</f>
        <v>0</v>
      </c>
      <c r="BU99" s="30" t="n">
        <f aca="false">MAX(0,MIN(BL99,BR99+BS99-BT99))</f>
        <v>0</v>
      </c>
      <c r="BV99" s="29" t="n">
        <f aca="false">BL99-BU99</f>
        <v>690</v>
      </c>
      <c r="BW99" s="30" t="n">
        <f aca="false">BR99+BS99-BT99-BU99</f>
        <v>0</v>
      </c>
      <c r="BX99" s="30" t="n">
        <f aca="false">CA98</f>
        <v>0</v>
      </c>
      <c r="BY99" s="30" t="n">
        <f aca="false">BX99*$BR$5/12</f>
        <v>0</v>
      </c>
      <c r="BZ99" s="30" t="n">
        <f aca="false">MIN($BR$6,BX99+BY99)</f>
        <v>0</v>
      </c>
      <c r="CA99" s="30" t="n">
        <f aca="false">BX99+BY99-BZ99</f>
        <v>0</v>
      </c>
      <c r="CB99" s="30" t="n">
        <f aca="false">CG98</f>
        <v>0</v>
      </c>
      <c r="CC99" s="30" t="n">
        <f aca="false">CB99*$CB$5/12</f>
        <v>0</v>
      </c>
      <c r="CD99" s="30" t="n">
        <f aca="false">MIN($CB$6,CB99+CC99)</f>
        <v>0</v>
      </c>
      <c r="CE99" s="30" t="n">
        <f aca="false">MAX(0,MIN(BV99,CB99+CC99-CD99))</f>
        <v>0</v>
      </c>
      <c r="CF99" s="29" t="n">
        <f aca="false">BV99-CE99</f>
        <v>690</v>
      </c>
      <c r="CG99" s="30" t="n">
        <f aca="false">CB99+CC99-CD99-CE99</f>
        <v>0</v>
      </c>
      <c r="CH99" s="30" t="n">
        <f aca="false">CK98</f>
        <v>0</v>
      </c>
      <c r="CI99" s="30" t="n">
        <f aca="false">CH99*$CB$5/12</f>
        <v>0</v>
      </c>
      <c r="CJ99" s="30" t="n">
        <f aca="false">MIN($CB$6,CH99+CI99)</f>
        <v>0</v>
      </c>
      <c r="CK99" s="30" t="n">
        <f aca="false">CH99+CI99-CJ99</f>
        <v>0</v>
      </c>
    </row>
    <row r="100" customFormat="false" ht="15" hidden="false" customHeight="false" outlineLevel="0" collapsed="false">
      <c r="A100" s="0" t="n">
        <v>92</v>
      </c>
      <c r="B100" s="29" t="n">
        <f aca="false">'1 Your debts'!$B$16-(L100+V100+AF100+AP100+AZ100+BJ100+BT100+CD100)</f>
        <v>690</v>
      </c>
      <c r="C100" s="34" t="n">
        <f aca="false">O100+Y100+AI100+AS100+BC100+BM100+BW100+CG100</f>
        <v>0</v>
      </c>
      <c r="D100" s="34" t="n">
        <f aca="false">K100+U100+AE100+AO100+AY100+BI100+BS100+CC100</f>
        <v>0</v>
      </c>
      <c r="F100" s="34" t="n">
        <f aca="false">S100+AC100+AM100+AW100+BG100+BQ100+CA100+CK100</f>
        <v>3441.28943891951</v>
      </c>
      <c r="G100" s="34" t="n">
        <f aca="false">Q100+AA100+AK100+AU100+BE100+BO100+BY100+CI100</f>
        <v>16.2937303310305</v>
      </c>
      <c r="J100" s="34" t="n">
        <f aca="false">O99</f>
        <v>0</v>
      </c>
      <c r="K100" s="34" t="n">
        <f aca="false">J100*$J$5/12</f>
        <v>0</v>
      </c>
      <c r="L100" s="29" t="n">
        <f aca="false">MIN($J$6,J100+K100)</f>
        <v>0</v>
      </c>
      <c r="M100" s="30" t="n">
        <f aca="false">MAX(0,MIN($B100,J100+K100-L100))</f>
        <v>0</v>
      </c>
      <c r="N100" s="29" t="n">
        <f aca="false">$B100-M100</f>
        <v>690</v>
      </c>
      <c r="O100" s="34" t="n">
        <f aca="false">J100+K100-L100-M100</f>
        <v>0</v>
      </c>
      <c r="P100" s="34" t="n">
        <f aca="false">S99</f>
        <v>0</v>
      </c>
      <c r="Q100" s="34" t="n">
        <f aca="false">P100*$J$5/12</f>
        <v>0</v>
      </c>
      <c r="R100" s="29" t="n">
        <f aca="false">MIN($J$6,P100+Q100)</f>
        <v>0</v>
      </c>
      <c r="S100" s="34" t="n">
        <f aca="false">P100+Q100-R100</f>
        <v>0</v>
      </c>
      <c r="T100" s="34" t="n">
        <f aca="false">Y99</f>
        <v>0</v>
      </c>
      <c r="U100" s="34" t="n">
        <f aca="false">T100*$T$5/12</f>
        <v>0</v>
      </c>
      <c r="V100" s="29" t="n">
        <f aca="false">MIN($T$6,T100+U100)</f>
        <v>0</v>
      </c>
      <c r="W100" s="30" t="n">
        <f aca="false">MAX(0,MIN(N100,T100+U100-V100))</f>
        <v>0</v>
      </c>
      <c r="X100" s="29" t="n">
        <f aca="false">N100-W100</f>
        <v>690</v>
      </c>
      <c r="Y100" s="34" t="n">
        <f aca="false">T100+U100-V100-W100</f>
        <v>0</v>
      </c>
      <c r="Z100" s="34" t="n">
        <f aca="false">AC99</f>
        <v>0</v>
      </c>
      <c r="AA100" s="34" t="n">
        <f aca="false">Z100*$T$5/12</f>
        <v>0</v>
      </c>
      <c r="AB100" s="29" t="n">
        <f aca="false">MIN($T$6,Z100+AA100)</f>
        <v>0</v>
      </c>
      <c r="AC100" s="34" t="n">
        <f aca="false">Z100+AA100-AB100</f>
        <v>0</v>
      </c>
      <c r="AD100" s="34" t="n">
        <f aca="false">AI99</f>
        <v>0</v>
      </c>
      <c r="AE100" s="34" t="n">
        <f aca="false">AD100*$AD$5/12</f>
        <v>0</v>
      </c>
      <c r="AF100" s="29" t="n">
        <f aca="false">MIN($AD$6,AD100+AE100)</f>
        <v>0</v>
      </c>
      <c r="AG100" s="30" t="n">
        <f aca="false">MAX(0,MIN(X100,AD100+AE100-AF100))</f>
        <v>0</v>
      </c>
      <c r="AH100" s="29" t="n">
        <f aca="false">X100-AG100</f>
        <v>690</v>
      </c>
      <c r="AI100" s="34" t="n">
        <f aca="false">AD100+AE100-AF100-AG100</f>
        <v>0</v>
      </c>
      <c r="AJ100" s="34" t="n">
        <f aca="false">AM99</f>
        <v>0</v>
      </c>
      <c r="AK100" s="34" t="n">
        <f aca="false">AJ100*$AD$5/12</f>
        <v>0</v>
      </c>
      <c r="AL100" s="29" t="n">
        <f aca="false">MIN($AD$6,AJ100+AK100)</f>
        <v>0</v>
      </c>
      <c r="AM100" s="34" t="n">
        <f aca="false">AJ100+AK100-AL100</f>
        <v>0</v>
      </c>
      <c r="AN100" s="34" t="n">
        <f aca="false">AS99</f>
        <v>0</v>
      </c>
      <c r="AO100" s="34" t="n">
        <f aca="false">AN100*$AN$5/12</f>
        <v>0</v>
      </c>
      <c r="AP100" s="29" t="n">
        <f aca="false">MIN($AN$6,AN100+AO100)</f>
        <v>0</v>
      </c>
      <c r="AQ100" s="30" t="n">
        <f aca="false">MAX(0,MIN(AH100,AN100+AO100-AP100))</f>
        <v>0</v>
      </c>
      <c r="AR100" s="29" t="n">
        <f aca="false">AH100-AQ100</f>
        <v>690</v>
      </c>
      <c r="AS100" s="34" t="n">
        <f aca="false">AN100+AO100-AP100-AQ100</f>
        <v>0</v>
      </c>
      <c r="AT100" s="34" t="n">
        <f aca="false">AW99</f>
        <v>3554.99570858848</v>
      </c>
      <c r="AU100" s="34" t="n">
        <f aca="false">AT100*$AN$5/12</f>
        <v>16.2937303310305</v>
      </c>
      <c r="AV100" s="29" t="n">
        <f aca="false">MIN($AN$6,AT100+AU100)</f>
        <v>130</v>
      </c>
      <c r="AW100" s="34" t="n">
        <f aca="false">AT100+AU100-AV100</f>
        <v>3441.28943891951</v>
      </c>
      <c r="AX100" s="30" t="n">
        <f aca="false">BC99</f>
        <v>0</v>
      </c>
      <c r="AY100" s="30" t="n">
        <f aca="false">AX100*$AX$5/12</f>
        <v>0</v>
      </c>
      <c r="AZ100" s="30" t="n">
        <f aca="false">MIN($AX$6,AX100+AY100)</f>
        <v>0</v>
      </c>
      <c r="BA100" s="30" t="n">
        <f aca="false">MAX(0,MIN(AR100,AX100+AY100-AZ100))</f>
        <v>0</v>
      </c>
      <c r="BB100" s="29" t="n">
        <f aca="false">AR100-BA100</f>
        <v>690</v>
      </c>
      <c r="BC100" s="30" t="n">
        <f aca="false">AX100+AY100-AZ100-BA100</f>
        <v>0</v>
      </c>
      <c r="BD100" s="30" t="n">
        <f aca="false">BG99</f>
        <v>0</v>
      </c>
      <c r="BE100" s="30" t="n">
        <f aca="false">BD100*$AX$5/12</f>
        <v>0</v>
      </c>
      <c r="BF100" s="30" t="n">
        <f aca="false">MIN($AX$6,BD100+BE100)</f>
        <v>0</v>
      </c>
      <c r="BG100" s="30" t="n">
        <f aca="false">BD100+BE100-BF100</f>
        <v>0</v>
      </c>
      <c r="BH100" s="30" t="n">
        <f aca="false">BM99</f>
        <v>0</v>
      </c>
      <c r="BI100" s="30" t="n">
        <f aca="false">BH100*$BH$5/12</f>
        <v>0</v>
      </c>
      <c r="BJ100" s="30" t="n">
        <f aca="false">MIN($BH$6,BH100+BI100)</f>
        <v>0</v>
      </c>
      <c r="BK100" s="30" t="n">
        <f aca="false">MAX(0,MIN(BB100,BH100+BI100-BJ100))</f>
        <v>0</v>
      </c>
      <c r="BL100" s="29" t="n">
        <f aca="false">BB100-BK100</f>
        <v>690</v>
      </c>
      <c r="BM100" s="30" t="n">
        <f aca="false">BH100+BI100-BJ100-BK100</f>
        <v>0</v>
      </c>
      <c r="BN100" s="30" t="n">
        <f aca="false">BQ99</f>
        <v>0</v>
      </c>
      <c r="BO100" s="30" t="n">
        <f aca="false">BN100*$BH$5/12</f>
        <v>0</v>
      </c>
      <c r="BP100" s="30" t="n">
        <f aca="false">MIN($BH$6,BN100+BO100)</f>
        <v>0</v>
      </c>
      <c r="BQ100" s="30" t="n">
        <f aca="false">BN100+BO100-BP100</f>
        <v>0</v>
      </c>
      <c r="BR100" s="30" t="n">
        <f aca="false">BW99</f>
        <v>0</v>
      </c>
      <c r="BS100" s="30" t="n">
        <f aca="false">BR100*$BR$5/12</f>
        <v>0</v>
      </c>
      <c r="BT100" s="30" t="n">
        <f aca="false">MIN($BR$6,BR100+BS100)</f>
        <v>0</v>
      </c>
      <c r="BU100" s="30" t="n">
        <f aca="false">MAX(0,MIN(BL100,BR100+BS100-BT100))</f>
        <v>0</v>
      </c>
      <c r="BV100" s="29" t="n">
        <f aca="false">BL100-BU100</f>
        <v>690</v>
      </c>
      <c r="BW100" s="30" t="n">
        <f aca="false">BR100+BS100-BT100-BU100</f>
        <v>0</v>
      </c>
      <c r="BX100" s="30" t="n">
        <f aca="false">CA99</f>
        <v>0</v>
      </c>
      <c r="BY100" s="30" t="n">
        <f aca="false">BX100*$BR$5/12</f>
        <v>0</v>
      </c>
      <c r="BZ100" s="30" t="n">
        <f aca="false">MIN($BR$6,BX100+BY100)</f>
        <v>0</v>
      </c>
      <c r="CA100" s="30" t="n">
        <f aca="false">BX100+BY100-BZ100</f>
        <v>0</v>
      </c>
      <c r="CB100" s="30" t="n">
        <f aca="false">CG99</f>
        <v>0</v>
      </c>
      <c r="CC100" s="30" t="n">
        <f aca="false">CB100*$CB$5/12</f>
        <v>0</v>
      </c>
      <c r="CD100" s="30" t="n">
        <f aca="false">MIN($CB$6,CB100+CC100)</f>
        <v>0</v>
      </c>
      <c r="CE100" s="30" t="n">
        <f aca="false">MAX(0,MIN(BV100,CB100+CC100-CD100))</f>
        <v>0</v>
      </c>
      <c r="CF100" s="29" t="n">
        <f aca="false">BV100-CE100</f>
        <v>690</v>
      </c>
      <c r="CG100" s="30" t="n">
        <f aca="false">CB100+CC100-CD100-CE100</f>
        <v>0</v>
      </c>
      <c r="CH100" s="30" t="n">
        <f aca="false">CK99</f>
        <v>0</v>
      </c>
      <c r="CI100" s="30" t="n">
        <f aca="false">CH100*$CB$5/12</f>
        <v>0</v>
      </c>
      <c r="CJ100" s="30" t="n">
        <f aca="false">MIN($CB$6,CH100+CI100)</f>
        <v>0</v>
      </c>
      <c r="CK100" s="30" t="n">
        <f aca="false">CH100+CI100-CJ100</f>
        <v>0</v>
      </c>
    </row>
    <row r="101" customFormat="false" ht="15" hidden="false" customHeight="false" outlineLevel="0" collapsed="false">
      <c r="A101" s="0" t="n">
        <v>93</v>
      </c>
      <c r="B101" s="29" t="n">
        <f aca="false">'1 Your debts'!$B$16-(L101+V101+AF101+AP101+AZ101+BJ101+BT101+CD101)</f>
        <v>690</v>
      </c>
      <c r="C101" s="34" t="n">
        <f aca="false">O101+Y101+AI101+AS101+BC101+BM101+BW101+CG101</f>
        <v>0</v>
      </c>
      <c r="D101" s="34" t="n">
        <f aca="false">K101+U101+AE101+AO101+AY101+BI101+BS101+CC101</f>
        <v>0</v>
      </c>
      <c r="F101" s="34" t="n">
        <f aca="false">S101+AC101+AM101+AW101+BG101+BQ101+CA101+CK101</f>
        <v>3327.06201551456</v>
      </c>
      <c r="G101" s="34" t="n">
        <f aca="false">Q101+AA101+AK101+AU101+BE101+BO101+BY101+CI101</f>
        <v>15.7725765950477</v>
      </c>
      <c r="J101" s="34" t="n">
        <f aca="false">O100</f>
        <v>0</v>
      </c>
      <c r="K101" s="34" t="n">
        <f aca="false">J101*$J$5/12</f>
        <v>0</v>
      </c>
      <c r="L101" s="29" t="n">
        <f aca="false">MIN($J$6,J101+K101)</f>
        <v>0</v>
      </c>
      <c r="M101" s="30" t="n">
        <f aca="false">MAX(0,MIN($B101,J101+K101-L101))</f>
        <v>0</v>
      </c>
      <c r="N101" s="29" t="n">
        <f aca="false">$B101-M101</f>
        <v>690</v>
      </c>
      <c r="O101" s="34" t="n">
        <f aca="false">J101+K101-L101-M101</f>
        <v>0</v>
      </c>
      <c r="P101" s="34" t="n">
        <f aca="false">S100</f>
        <v>0</v>
      </c>
      <c r="Q101" s="34" t="n">
        <f aca="false">P101*$J$5/12</f>
        <v>0</v>
      </c>
      <c r="R101" s="29" t="n">
        <f aca="false">MIN($J$6,P101+Q101)</f>
        <v>0</v>
      </c>
      <c r="S101" s="34" t="n">
        <f aca="false">P101+Q101-R101</f>
        <v>0</v>
      </c>
      <c r="T101" s="34" t="n">
        <f aca="false">Y100</f>
        <v>0</v>
      </c>
      <c r="U101" s="34" t="n">
        <f aca="false">T101*$T$5/12</f>
        <v>0</v>
      </c>
      <c r="V101" s="29" t="n">
        <f aca="false">MIN($T$6,T101+U101)</f>
        <v>0</v>
      </c>
      <c r="W101" s="30" t="n">
        <f aca="false">MAX(0,MIN(N101,T101+U101-V101))</f>
        <v>0</v>
      </c>
      <c r="X101" s="29" t="n">
        <f aca="false">N101-W101</f>
        <v>690</v>
      </c>
      <c r="Y101" s="34" t="n">
        <f aca="false">T101+U101-V101-W101</f>
        <v>0</v>
      </c>
      <c r="Z101" s="34" t="n">
        <f aca="false">AC100</f>
        <v>0</v>
      </c>
      <c r="AA101" s="34" t="n">
        <f aca="false">Z101*$T$5/12</f>
        <v>0</v>
      </c>
      <c r="AB101" s="29" t="n">
        <f aca="false">MIN($T$6,Z101+AA101)</f>
        <v>0</v>
      </c>
      <c r="AC101" s="34" t="n">
        <f aca="false">Z101+AA101-AB101</f>
        <v>0</v>
      </c>
      <c r="AD101" s="34" t="n">
        <f aca="false">AI100</f>
        <v>0</v>
      </c>
      <c r="AE101" s="34" t="n">
        <f aca="false">AD101*$AD$5/12</f>
        <v>0</v>
      </c>
      <c r="AF101" s="29" t="n">
        <f aca="false">MIN($AD$6,AD101+AE101)</f>
        <v>0</v>
      </c>
      <c r="AG101" s="30" t="n">
        <f aca="false">MAX(0,MIN(X101,AD101+AE101-AF101))</f>
        <v>0</v>
      </c>
      <c r="AH101" s="29" t="n">
        <f aca="false">X101-AG101</f>
        <v>690</v>
      </c>
      <c r="AI101" s="34" t="n">
        <f aca="false">AD101+AE101-AF101-AG101</f>
        <v>0</v>
      </c>
      <c r="AJ101" s="34" t="n">
        <f aca="false">AM100</f>
        <v>0</v>
      </c>
      <c r="AK101" s="34" t="n">
        <f aca="false">AJ101*$AD$5/12</f>
        <v>0</v>
      </c>
      <c r="AL101" s="29" t="n">
        <f aca="false">MIN($AD$6,AJ101+AK101)</f>
        <v>0</v>
      </c>
      <c r="AM101" s="34" t="n">
        <f aca="false">AJ101+AK101-AL101</f>
        <v>0</v>
      </c>
      <c r="AN101" s="34" t="n">
        <f aca="false">AS100</f>
        <v>0</v>
      </c>
      <c r="AO101" s="34" t="n">
        <f aca="false">AN101*$AN$5/12</f>
        <v>0</v>
      </c>
      <c r="AP101" s="29" t="n">
        <f aca="false">MIN($AN$6,AN101+AO101)</f>
        <v>0</v>
      </c>
      <c r="AQ101" s="30" t="n">
        <f aca="false">MAX(0,MIN(AH101,AN101+AO101-AP101))</f>
        <v>0</v>
      </c>
      <c r="AR101" s="29" t="n">
        <f aca="false">AH101-AQ101</f>
        <v>690</v>
      </c>
      <c r="AS101" s="34" t="n">
        <f aca="false">AN101+AO101-AP101-AQ101</f>
        <v>0</v>
      </c>
      <c r="AT101" s="34" t="n">
        <f aca="false">AW100</f>
        <v>3441.28943891951</v>
      </c>
      <c r="AU101" s="34" t="n">
        <f aca="false">AT101*$AN$5/12</f>
        <v>15.7725765950477</v>
      </c>
      <c r="AV101" s="29" t="n">
        <f aca="false">MIN($AN$6,AT101+AU101)</f>
        <v>130</v>
      </c>
      <c r="AW101" s="34" t="n">
        <f aca="false">AT101+AU101-AV101</f>
        <v>3327.06201551456</v>
      </c>
      <c r="AX101" s="30" t="n">
        <f aca="false">BC100</f>
        <v>0</v>
      </c>
      <c r="AY101" s="30" t="n">
        <f aca="false">AX101*$AX$5/12</f>
        <v>0</v>
      </c>
      <c r="AZ101" s="30" t="n">
        <f aca="false">MIN($AX$6,AX101+AY101)</f>
        <v>0</v>
      </c>
      <c r="BA101" s="30" t="n">
        <f aca="false">MAX(0,MIN(AR101,AX101+AY101-AZ101))</f>
        <v>0</v>
      </c>
      <c r="BB101" s="29" t="n">
        <f aca="false">AR101-BA101</f>
        <v>690</v>
      </c>
      <c r="BC101" s="30" t="n">
        <f aca="false">AX101+AY101-AZ101-BA101</f>
        <v>0</v>
      </c>
      <c r="BD101" s="30" t="n">
        <f aca="false">BG100</f>
        <v>0</v>
      </c>
      <c r="BE101" s="30" t="n">
        <f aca="false">BD101*$AX$5/12</f>
        <v>0</v>
      </c>
      <c r="BF101" s="30" t="n">
        <f aca="false">MIN($AX$6,BD101+BE101)</f>
        <v>0</v>
      </c>
      <c r="BG101" s="30" t="n">
        <f aca="false">BD101+BE101-BF101</f>
        <v>0</v>
      </c>
      <c r="BH101" s="30" t="n">
        <f aca="false">BM100</f>
        <v>0</v>
      </c>
      <c r="BI101" s="30" t="n">
        <f aca="false">BH101*$BH$5/12</f>
        <v>0</v>
      </c>
      <c r="BJ101" s="30" t="n">
        <f aca="false">MIN($BH$6,BH101+BI101)</f>
        <v>0</v>
      </c>
      <c r="BK101" s="30" t="n">
        <f aca="false">MAX(0,MIN(BB101,BH101+BI101-BJ101))</f>
        <v>0</v>
      </c>
      <c r="BL101" s="29" t="n">
        <f aca="false">BB101-BK101</f>
        <v>690</v>
      </c>
      <c r="BM101" s="30" t="n">
        <f aca="false">BH101+BI101-BJ101-BK101</f>
        <v>0</v>
      </c>
      <c r="BN101" s="30" t="n">
        <f aca="false">BQ100</f>
        <v>0</v>
      </c>
      <c r="BO101" s="30" t="n">
        <f aca="false">BN101*$BH$5/12</f>
        <v>0</v>
      </c>
      <c r="BP101" s="30" t="n">
        <f aca="false">MIN($BH$6,BN101+BO101)</f>
        <v>0</v>
      </c>
      <c r="BQ101" s="30" t="n">
        <f aca="false">BN101+BO101-BP101</f>
        <v>0</v>
      </c>
      <c r="BR101" s="30" t="n">
        <f aca="false">BW100</f>
        <v>0</v>
      </c>
      <c r="BS101" s="30" t="n">
        <f aca="false">BR101*$BR$5/12</f>
        <v>0</v>
      </c>
      <c r="BT101" s="30" t="n">
        <f aca="false">MIN($BR$6,BR101+BS101)</f>
        <v>0</v>
      </c>
      <c r="BU101" s="30" t="n">
        <f aca="false">MAX(0,MIN(BL101,BR101+BS101-BT101))</f>
        <v>0</v>
      </c>
      <c r="BV101" s="29" t="n">
        <f aca="false">BL101-BU101</f>
        <v>690</v>
      </c>
      <c r="BW101" s="30" t="n">
        <f aca="false">BR101+BS101-BT101-BU101</f>
        <v>0</v>
      </c>
      <c r="BX101" s="30" t="n">
        <f aca="false">CA100</f>
        <v>0</v>
      </c>
      <c r="BY101" s="30" t="n">
        <f aca="false">BX101*$BR$5/12</f>
        <v>0</v>
      </c>
      <c r="BZ101" s="30" t="n">
        <f aca="false">MIN($BR$6,BX101+BY101)</f>
        <v>0</v>
      </c>
      <c r="CA101" s="30" t="n">
        <f aca="false">BX101+BY101-BZ101</f>
        <v>0</v>
      </c>
      <c r="CB101" s="30" t="n">
        <f aca="false">CG100</f>
        <v>0</v>
      </c>
      <c r="CC101" s="30" t="n">
        <f aca="false">CB101*$CB$5/12</f>
        <v>0</v>
      </c>
      <c r="CD101" s="30" t="n">
        <f aca="false">MIN($CB$6,CB101+CC101)</f>
        <v>0</v>
      </c>
      <c r="CE101" s="30" t="n">
        <f aca="false">MAX(0,MIN(BV101,CB101+CC101-CD101))</f>
        <v>0</v>
      </c>
      <c r="CF101" s="29" t="n">
        <f aca="false">BV101-CE101</f>
        <v>690</v>
      </c>
      <c r="CG101" s="30" t="n">
        <f aca="false">CB101+CC101-CD101-CE101</f>
        <v>0</v>
      </c>
      <c r="CH101" s="30" t="n">
        <f aca="false">CK100</f>
        <v>0</v>
      </c>
      <c r="CI101" s="30" t="n">
        <f aca="false">CH101*$CB$5/12</f>
        <v>0</v>
      </c>
      <c r="CJ101" s="30" t="n">
        <f aca="false">MIN($CB$6,CH101+CI101)</f>
        <v>0</v>
      </c>
      <c r="CK101" s="30" t="n">
        <f aca="false">CH101+CI101-CJ101</f>
        <v>0</v>
      </c>
    </row>
    <row r="102" customFormat="false" ht="15" hidden="false" customHeight="false" outlineLevel="0" collapsed="false">
      <c r="A102" s="0" t="n">
        <v>94</v>
      </c>
      <c r="B102" s="29" t="n">
        <f aca="false">'1 Your debts'!$B$16-(L102+V102+AF102+AP102+AZ102+BJ102+BT102+CD102)</f>
        <v>690</v>
      </c>
      <c r="C102" s="34" t="n">
        <f aca="false">O102+Y102+AI102+AS102+BC102+BM102+BW102+CG102</f>
        <v>0</v>
      </c>
      <c r="D102" s="34" t="n">
        <f aca="false">K102+U102+AE102+AO102+AY102+BI102+BS102+CC102</f>
        <v>0</v>
      </c>
      <c r="F102" s="34" t="n">
        <f aca="false">S102+AC102+AM102+AW102+BG102+BQ102+CA102+CK102</f>
        <v>3212.31104975233</v>
      </c>
      <c r="G102" s="34" t="n">
        <f aca="false">Q102+AA102+AK102+AU102+BE102+BO102+BY102+CI102</f>
        <v>15.249034237775</v>
      </c>
      <c r="J102" s="34" t="n">
        <f aca="false">O101</f>
        <v>0</v>
      </c>
      <c r="K102" s="34" t="n">
        <f aca="false">J102*$J$5/12</f>
        <v>0</v>
      </c>
      <c r="L102" s="29" t="n">
        <f aca="false">MIN($J$6,J102+K102)</f>
        <v>0</v>
      </c>
      <c r="M102" s="30" t="n">
        <f aca="false">MAX(0,MIN($B102,J102+K102-L102))</f>
        <v>0</v>
      </c>
      <c r="N102" s="29" t="n">
        <f aca="false">$B102-M102</f>
        <v>690</v>
      </c>
      <c r="O102" s="34" t="n">
        <f aca="false">J102+K102-L102-M102</f>
        <v>0</v>
      </c>
      <c r="P102" s="34" t="n">
        <f aca="false">S101</f>
        <v>0</v>
      </c>
      <c r="Q102" s="34" t="n">
        <f aca="false">P102*$J$5/12</f>
        <v>0</v>
      </c>
      <c r="R102" s="29" t="n">
        <f aca="false">MIN($J$6,P102+Q102)</f>
        <v>0</v>
      </c>
      <c r="S102" s="34" t="n">
        <f aca="false">P102+Q102-R102</f>
        <v>0</v>
      </c>
      <c r="T102" s="34" t="n">
        <f aca="false">Y101</f>
        <v>0</v>
      </c>
      <c r="U102" s="34" t="n">
        <f aca="false">T102*$T$5/12</f>
        <v>0</v>
      </c>
      <c r="V102" s="29" t="n">
        <f aca="false">MIN($T$6,T102+U102)</f>
        <v>0</v>
      </c>
      <c r="W102" s="30" t="n">
        <f aca="false">MAX(0,MIN(N102,T102+U102-V102))</f>
        <v>0</v>
      </c>
      <c r="X102" s="29" t="n">
        <f aca="false">N102-W102</f>
        <v>690</v>
      </c>
      <c r="Y102" s="34" t="n">
        <f aca="false">T102+U102-V102-W102</f>
        <v>0</v>
      </c>
      <c r="Z102" s="34" t="n">
        <f aca="false">AC101</f>
        <v>0</v>
      </c>
      <c r="AA102" s="34" t="n">
        <f aca="false">Z102*$T$5/12</f>
        <v>0</v>
      </c>
      <c r="AB102" s="29" t="n">
        <f aca="false">MIN($T$6,Z102+AA102)</f>
        <v>0</v>
      </c>
      <c r="AC102" s="34" t="n">
        <f aca="false">Z102+AA102-AB102</f>
        <v>0</v>
      </c>
      <c r="AD102" s="34" t="n">
        <f aca="false">AI101</f>
        <v>0</v>
      </c>
      <c r="AE102" s="34" t="n">
        <f aca="false">AD102*$AD$5/12</f>
        <v>0</v>
      </c>
      <c r="AF102" s="29" t="n">
        <f aca="false">MIN($AD$6,AD102+AE102)</f>
        <v>0</v>
      </c>
      <c r="AG102" s="30" t="n">
        <f aca="false">MAX(0,MIN(X102,AD102+AE102-AF102))</f>
        <v>0</v>
      </c>
      <c r="AH102" s="29" t="n">
        <f aca="false">X102-AG102</f>
        <v>690</v>
      </c>
      <c r="AI102" s="34" t="n">
        <f aca="false">AD102+AE102-AF102-AG102</f>
        <v>0</v>
      </c>
      <c r="AJ102" s="34" t="n">
        <f aca="false">AM101</f>
        <v>0</v>
      </c>
      <c r="AK102" s="34" t="n">
        <f aca="false">AJ102*$AD$5/12</f>
        <v>0</v>
      </c>
      <c r="AL102" s="29" t="n">
        <f aca="false">MIN($AD$6,AJ102+AK102)</f>
        <v>0</v>
      </c>
      <c r="AM102" s="34" t="n">
        <f aca="false">AJ102+AK102-AL102</f>
        <v>0</v>
      </c>
      <c r="AN102" s="34" t="n">
        <f aca="false">AS101</f>
        <v>0</v>
      </c>
      <c r="AO102" s="34" t="n">
        <f aca="false">AN102*$AN$5/12</f>
        <v>0</v>
      </c>
      <c r="AP102" s="29" t="n">
        <f aca="false">MIN($AN$6,AN102+AO102)</f>
        <v>0</v>
      </c>
      <c r="AQ102" s="30" t="n">
        <f aca="false">MAX(0,MIN(AH102,AN102+AO102-AP102))</f>
        <v>0</v>
      </c>
      <c r="AR102" s="29" t="n">
        <f aca="false">AH102-AQ102</f>
        <v>690</v>
      </c>
      <c r="AS102" s="34" t="n">
        <f aca="false">AN102+AO102-AP102-AQ102</f>
        <v>0</v>
      </c>
      <c r="AT102" s="34" t="n">
        <f aca="false">AW101</f>
        <v>3327.06201551456</v>
      </c>
      <c r="AU102" s="34" t="n">
        <f aca="false">AT102*$AN$5/12</f>
        <v>15.249034237775</v>
      </c>
      <c r="AV102" s="29" t="n">
        <f aca="false">MIN($AN$6,AT102+AU102)</f>
        <v>130</v>
      </c>
      <c r="AW102" s="34" t="n">
        <f aca="false">AT102+AU102-AV102</f>
        <v>3212.31104975233</v>
      </c>
      <c r="AX102" s="30" t="n">
        <f aca="false">BC101</f>
        <v>0</v>
      </c>
      <c r="AY102" s="30" t="n">
        <f aca="false">AX102*$AX$5/12</f>
        <v>0</v>
      </c>
      <c r="AZ102" s="30" t="n">
        <f aca="false">MIN($AX$6,AX102+AY102)</f>
        <v>0</v>
      </c>
      <c r="BA102" s="30" t="n">
        <f aca="false">MAX(0,MIN(AR102,AX102+AY102-AZ102))</f>
        <v>0</v>
      </c>
      <c r="BB102" s="29" t="n">
        <f aca="false">AR102-BA102</f>
        <v>690</v>
      </c>
      <c r="BC102" s="30" t="n">
        <f aca="false">AX102+AY102-AZ102-BA102</f>
        <v>0</v>
      </c>
      <c r="BD102" s="30" t="n">
        <f aca="false">BG101</f>
        <v>0</v>
      </c>
      <c r="BE102" s="30" t="n">
        <f aca="false">BD102*$AX$5/12</f>
        <v>0</v>
      </c>
      <c r="BF102" s="30" t="n">
        <f aca="false">MIN($AX$6,BD102+BE102)</f>
        <v>0</v>
      </c>
      <c r="BG102" s="30" t="n">
        <f aca="false">BD102+BE102-BF102</f>
        <v>0</v>
      </c>
      <c r="BH102" s="30" t="n">
        <f aca="false">BM101</f>
        <v>0</v>
      </c>
      <c r="BI102" s="30" t="n">
        <f aca="false">BH102*$BH$5/12</f>
        <v>0</v>
      </c>
      <c r="BJ102" s="30" t="n">
        <f aca="false">MIN($BH$6,BH102+BI102)</f>
        <v>0</v>
      </c>
      <c r="BK102" s="30" t="n">
        <f aca="false">MAX(0,MIN(BB102,BH102+BI102-BJ102))</f>
        <v>0</v>
      </c>
      <c r="BL102" s="29" t="n">
        <f aca="false">BB102-BK102</f>
        <v>690</v>
      </c>
      <c r="BM102" s="30" t="n">
        <f aca="false">BH102+BI102-BJ102-BK102</f>
        <v>0</v>
      </c>
      <c r="BN102" s="30" t="n">
        <f aca="false">BQ101</f>
        <v>0</v>
      </c>
      <c r="BO102" s="30" t="n">
        <f aca="false">BN102*$BH$5/12</f>
        <v>0</v>
      </c>
      <c r="BP102" s="30" t="n">
        <f aca="false">MIN($BH$6,BN102+BO102)</f>
        <v>0</v>
      </c>
      <c r="BQ102" s="30" t="n">
        <f aca="false">BN102+BO102-BP102</f>
        <v>0</v>
      </c>
      <c r="BR102" s="30" t="n">
        <f aca="false">BW101</f>
        <v>0</v>
      </c>
      <c r="BS102" s="30" t="n">
        <f aca="false">BR102*$BR$5/12</f>
        <v>0</v>
      </c>
      <c r="BT102" s="30" t="n">
        <f aca="false">MIN($BR$6,BR102+BS102)</f>
        <v>0</v>
      </c>
      <c r="BU102" s="30" t="n">
        <f aca="false">MAX(0,MIN(BL102,BR102+BS102-BT102))</f>
        <v>0</v>
      </c>
      <c r="BV102" s="29" t="n">
        <f aca="false">BL102-BU102</f>
        <v>690</v>
      </c>
      <c r="BW102" s="30" t="n">
        <f aca="false">BR102+BS102-BT102-BU102</f>
        <v>0</v>
      </c>
      <c r="BX102" s="30" t="n">
        <f aca="false">CA101</f>
        <v>0</v>
      </c>
      <c r="BY102" s="30" t="n">
        <f aca="false">BX102*$BR$5/12</f>
        <v>0</v>
      </c>
      <c r="BZ102" s="30" t="n">
        <f aca="false">MIN($BR$6,BX102+BY102)</f>
        <v>0</v>
      </c>
      <c r="CA102" s="30" t="n">
        <f aca="false">BX102+BY102-BZ102</f>
        <v>0</v>
      </c>
      <c r="CB102" s="30" t="n">
        <f aca="false">CG101</f>
        <v>0</v>
      </c>
      <c r="CC102" s="30" t="n">
        <f aca="false">CB102*$CB$5/12</f>
        <v>0</v>
      </c>
      <c r="CD102" s="30" t="n">
        <f aca="false">MIN($CB$6,CB102+CC102)</f>
        <v>0</v>
      </c>
      <c r="CE102" s="30" t="n">
        <f aca="false">MAX(0,MIN(BV102,CB102+CC102-CD102))</f>
        <v>0</v>
      </c>
      <c r="CF102" s="29" t="n">
        <f aca="false">BV102-CE102</f>
        <v>690</v>
      </c>
      <c r="CG102" s="30" t="n">
        <f aca="false">CB102+CC102-CD102-CE102</f>
        <v>0</v>
      </c>
      <c r="CH102" s="30" t="n">
        <f aca="false">CK101</f>
        <v>0</v>
      </c>
      <c r="CI102" s="30" t="n">
        <f aca="false">CH102*$CB$5/12</f>
        <v>0</v>
      </c>
      <c r="CJ102" s="30" t="n">
        <f aca="false">MIN($CB$6,CH102+CI102)</f>
        <v>0</v>
      </c>
      <c r="CK102" s="30" t="n">
        <f aca="false">CH102+CI102-CJ102</f>
        <v>0</v>
      </c>
    </row>
    <row r="103" customFormat="false" ht="15" hidden="false" customHeight="false" outlineLevel="0" collapsed="false">
      <c r="A103" s="0" t="n">
        <v>95</v>
      </c>
      <c r="B103" s="29" t="n">
        <f aca="false">'1 Your debts'!$B$16-(L103+V103+AF103+AP103+AZ103+BJ103+BT103+CD103)</f>
        <v>690</v>
      </c>
      <c r="C103" s="34" t="n">
        <f aca="false">O103+Y103+AI103+AS103+BC103+BM103+BW103+CG103</f>
        <v>0</v>
      </c>
      <c r="D103" s="34" t="n">
        <f aca="false">K103+U103+AE103+AO103+AY103+BI103+BS103+CC103</f>
        <v>0</v>
      </c>
      <c r="F103" s="34" t="n">
        <f aca="false">S103+AC103+AM103+AW103+BG103+BQ103+CA103+CK103</f>
        <v>3097.0341420637</v>
      </c>
      <c r="G103" s="34" t="n">
        <f aca="false">Q103+AA103+AK103+AU103+BE103+BO103+BY103+CI103</f>
        <v>14.7230923113648</v>
      </c>
      <c r="J103" s="34" t="n">
        <f aca="false">O102</f>
        <v>0</v>
      </c>
      <c r="K103" s="34" t="n">
        <f aca="false">J103*$J$5/12</f>
        <v>0</v>
      </c>
      <c r="L103" s="29" t="n">
        <f aca="false">MIN($J$6,J103+K103)</f>
        <v>0</v>
      </c>
      <c r="M103" s="30" t="n">
        <f aca="false">MAX(0,MIN($B103,J103+K103-L103))</f>
        <v>0</v>
      </c>
      <c r="N103" s="29" t="n">
        <f aca="false">$B103-M103</f>
        <v>690</v>
      </c>
      <c r="O103" s="34" t="n">
        <f aca="false">J103+K103-L103-M103</f>
        <v>0</v>
      </c>
      <c r="P103" s="34" t="n">
        <f aca="false">S102</f>
        <v>0</v>
      </c>
      <c r="Q103" s="34" t="n">
        <f aca="false">P103*$J$5/12</f>
        <v>0</v>
      </c>
      <c r="R103" s="29" t="n">
        <f aca="false">MIN($J$6,P103+Q103)</f>
        <v>0</v>
      </c>
      <c r="S103" s="34" t="n">
        <f aca="false">P103+Q103-R103</f>
        <v>0</v>
      </c>
      <c r="T103" s="34" t="n">
        <f aca="false">Y102</f>
        <v>0</v>
      </c>
      <c r="U103" s="34" t="n">
        <f aca="false">T103*$T$5/12</f>
        <v>0</v>
      </c>
      <c r="V103" s="29" t="n">
        <f aca="false">MIN($T$6,T103+U103)</f>
        <v>0</v>
      </c>
      <c r="W103" s="30" t="n">
        <f aca="false">MAX(0,MIN(N103,T103+U103-V103))</f>
        <v>0</v>
      </c>
      <c r="X103" s="29" t="n">
        <f aca="false">N103-W103</f>
        <v>690</v>
      </c>
      <c r="Y103" s="34" t="n">
        <f aca="false">T103+U103-V103-W103</f>
        <v>0</v>
      </c>
      <c r="Z103" s="34" t="n">
        <f aca="false">AC102</f>
        <v>0</v>
      </c>
      <c r="AA103" s="34" t="n">
        <f aca="false">Z103*$T$5/12</f>
        <v>0</v>
      </c>
      <c r="AB103" s="29" t="n">
        <f aca="false">MIN($T$6,Z103+AA103)</f>
        <v>0</v>
      </c>
      <c r="AC103" s="34" t="n">
        <f aca="false">Z103+AA103-AB103</f>
        <v>0</v>
      </c>
      <c r="AD103" s="34" t="n">
        <f aca="false">AI102</f>
        <v>0</v>
      </c>
      <c r="AE103" s="34" t="n">
        <f aca="false">AD103*$AD$5/12</f>
        <v>0</v>
      </c>
      <c r="AF103" s="29" t="n">
        <f aca="false">MIN($AD$6,AD103+AE103)</f>
        <v>0</v>
      </c>
      <c r="AG103" s="30" t="n">
        <f aca="false">MAX(0,MIN(X103,AD103+AE103-AF103))</f>
        <v>0</v>
      </c>
      <c r="AH103" s="29" t="n">
        <f aca="false">X103-AG103</f>
        <v>690</v>
      </c>
      <c r="AI103" s="34" t="n">
        <f aca="false">AD103+AE103-AF103-AG103</f>
        <v>0</v>
      </c>
      <c r="AJ103" s="34" t="n">
        <f aca="false">AM102</f>
        <v>0</v>
      </c>
      <c r="AK103" s="34" t="n">
        <f aca="false">AJ103*$AD$5/12</f>
        <v>0</v>
      </c>
      <c r="AL103" s="29" t="n">
        <f aca="false">MIN($AD$6,AJ103+AK103)</f>
        <v>0</v>
      </c>
      <c r="AM103" s="34" t="n">
        <f aca="false">AJ103+AK103-AL103</f>
        <v>0</v>
      </c>
      <c r="AN103" s="34" t="n">
        <f aca="false">AS102</f>
        <v>0</v>
      </c>
      <c r="AO103" s="34" t="n">
        <f aca="false">AN103*$AN$5/12</f>
        <v>0</v>
      </c>
      <c r="AP103" s="29" t="n">
        <f aca="false">MIN($AN$6,AN103+AO103)</f>
        <v>0</v>
      </c>
      <c r="AQ103" s="30" t="n">
        <f aca="false">MAX(0,MIN(AH103,AN103+AO103-AP103))</f>
        <v>0</v>
      </c>
      <c r="AR103" s="29" t="n">
        <f aca="false">AH103-AQ103</f>
        <v>690</v>
      </c>
      <c r="AS103" s="34" t="n">
        <f aca="false">AN103+AO103-AP103-AQ103</f>
        <v>0</v>
      </c>
      <c r="AT103" s="34" t="n">
        <f aca="false">AW102</f>
        <v>3212.31104975233</v>
      </c>
      <c r="AU103" s="34" t="n">
        <f aca="false">AT103*$AN$5/12</f>
        <v>14.7230923113648</v>
      </c>
      <c r="AV103" s="29" t="n">
        <f aca="false">MIN($AN$6,AT103+AU103)</f>
        <v>130</v>
      </c>
      <c r="AW103" s="34" t="n">
        <f aca="false">AT103+AU103-AV103</f>
        <v>3097.0341420637</v>
      </c>
      <c r="AX103" s="30" t="n">
        <f aca="false">BC102</f>
        <v>0</v>
      </c>
      <c r="AY103" s="30" t="n">
        <f aca="false">AX103*$AX$5/12</f>
        <v>0</v>
      </c>
      <c r="AZ103" s="30" t="n">
        <f aca="false">MIN($AX$6,AX103+AY103)</f>
        <v>0</v>
      </c>
      <c r="BA103" s="30" t="n">
        <f aca="false">MAX(0,MIN(AR103,AX103+AY103-AZ103))</f>
        <v>0</v>
      </c>
      <c r="BB103" s="29" t="n">
        <f aca="false">AR103-BA103</f>
        <v>690</v>
      </c>
      <c r="BC103" s="30" t="n">
        <f aca="false">AX103+AY103-AZ103-BA103</f>
        <v>0</v>
      </c>
      <c r="BD103" s="30" t="n">
        <f aca="false">BG102</f>
        <v>0</v>
      </c>
      <c r="BE103" s="30" t="n">
        <f aca="false">BD103*$AX$5/12</f>
        <v>0</v>
      </c>
      <c r="BF103" s="30" t="n">
        <f aca="false">MIN($AX$6,BD103+BE103)</f>
        <v>0</v>
      </c>
      <c r="BG103" s="30" t="n">
        <f aca="false">BD103+BE103-BF103</f>
        <v>0</v>
      </c>
      <c r="BH103" s="30" t="n">
        <f aca="false">BM102</f>
        <v>0</v>
      </c>
      <c r="BI103" s="30" t="n">
        <f aca="false">BH103*$BH$5/12</f>
        <v>0</v>
      </c>
      <c r="BJ103" s="30" t="n">
        <f aca="false">MIN($BH$6,BH103+BI103)</f>
        <v>0</v>
      </c>
      <c r="BK103" s="30" t="n">
        <f aca="false">MAX(0,MIN(BB103,BH103+BI103-BJ103))</f>
        <v>0</v>
      </c>
      <c r="BL103" s="29" t="n">
        <f aca="false">BB103-BK103</f>
        <v>690</v>
      </c>
      <c r="BM103" s="30" t="n">
        <f aca="false">BH103+BI103-BJ103-BK103</f>
        <v>0</v>
      </c>
      <c r="BN103" s="30" t="n">
        <f aca="false">BQ102</f>
        <v>0</v>
      </c>
      <c r="BO103" s="30" t="n">
        <f aca="false">BN103*$BH$5/12</f>
        <v>0</v>
      </c>
      <c r="BP103" s="30" t="n">
        <f aca="false">MIN($BH$6,BN103+BO103)</f>
        <v>0</v>
      </c>
      <c r="BQ103" s="30" t="n">
        <f aca="false">BN103+BO103-BP103</f>
        <v>0</v>
      </c>
      <c r="BR103" s="30" t="n">
        <f aca="false">BW102</f>
        <v>0</v>
      </c>
      <c r="BS103" s="30" t="n">
        <f aca="false">BR103*$BR$5/12</f>
        <v>0</v>
      </c>
      <c r="BT103" s="30" t="n">
        <f aca="false">MIN($BR$6,BR103+BS103)</f>
        <v>0</v>
      </c>
      <c r="BU103" s="30" t="n">
        <f aca="false">MAX(0,MIN(BL103,BR103+BS103-BT103))</f>
        <v>0</v>
      </c>
      <c r="BV103" s="29" t="n">
        <f aca="false">BL103-BU103</f>
        <v>690</v>
      </c>
      <c r="BW103" s="30" t="n">
        <f aca="false">BR103+BS103-BT103-BU103</f>
        <v>0</v>
      </c>
      <c r="BX103" s="30" t="n">
        <f aca="false">CA102</f>
        <v>0</v>
      </c>
      <c r="BY103" s="30" t="n">
        <f aca="false">BX103*$BR$5/12</f>
        <v>0</v>
      </c>
      <c r="BZ103" s="30" t="n">
        <f aca="false">MIN($BR$6,BX103+BY103)</f>
        <v>0</v>
      </c>
      <c r="CA103" s="30" t="n">
        <f aca="false">BX103+BY103-BZ103</f>
        <v>0</v>
      </c>
      <c r="CB103" s="30" t="n">
        <f aca="false">CG102</f>
        <v>0</v>
      </c>
      <c r="CC103" s="30" t="n">
        <f aca="false">CB103*$CB$5/12</f>
        <v>0</v>
      </c>
      <c r="CD103" s="30" t="n">
        <f aca="false">MIN($CB$6,CB103+CC103)</f>
        <v>0</v>
      </c>
      <c r="CE103" s="30" t="n">
        <f aca="false">MAX(0,MIN(BV103,CB103+CC103-CD103))</f>
        <v>0</v>
      </c>
      <c r="CF103" s="29" t="n">
        <f aca="false">BV103-CE103</f>
        <v>690</v>
      </c>
      <c r="CG103" s="30" t="n">
        <f aca="false">CB103+CC103-CD103-CE103</f>
        <v>0</v>
      </c>
      <c r="CH103" s="30" t="n">
        <f aca="false">CK102</f>
        <v>0</v>
      </c>
      <c r="CI103" s="30" t="n">
        <f aca="false">CH103*$CB$5/12</f>
        <v>0</v>
      </c>
      <c r="CJ103" s="30" t="n">
        <f aca="false">MIN($CB$6,CH103+CI103)</f>
        <v>0</v>
      </c>
      <c r="CK103" s="30" t="n">
        <f aca="false">CH103+CI103-CJ103</f>
        <v>0</v>
      </c>
    </row>
    <row r="104" customFormat="false" ht="15" hidden="false" customHeight="false" outlineLevel="0" collapsed="false">
      <c r="A104" s="0" t="n">
        <v>96</v>
      </c>
      <c r="B104" s="29" t="n">
        <f aca="false">'1 Your debts'!$B$16-(L104+V104+AF104+AP104+AZ104+BJ104+BT104+CD104)</f>
        <v>690</v>
      </c>
      <c r="C104" s="34" t="n">
        <f aca="false">O104+Y104+AI104+AS104+BC104+BM104+BW104+CG104</f>
        <v>0</v>
      </c>
      <c r="D104" s="34" t="n">
        <f aca="false">K104+U104+AE104+AO104+AY104+BI104+BS104+CC104</f>
        <v>0</v>
      </c>
      <c r="F104" s="34" t="n">
        <f aca="false">S104+AC104+AM104+AW104+BG104+BQ104+CA104+CK104</f>
        <v>2981.22888188149</v>
      </c>
      <c r="G104" s="34" t="n">
        <f aca="false">Q104+AA104+AK104+AU104+BE104+BO104+BY104+CI104</f>
        <v>14.1947398177919</v>
      </c>
      <c r="J104" s="34" t="n">
        <f aca="false">O103</f>
        <v>0</v>
      </c>
      <c r="K104" s="34" t="n">
        <f aca="false">J104*$J$5/12</f>
        <v>0</v>
      </c>
      <c r="L104" s="29" t="n">
        <f aca="false">MIN($J$6,J104+K104)</f>
        <v>0</v>
      </c>
      <c r="M104" s="30" t="n">
        <f aca="false">MAX(0,MIN($B104,J104+K104-L104))</f>
        <v>0</v>
      </c>
      <c r="N104" s="29" t="n">
        <f aca="false">$B104-M104</f>
        <v>690</v>
      </c>
      <c r="O104" s="34" t="n">
        <f aca="false">J104+K104-L104-M104</f>
        <v>0</v>
      </c>
      <c r="P104" s="34" t="n">
        <f aca="false">S103</f>
        <v>0</v>
      </c>
      <c r="Q104" s="34" t="n">
        <f aca="false">P104*$J$5/12</f>
        <v>0</v>
      </c>
      <c r="R104" s="29" t="n">
        <f aca="false">MIN($J$6,P104+Q104)</f>
        <v>0</v>
      </c>
      <c r="S104" s="34" t="n">
        <f aca="false">P104+Q104-R104</f>
        <v>0</v>
      </c>
      <c r="T104" s="34" t="n">
        <f aca="false">Y103</f>
        <v>0</v>
      </c>
      <c r="U104" s="34" t="n">
        <f aca="false">T104*$T$5/12</f>
        <v>0</v>
      </c>
      <c r="V104" s="29" t="n">
        <f aca="false">MIN($T$6,T104+U104)</f>
        <v>0</v>
      </c>
      <c r="W104" s="30" t="n">
        <f aca="false">MAX(0,MIN(N104,T104+U104-V104))</f>
        <v>0</v>
      </c>
      <c r="X104" s="29" t="n">
        <f aca="false">N104-W104</f>
        <v>690</v>
      </c>
      <c r="Y104" s="34" t="n">
        <f aca="false">T104+U104-V104-W104</f>
        <v>0</v>
      </c>
      <c r="Z104" s="34" t="n">
        <f aca="false">AC103</f>
        <v>0</v>
      </c>
      <c r="AA104" s="34" t="n">
        <f aca="false">Z104*$T$5/12</f>
        <v>0</v>
      </c>
      <c r="AB104" s="29" t="n">
        <f aca="false">MIN($T$6,Z104+AA104)</f>
        <v>0</v>
      </c>
      <c r="AC104" s="34" t="n">
        <f aca="false">Z104+AA104-AB104</f>
        <v>0</v>
      </c>
      <c r="AD104" s="34" t="n">
        <f aca="false">AI103</f>
        <v>0</v>
      </c>
      <c r="AE104" s="34" t="n">
        <f aca="false">AD104*$AD$5/12</f>
        <v>0</v>
      </c>
      <c r="AF104" s="29" t="n">
        <f aca="false">MIN($AD$6,AD104+AE104)</f>
        <v>0</v>
      </c>
      <c r="AG104" s="30" t="n">
        <f aca="false">MAX(0,MIN(X104,AD104+AE104-AF104))</f>
        <v>0</v>
      </c>
      <c r="AH104" s="29" t="n">
        <f aca="false">X104-AG104</f>
        <v>690</v>
      </c>
      <c r="AI104" s="34" t="n">
        <f aca="false">AD104+AE104-AF104-AG104</f>
        <v>0</v>
      </c>
      <c r="AJ104" s="34" t="n">
        <f aca="false">AM103</f>
        <v>0</v>
      </c>
      <c r="AK104" s="34" t="n">
        <f aca="false">AJ104*$AD$5/12</f>
        <v>0</v>
      </c>
      <c r="AL104" s="29" t="n">
        <f aca="false">MIN($AD$6,AJ104+AK104)</f>
        <v>0</v>
      </c>
      <c r="AM104" s="34" t="n">
        <f aca="false">AJ104+AK104-AL104</f>
        <v>0</v>
      </c>
      <c r="AN104" s="34" t="n">
        <f aca="false">AS103</f>
        <v>0</v>
      </c>
      <c r="AO104" s="34" t="n">
        <f aca="false">AN104*$AN$5/12</f>
        <v>0</v>
      </c>
      <c r="AP104" s="29" t="n">
        <f aca="false">MIN($AN$6,AN104+AO104)</f>
        <v>0</v>
      </c>
      <c r="AQ104" s="30" t="n">
        <f aca="false">MAX(0,MIN(AH104,AN104+AO104-AP104))</f>
        <v>0</v>
      </c>
      <c r="AR104" s="29" t="n">
        <f aca="false">AH104-AQ104</f>
        <v>690</v>
      </c>
      <c r="AS104" s="34" t="n">
        <f aca="false">AN104+AO104-AP104-AQ104</f>
        <v>0</v>
      </c>
      <c r="AT104" s="34" t="n">
        <f aca="false">AW103</f>
        <v>3097.0341420637</v>
      </c>
      <c r="AU104" s="34" t="n">
        <f aca="false">AT104*$AN$5/12</f>
        <v>14.1947398177919</v>
      </c>
      <c r="AV104" s="29" t="n">
        <f aca="false">MIN($AN$6,AT104+AU104)</f>
        <v>130</v>
      </c>
      <c r="AW104" s="34" t="n">
        <f aca="false">AT104+AU104-AV104</f>
        <v>2981.22888188149</v>
      </c>
      <c r="AX104" s="30" t="n">
        <f aca="false">BC103</f>
        <v>0</v>
      </c>
      <c r="AY104" s="30" t="n">
        <f aca="false">AX104*$AX$5/12</f>
        <v>0</v>
      </c>
      <c r="AZ104" s="30" t="n">
        <f aca="false">MIN($AX$6,AX104+AY104)</f>
        <v>0</v>
      </c>
      <c r="BA104" s="30" t="n">
        <f aca="false">MAX(0,MIN(AR104,AX104+AY104-AZ104))</f>
        <v>0</v>
      </c>
      <c r="BB104" s="29" t="n">
        <f aca="false">AR104-BA104</f>
        <v>690</v>
      </c>
      <c r="BC104" s="30" t="n">
        <f aca="false">AX104+AY104-AZ104-BA104</f>
        <v>0</v>
      </c>
      <c r="BD104" s="30" t="n">
        <f aca="false">BG103</f>
        <v>0</v>
      </c>
      <c r="BE104" s="30" t="n">
        <f aca="false">BD104*$AX$5/12</f>
        <v>0</v>
      </c>
      <c r="BF104" s="30" t="n">
        <f aca="false">MIN($AX$6,BD104+BE104)</f>
        <v>0</v>
      </c>
      <c r="BG104" s="30" t="n">
        <f aca="false">BD104+BE104-BF104</f>
        <v>0</v>
      </c>
      <c r="BH104" s="30" t="n">
        <f aca="false">BM103</f>
        <v>0</v>
      </c>
      <c r="BI104" s="30" t="n">
        <f aca="false">BH104*$BH$5/12</f>
        <v>0</v>
      </c>
      <c r="BJ104" s="30" t="n">
        <f aca="false">MIN($BH$6,BH104+BI104)</f>
        <v>0</v>
      </c>
      <c r="BK104" s="30" t="n">
        <f aca="false">MAX(0,MIN(BB104,BH104+BI104-BJ104))</f>
        <v>0</v>
      </c>
      <c r="BL104" s="29" t="n">
        <f aca="false">BB104-BK104</f>
        <v>690</v>
      </c>
      <c r="BM104" s="30" t="n">
        <f aca="false">BH104+BI104-BJ104-BK104</f>
        <v>0</v>
      </c>
      <c r="BN104" s="30" t="n">
        <f aca="false">BQ103</f>
        <v>0</v>
      </c>
      <c r="BO104" s="30" t="n">
        <f aca="false">BN104*$BH$5/12</f>
        <v>0</v>
      </c>
      <c r="BP104" s="30" t="n">
        <f aca="false">MIN($BH$6,BN104+BO104)</f>
        <v>0</v>
      </c>
      <c r="BQ104" s="30" t="n">
        <f aca="false">BN104+BO104-BP104</f>
        <v>0</v>
      </c>
      <c r="BR104" s="30" t="n">
        <f aca="false">BW103</f>
        <v>0</v>
      </c>
      <c r="BS104" s="30" t="n">
        <f aca="false">BR104*$BR$5/12</f>
        <v>0</v>
      </c>
      <c r="BT104" s="30" t="n">
        <f aca="false">MIN($BR$6,BR104+BS104)</f>
        <v>0</v>
      </c>
      <c r="BU104" s="30" t="n">
        <f aca="false">MAX(0,MIN(BL104,BR104+BS104-BT104))</f>
        <v>0</v>
      </c>
      <c r="BV104" s="29" t="n">
        <f aca="false">BL104-BU104</f>
        <v>690</v>
      </c>
      <c r="BW104" s="30" t="n">
        <f aca="false">BR104+BS104-BT104-BU104</f>
        <v>0</v>
      </c>
      <c r="BX104" s="30" t="n">
        <f aca="false">CA103</f>
        <v>0</v>
      </c>
      <c r="BY104" s="30" t="n">
        <f aca="false">BX104*$BR$5/12</f>
        <v>0</v>
      </c>
      <c r="BZ104" s="30" t="n">
        <f aca="false">MIN($BR$6,BX104+BY104)</f>
        <v>0</v>
      </c>
      <c r="CA104" s="30" t="n">
        <f aca="false">BX104+BY104-BZ104</f>
        <v>0</v>
      </c>
      <c r="CB104" s="30" t="n">
        <f aca="false">CG103</f>
        <v>0</v>
      </c>
      <c r="CC104" s="30" t="n">
        <f aca="false">CB104*$CB$5/12</f>
        <v>0</v>
      </c>
      <c r="CD104" s="30" t="n">
        <f aca="false">MIN($CB$6,CB104+CC104)</f>
        <v>0</v>
      </c>
      <c r="CE104" s="30" t="n">
        <f aca="false">MAX(0,MIN(BV104,CB104+CC104-CD104))</f>
        <v>0</v>
      </c>
      <c r="CF104" s="29" t="n">
        <f aca="false">BV104-CE104</f>
        <v>690</v>
      </c>
      <c r="CG104" s="30" t="n">
        <f aca="false">CB104+CC104-CD104-CE104</f>
        <v>0</v>
      </c>
      <c r="CH104" s="30" t="n">
        <f aca="false">CK103</f>
        <v>0</v>
      </c>
      <c r="CI104" s="30" t="n">
        <f aca="false">CH104*$CB$5/12</f>
        <v>0</v>
      </c>
      <c r="CJ104" s="30" t="n">
        <f aca="false">MIN($CB$6,CH104+CI104)</f>
        <v>0</v>
      </c>
      <c r="CK104" s="30" t="n">
        <f aca="false">CH104+CI104-CJ104</f>
        <v>0</v>
      </c>
    </row>
    <row r="105" customFormat="false" ht="15" hidden="false" customHeight="false" outlineLevel="0" collapsed="false">
      <c r="A105" s="0" t="n">
        <v>97</v>
      </c>
      <c r="B105" s="29" t="n">
        <f aca="false">'1 Your debts'!$B$16-(L105+V105+AF105+AP105+AZ105+BJ105+BT105+CD105)</f>
        <v>690</v>
      </c>
      <c r="C105" s="34" t="n">
        <f aca="false">O105+Y105+AI105+AS105+BC105+BM105+BW105+CG105</f>
        <v>0</v>
      </c>
      <c r="D105" s="34" t="n">
        <f aca="false">K105+U105+AE105+AO105+AY105+BI105+BS105+CC105</f>
        <v>0</v>
      </c>
      <c r="F105" s="34" t="n">
        <f aca="false">S105+AC105+AM105+AW105+BG105+BQ105+CA105+CK105</f>
        <v>2864.89284759011</v>
      </c>
      <c r="G105" s="34" t="n">
        <f aca="false">Q105+AA105+AK105+AU105+BE105+BO105+BY105+CI105</f>
        <v>13.6639657086235</v>
      </c>
      <c r="J105" s="34" t="n">
        <f aca="false">O104</f>
        <v>0</v>
      </c>
      <c r="K105" s="34" t="n">
        <f aca="false">J105*$J$5/12</f>
        <v>0</v>
      </c>
      <c r="L105" s="29" t="n">
        <f aca="false">MIN($J$6,J105+K105)</f>
        <v>0</v>
      </c>
      <c r="M105" s="30" t="n">
        <f aca="false">MAX(0,MIN($B105,J105+K105-L105))</f>
        <v>0</v>
      </c>
      <c r="N105" s="29" t="n">
        <f aca="false">$B105-M105</f>
        <v>690</v>
      </c>
      <c r="O105" s="34" t="n">
        <f aca="false">J105+K105-L105-M105</f>
        <v>0</v>
      </c>
      <c r="P105" s="34" t="n">
        <f aca="false">S104</f>
        <v>0</v>
      </c>
      <c r="Q105" s="34" t="n">
        <f aca="false">P105*$J$5/12</f>
        <v>0</v>
      </c>
      <c r="R105" s="29" t="n">
        <f aca="false">MIN($J$6,P105+Q105)</f>
        <v>0</v>
      </c>
      <c r="S105" s="34" t="n">
        <f aca="false">P105+Q105-R105</f>
        <v>0</v>
      </c>
      <c r="T105" s="34" t="n">
        <f aca="false">Y104</f>
        <v>0</v>
      </c>
      <c r="U105" s="34" t="n">
        <f aca="false">T105*$T$5/12</f>
        <v>0</v>
      </c>
      <c r="V105" s="29" t="n">
        <f aca="false">MIN($T$6,T105+U105)</f>
        <v>0</v>
      </c>
      <c r="W105" s="30" t="n">
        <f aca="false">MAX(0,MIN(N105,T105+U105-V105))</f>
        <v>0</v>
      </c>
      <c r="X105" s="29" t="n">
        <f aca="false">N105-W105</f>
        <v>690</v>
      </c>
      <c r="Y105" s="34" t="n">
        <f aca="false">T105+U105-V105-W105</f>
        <v>0</v>
      </c>
      <c r="Z105" s="34" t="n">
        <f aca="false">AC104</f>
        <v>0</v>
      </c>
      <c r="AA105" s="34" t="n">
        <f aca="false">Z105*$T$5/12</f>
        <v>0</v>
      </c>
      <c r="AB105" s="29" t="n">
        <f aca="false">MIN($T$6,Z105+AA105)</f>
        <v>0</v>
      </c>
      <c r="AC105" s="34" t="n">
        <f aca="false">Z105+AA105-AB105</f>
        <v>0</v>
      </c>
      <c r="AD105" s="34" t="n">
        <f aca="false">AI104</f>
        <v>0</v>
      </c>
      <c r="AE105" s="34" t="n">
        <f aca="false">AD105*$AD$5/12</f>
        <v>0</v>
      </c>
      <c r="AF105" s="29" t="n">
        <f aca="false">MIN($AD$6,AD105+AE105)</f>
        <v>0</v>
      </c>
      <c r="AG105" s="30" t="n">
        <f aca="false">MAX(0,MIN(X105,AD105+AE105-AF105))</f>
        <v>0</v>
      </c>
      <c r="AH105" s="29" t="n">
        <f aca="false">X105-AG105</f>
        <v>690</v>
      </c>
      <c r="AI105" s="34" t="n">
        <f aca="false">AD105+AE105-AF105-AG105</f>
        <v>0</v>
      </c>
      <c r="AJ105" s="34" t="n">
        <f aca="false">AM104</f>
        <v>0</v>
      </c>
      <c r="AK105" s="34" t="n">
        <f aca="false">AJ105*$AD$5/12</f>
        <v>0</v>
      </c>
      <c r="AL105" s="29" t="n">
        <f aca="false">MIN($AD$6,AJ105+AK105)</f>
        <v>0</v>
      </c>
      <c r="AM105" s="34" t="n">
        <f aca="false">AJ105+AK105-AL105</f>
        <v>0</v>
      </c>
      <c r="AN105" s="34" t="n">
        <f aca="false">AS104</f>
        <v>0</v>
      </c>
      <c r="AO105" s="34" t="n">
        <f aca="false">AN105*$AN$5/12</f>
        <v>0</v>
      </c>
      <c r="AP105" s="29" t="n">
        <f aca="false">MIN($AN$6,AN105+AO105)</f>
        <v>0</v>
      </c>
      <c r="AQ105" s="30" t="n">
        <f aca="false">MAX(0,MIN(AH105,AN105+AO105-AP105))</f>
        <v>0</v>
      </c>
      <c r="AR105" s="29" t="n">
        <f aca="false">AH105-AQ105</f>
        <v>690</v>
      </c>
      <c r="AS105" s="34" t="n">
        <f aca="false">AN105+AO105-AP105-AQ105</f>
        <v>0</v>
      </c>
      <c r="AT105" s="34" t="n">
        <f aca="false">AW104</f>
        <v>2981.22888188149</v>
      </c>
      <c r="AU105" s="34" t="n">
        <f aca="false">AT105*$AN$5/12</f>
        <v>13.6639657086235</v>
      </c>
      <c r="AV105" s="29" t="n">
        <f aca="false">MIN($AN$6,AT105+AU105)</f>
        <v>130</v>
      </c>
      <c r="AW105" s="34" t="n">
        <f aca="false">AT105+AU105-AV105</f>
        <v>2864.89284759011</v>
      </c>
      <c r="AX105" s="30" t="n">
        <f aca="false">BC104</f>
        <v>0</v>
      </c>
      <c r="AY105" s="30" t="n">
        <f aca="false">AX105*$AX$5/12</f>
        <v>0</v>
      </c>
      <c r="AZ105" s="30" t="n">
        <f aca="false">MIN($AX$6,AX105+AY105)</f>
        <v>0</v>
      </c>
      <c r="BA105" s="30" t="n">
        <f aca="false">MAX(0,MIN(AR105,AX105+AY105-AZ105))</f>
        <v>0</v>
      </c>
      <c r="BB105" s="29" t="n">
        <f aca="false">AR105-BA105</f>
        <v>690</v>
      </c>
      <c r="BC105" s="30" t="n">
        <f aca="false">AX105+AY105-AZ105-BA105</f>
        <v>0</v>
      </c>
      <c r="BD105" s="30" t="n">
        <f aca="false">BG104</f>
        <v>0</v>
      </c>
      <c r="BE105" s="30" t="n">
        <f aca="false">BD105*$AX$5/12</f>
        <v>0</v>
      </c>
      <c r="BF105" s="30" t="n">
        <f aca="false">MIN($AX$6,BD105+BE105)</f>
        <v>0</v>
      </c>
      <c r="BG105" s="30" t="n">
        <f aca="false">BD105+BE105-BF105</f>
        <v>0</v>
      </c>
      <c r="BH105" s="30" t="n">
        <f aca="false">BM104</f>
        <v>0</v>
      </c>
      <c r="BI105" s="30" t="n">
        <f aca="false">BH105*$BH$5/12</f>
        <v>0</v>
      </c>
      <c r="BJ105" s="30" t="n">
        <f aca="false">MIN($BH$6,BH105+BI105)</f>
        <v>0</v>
      </c>
      <c r="BK105" s="30" t="n">
        <f aca="false">MAX(0,MIN(BB105,BH105+BI105-BJ105))</f>
        <v>0</v>
      </c>
      <c r="BL105" s="29" t="n">
        <f aca="false">BB105-BK105</f>
        <v>690</v>
      </c>
      <c r="BM105" s="30" t="n">
        <f aca="false">BH105+BI105-BJ105-BK105</f>
        <v>0</v>
      </c>
      <c r="BN105" s="30" t="n">
        <f aca="false">BQ104</f>
        <v>0</v>
      </c>
      <c r="BO105" s="30" t="n">
        <f aca="false">BN105*$BH$5/12</f>
        <v>0</v>
      </c>
      <c r="BP105" s="30" t="n">
        <f aca="false">MIN($BH$6,BN105+BO105)</f>
        <v>0</v>
      </c>
      <c r="BQ105" s="30" t="n">
        <f aca="false">BN105+BO105-BP105</f>
        <v>0</v>
      </c>
      <c r="BR105" s="30" t="n">
        <f aca="false">BW104</f>
        <v>0</v>
      </c>
      <c r="BS105" s="30" t="n">
        <f aca="false">BR105*$BR$5/12</f>
        <v>0</v>
      </c>
      <c r="BT105" s="30" t="n">
        <f aca="false">MIN($BR$6,BR105+BS105)</f>
        <v>0</v>
      </c>
      <c r="BU105" s="30" t="n">
        <f aca="false">MAX(0,MIN(BL105,BR105+BS105-BT105))</f>
        <v>0</v>
      </c>
      <c r="BV105" s="29" t="n">
        <f aca="false">BL105-BU105</f>
        <v>690</v>
      </c>
      <c r="BW105" s="30" t="n">
        <f aca="false">BR105+BS105-BT105-BU105</f>
        <v>0</v>
      </c>
      <c r="BX105" s="30" t="n">
        <f aca="false">CA104</f>
        <v>0</v>
      </c>
      <c r="BY105" s="30" t="n">
        <f aca="false">BX105*$BR$5/12</f>
        <v>0</v>
      </c>
      <c r="BZ105" s="30" t="n">
        <f aca="false">MIN($BR$6,BX105+BY105)</f>
        <v>0</v>
      </c>
      <c r="CA105" s="30" t="n">
        <f aca="false">BX105+BY105-BZ105</f>
        <v>0</v>
      </c>
      <c r="CB105" s="30" t="n">
        <f aca="false">CG104</f>
        <v>0</v>
      </c>
      <c r="CC105" s="30" t="n">
        <f aca="false">CB105*$CB$5/12</f>
        <v>0</v>
      </c>
      <c r="CD105" s="30" t="n">
        <f aca="false">MIN($CB$6,CB105+CC105)</f>
        <v>0</v>
      </c>
      <c r="CE105" s="30" t="n">
        <f aca="false">MAX(0,MIN(BV105,CB105+CC105-CD105))</f>
        <v>0</v>
      </c>
      <c r="CF105" s="29" t="n">
        <f aca="false">BV105-CE105</f>
        <v>690</v>
      </c>
      <c r="CG105" s="30" t="n">
        <f aca="false">CB105+CC105-CD105-CE105</f>
        <v>0</v>
      </c>
      <c r="CH105" s="30" t="n">
        <f aca="false">CK104</f>
        <v>0</v>
      </c>
      <c r="CI105" s="30" t="n">
        <f aca="false">CH105*$CB$5/12</f>
        <v>0</v>
      </c>
      <c r="CJ105" s="30" t="n">
        <f aca="false">MIN($CB$6,CH105+CI105)</f>
        <v>0</v>
      </c>
      <c r="CK105" s="30" t="n">
        <f aca="false">CH105+CI105-CJ105</f>
        <v>0</v>
      </c>
    </row>
    <row r="106" customFormat="false" ht="15" hidden="false" customHeight="false" outlineLevel="0" collapsed="false">
      <c r="A106" s="0" t="n">
        <v>98</v>
      </c>
      <c r="B106" s="29" t="n">
        <f aca="false">'1 Your debts'!$B$16-(L106+V106+AF106+AP106+AZ106+BJ106+BT106+CD106)</f>
        <v>690</v>
      </c>
      <c r="C106" s="34" t="n">
        <f aca="false">O106+Y106+AI106+AS106+BC106+BM106+BW106+CG106</f>
        <v>0</v>
      </c>
      <c r="D106" s="34" t="n">
        <f aca="false">K106+U106+AE106+AO106+AY106+BI106+BS106+CC106</f>
        <v>0</v>
      </c>
      <c r="F106" s="34" t="n">
        <f aca="false">S106+AC106+AM106+AW106+BG106+BQ106+CA106+CK106</f>
        <v>2748.0236064749</v>
      </c>
      <c r="G106" s="34" t="n">
        <f aca="false">Q106+AA106+AK106+AU106+BE106+BO106+BY106+CI106</f>
        <v>13.130758884788</v>
      </c>
      <c r="J106" s="34" t="n">
        <f aca="false">O105</f>
        <v>0</v>
      </c>
      <c r="K106" s="34" t="n">
        <f aca="false">J106*$J$5/12</f>
        <v>0</v>
      </c>
      <c r="L106" s="29" t="n">
        <f aca="false">MIN($J$6,J106+K106)</f>
        <v>0</v>
      </c>
      <c r="M106" s="30" t="n">
        <f aca="false">MAX(0,MIN($B106,J106+K106-L106))</f>
        <v>0</v>
      </c>
      <c r="N106" s="29" t="n">
        <f aca="false">$B106-M106</f>
        <v>690</v>
      </c>
      <c r="O106" s="34" t="n">
        <f aca="false">J106+K106-L106-M106</f>
        <v>0</v>
      </c>
      <c r="P106" s="34" t="n">
        <f aca="false">S105</f>
        <v>0</v>
      </c>
      <c r="Q106" s="34" t="n">
        <f aca="false">P106*$J$5/12</f>
        <v>0</v>
      </c>
      <c r="R106" s="29" t="n">
        <f aca="false">MIN($J$6,P106+Q106)</f>
        <v>0</v>
      </c>
      <c r="S106" s="34" t="n">
        <f aca="false">P106+Q106-R106</f>
        <v>0</v>
      </c>
      <c r="T106" s="34" t="n">
        <f aca="false">Y105</f>
        <v>0</v>
      </c>
      <c r="U106" s="34" t="n">
        <f aca="false">T106*$T$5/12</f>
        <v>0</v>
      </c>
      <c r="V106" s="29" t="n">
        <f aca="false">MIN($T$6,T106+U106)</f>
        <v>0</v>
      </c>
      <c r="W106" s="30" t="n">
        <f aca="false">MAX(0,MIN(N106,T106+U106-V106))</f>
        <v>0</v>
      </c>
      <c r="X106" s="29" t="n">
        <f aca="false">N106-W106</f>
        <v>690</v>
      </c>
      <c r="Y106" s="34" t="n">
        <f aca="false">T106+U106-V106-W106</f>
        <v>0</v>
      </c>
      <c r="Z106" s="34" t="n">
        <f aca="false">AC105</f>
        <v>0</v>
      </c>
      <c r="AA106" s="34" t="n">
        <f aca="false">Z106*$T$5/12</f>
        <v>0</v>
      </c>
      <c r="AB106" s="29" t="n">
        <f aca="false">MIN($T$6,Z106+AA106)</f>
        <v>0</v>
      </c>
      <c r="AC106" s="34" t="n">
        <f aca="false">Z106+AA106-AB106</f>
        <v>0</v>
      </c>
      <c r="AD106" s="34" t="n">
        <f aca="false">AI105</f>
        <v>0</v>
      </c>
      <c r="AE106" s="34" t="n">
        <f aca="false">AD106*$AD$5/12</f>
        <v>0</v>
      </c>
      <c r="AF106" s="29" t="n">
        <f aca="false">MIN($AD$6,AD106+AE106)</f>
        <v>0</v>
      </c>
      <c r="AG106" s="30" t="n">
        <f aca="false">MAX(0,MIN(X106,AD106+AE106-AF106))</f>
        <v>0</v>
      </c>
      <c r="AH106" s="29" t="n">
        <f aca="false">X106-AG106</f>
        <v>690</v>
      </c>
      <c r="AI106" s="34" t="n">
        <f aca="false">AD106+AE106-AF106-AG106</f>
        <v>0</v>
      </c>
      <c r="AJ106" s="34" t="n">
        <f aca="false">AM105</f>
        <v>0</v>
      </c>
      <c r="AK106" s="34" t="n">
        <f aca="false">AJ106*$AD$5/12</f>
        <v>0</v>
      </c>
      <c r="AL106" s="29" t="n">
        <f aca="false">MIN($AD$6,AJ106+AK106)</f>
        <v>0</v>
      </c>
      <c r="AM106" s="34" t="n">
        <f aca="false">AJ106+AK106-AL106</f>
        <v>0</v>
      </c>
      <c r="AN106" s="34" t="n">
        <f aca="false">AS105</f>
        <v>0</v>
      </c>
      <c r="AO106" s="34" t="n">
        <f aca="false">AN106*$AN$5/12</f>
        <v>0</v>
      </c>
      <c r="AP106" s="29" t="n">
        <f aca="false">MIN($AN$6,AN106+AO106)</f>
        <v>0</v>
      </c>
      <c r="AQ106" s="30" t="n">
        <f aca="false">MAX(0,MIN(AH106,AN106+AO106-AP106))</f>
        <v>0</v>
      </c>
      <c r="AR106" s="29" t="n">
        <f aca="false">AH106-AQ106</f>
        <v>690</v>
      </c>
      <c r="AS106" s="34" t="n">
        <f aca="false">AN106+AO106-AP106-AQ106</f>
        <v>0</v>
      </c>
      <c r="AT106" s="34" t="n">
        <f aca="false">AW105</f>
        <v>2864.89284759011</v>
      </c>
      <c r="AU106" s="34" t="n">
        <f aca="false">AT106*$AN$5/12</f>
        <v>13.130758884788</v>
      </c>
      <c r="AV106" s="29" t="n">
        <f aca="false">MIN($AN$6,AT106+AU106)</f>
        <v>130</v>
      </c>
      <c r="AW106" s="34" t="n">
        <f aca="false">AT106+AU106-AV106</f>
        <v>2748.0236064749</v>
      </c>
      <c r="AX106" s="30" t="n">
        <f aca="false">BC105</f>
        <v>0</v>
      </c>
      <c r="AY106" s="30" t="n">
        <f aca="false">AX106*$AX$5/12</f>
        <v>0</v>
      </c>
      <c r="AZ106" s="30" t="n">
        <f aca="false">MIN($AX$6,AX106+AY106)</f>
        <v>0</v>
      </c>
      <c r="BA106" s="30" t="n">
        <f aca="false">MAX(0,MIN(AR106,AX106+AY106-AZ106))</f>
        <v>0</v>
      </c>
      <c r="BB106" s="29" t="n">
        <f aca="false">AR106-BA106</f>
        <v>690</v>
      </c>
      <c r="BC106" s="30" t="n">
        <f aca="false">AX106+AY106-AZ106-BA106</f>
        <v>0</v>
      </c>
      <c r="BD106" s="30" t="n">
        <f aca="false">BG105</f>
        <v>0</v>
      </c>
      <c r="BE106" s="30" t="n">
        <f aca="false">BD106*$AX$5/12</f>
        <v>0</v>
      </c>
      <c r="BF106" s="30" t="n">
        <f aca="false">MIN($AX$6,BD106+BE106)</f>
        <v>0</v>
      </c>
      <c r="BG106" s="30" t="n">
        <f aca="false">BD106+BE106-BF106</f>
        <v>0</v>
      </c>
      <c r="BH106" s="30" t="n">
        <f aca="false">BM105</f>
        <v>0</v>
      </c>
      <c r="BI106" s="30" t="n">
        <f aca="false">BH106*$BH$5/12</f>
        <v>0</v>
      </c>
      <c r="BJ106" s="30" t="n">
        <f aca="false">MIN($BH$6,BH106+BI106)</f>
        <v>0</v>
      </c>
      <c r="BK106" s="30" t="n">
        <f aca="false">MAX(0,MIN(BB106,BH106+BI106-BJ106))</f>
        <v>0</v>
      </c>
      <c r="BL106" s="29" t="n">
        <f aca="false">BB106-BK106</f>
        <v>690</v>
      </c>
      <c r="BM106" s="30" t="n">
        <f aca="false">BH106+BI106-BJ106-BK106</f>
        <v>0</v>
      </c>
      <c r="BN106" s="30" t="n">
        <f aca="false">BQ105</f>
        <v>0</v>
      </c>
      <c r="BO106" s="30" t="n">
        <f aca="false">BN106*$BH$5/12</f>
        <v>0</v>
      </c>
      <c r="BP106" s="30" t="n">
        <f aca="false">MIN($BH$6,BN106+BO106)</f>
        <v>0</v>
      </c>
      <c r="BQ106" s="30" t="n">
        <f aca="false">BN106+BO106-BP106</f>
        <v>0</v>
      </c>
      <c r="BR106" s="30" t="n">
        <f aca="false">BW105</f>
        <v>0</v>
      </c>
      <c r="BS106" s="30" t="n">
        <f aca="false">BR106*$BR$5/12</f>
        <v>0</v>
      </c>
      <c r="BT106" s="30" t="n">
        <f aca="false">MIN($BR$6,BR106+BS106)</f>
        <v>0</v>
      </c>
      <c r="BU106" s="30" t="n">
        <f aca="false">MAX(0,MIN(BL106,BR106+BS106-BT106))</f>
        <v>0</v>
      </c>
      <c r="BV106" s="29" t="n">
        <f aca="false">BL106-BU106</f>
        <v>690</v>
      </c>
      <c r="BW106" s="30" t="n">
        <f aca="false">BR106+BS106-BT106-BU106</f>
        <v>0</v>
      </c>
      <c r="BX106" s="30" t="n">
        <f aca="false">CA105</f>
        <v>0</v>
      </c>
      <c r="BY106" s="30" t="n">
        <f aca="false">BX106*$BR$5/12</f>
        <v>0</v>
      </c>
      <c r="BZ106" s="30" t="n">
        <f aca="false">MIN($BR$6,BX106+BY106)</f>
        <v>0</v>
      </c>
      <c r="CA106" s="30" t="n">
        <f aca="false">BX106+BY106-BZ106</f>
        <v>0</v>
      </c>
      <c r="CB106" s="30" t="n">
        <f aca="false">CG105</f>
        <v>0</v>
      </c>
      <c r="CC106" s="30" t="n">
        <f aca="false">CB106*$CB$5/12</f>
        <v>0</v>
      </c>
      <c r="CD106" s="30" t="n">
        <f aca="false">MIN($CB$6,CB106+CC106)</f>
        <v>0</v>
      </c>
      <c r="CE106" s="30" t="n">
        <f aca="false">MAX(0,MIN(BV106,CB106+CC106-CD106))</f>
        <v>0</v>
      </c>
      <c r="CF106" s="29" t="n">
        <f aca="false">BV106-CE106</f>
        <v>690</v>
      </c>
      <c r="CG106" s="30" t="n">
        <f aca="false">CB106+CC106-CD106-CE106</f>
        <v>0</v>
      </c>
      <c r="CH106" s="30" t="n">
        <f aca="false">CK105</f>
        <v>0</v>
      </c>
      <c r="CI106" s="30" t="n">
        <f aca="false">CH106*$CB$5/12</f>
        <v>0</v>
      </c>
      <c r="CJ106" s="30" t="n">
        <f aca="false">MIN($CB$6,CH106+CI106)</f>
        <v>0</v>
      </c>
      <c r="CK106" s="30" t="n">
        <f aca="false">CH106+CI106-CJ106</f>
        <v>0</v>
      </c>
    </row>
    <row r="107" customFormat="false" ht="15" hidden="false" customHeight="false" outlineLevel="0" collapsed="false">
      <c r="A107" s="0" t="n">
        <v>99</v>
      </c>
      <c r="B107" s="29" t="n">
        <f aca="false">'1 Your debts'!$B$16-(L107+V107+AF107+AP107+AZ107+BJ107+BT107+CD107)</f>
        <v>690</v>
      </c>
      <c r="C107" s="34" t="n">
        <f aca="false">O107+Y107+AI107+AS107+BC107+BM107+BW107+CG107</f>
        <v>0</v>
      </c>
      <c r="D107" s="34" t="n">
        <f aca="false">K107+U107+AE107+AO107+AY107+BI107+BS107+CC107</f>
        <v>0</v>
      </c>
      <c r="F107" s="34" t="n">
        <f aca="false">S107+AC107+AM107+AW107+BG107+BQ107+CA107+CK107</f>
        <v>2630.61871467124</v>
      </c>
      <c r="G107" s="34" t="n">
        <f aca="false">Q107+AA107+AK107+AU107+BE107+BO107+BY107+CI107</f>
        <v>12.5951081963433</v>
      </c>
      <c r="J107" s="34" t="n">
        <f aca="false">O106</f>
        <v>0</v>
      </c>
      <c r="K107" s="34" t="n">
        <f aca="false">J107*$J$5/12</f>
        <v>0</v>
      </c>
      <c r="L107" s="29" t="n">
        <f aca="false">MIN($J$6,J107+K107)</f>
        <v>0</v>
      </c>
      <c r="M107" s="30" t="n">
        <f aca="false">MAX(0,MIN($B107,J107+K107-L107))</f>
        <v>0</v>
      </c>
      <c r="N107" s="29" t="n">
        <f aca="false">$B107-M107</f>
        <v>690</v>
      </c>
      <c r="O107" s="34" t="n">
        <f aca="false">J107+K107-L107-M107</f>
        <v>0</v>
      </c>
      <c r="P107" s="34" t="n">
        <f aca="false">S106</f>
        <v>0</v>
      </c>
      <c r="Q107" s="34" t="n">
        <f aca="false">P107*$J$5/12</f>
        <v>0</v>
      </c>
      <c r="R107" s="29" t="n">
        <f aca="false">MIN($J$6,P107+Q107)</f>
        <v>0</v>
      </c>
      <c r="S107" s="34" t="n">
        <f aca="false">P107+Q107-R107</f>
        <v>0</v>
      </c>
      <c r="T107" s="34" t="n">
        <f aca="false">Y106</f>
        <v>0</v>
      </c>
      <c r="U107" s="34" t="n">
        <f aca="false">T107*$T$5/12</f>
        <v>0</v>
      </c>
      <c r="V107" s="29" t="n">
        <f aca="false">MIN($T$6,T107+U107)</f>
        <v>0</v>
      </c>
      <c r="W107" s="30" t="n">
        <f aca="false">MAX(0,MIN(N107,T107+U107-V107))</f>
        <v>0</v>
      </c>
      <c r="X107" s="29" t="n">
        <f aca="false">N107-W107</f>
        <v>690</v>
      </c>
      <c r="Y107" s="34" t="n">
        <f aca="false">T107+U107-V107-W107</f>
        <v>0</v>
      </c>
      <c r="Z107" s="34" t="n">
        <f aca="false">AC106</f>
        <v>0</v>
      </c>
      <c r="AA107" s="34" t="n">
        <f aca="false">Z107*$T$5/12</f>
        <v>0</v>
      </c>
      <c r="AB107" s="29" t="n">
        <f aca="false">MIN($T$6,Z107+AA107)</f>
        <v>0</v>
      </c>
      <c r="AC107" s="34" t="n">
        <f aca="false">Z107+AA107-AB107</f>
        <v>0</v>
      </c>
      <c r="AD107" s="34" t="n">
        <f aca="false">AI106</f>
        <v>0</v>
      </c>
      <c r="AE107" s="34" t="n">
        <f aca="false">AD107*$AD$5/12</f>
        <v>0</v>
      </c>
      <c r="AF107" s="29" t="n">
        <f aca="false">MIN($AD$6,AD107+AE107)</f>
        <v>0</v>
      </c>
      <c r="AG107" s="30" t="n">
        <f aca="false">MAX(0,MIN(X107,AD107+AE107-AF107))</f>
        <v>0</v>
      </c>
      <c r="AH107" s="29" t="n">
        <f aca="false">X107-AG107</f>
        <v>690</v>
      </c>
      <c r="AI107" s="34" t="n">
        <f aca="false">AD107+AE107-AF107-AG107</f>
        <v>0</v>
      </c>
      <c r="AJ107" s="34" t="n">
        <f aca="false">AM106</f>
        <v>0</v>
      </c>
      <c r="AK107" s="34" t="n">
        <f aca="false">AJ107*$AD$5/12</f>
        <v>0</v>
      </c>
      <c r="AL107" s="29" t="n">
        <f aca="false">MIN($AD$6,AJ107+AK107)</f>
        <v>0</v>
      </c>
      <c r="AM107" s="34" t="n">
        <f aca="false">AJ107+AK107-AL107</f>
        <v>0</v>
      </c>
      <c r="AN107" s="34" t="n">
        <f aca="false">AS106</f>
        <v>0</v>
      </c>
      <c r="AO107" s="34" t="n">
        <f aca="false">AN107*$AN$5/12</f>
        <v>0</v>
      </c>
      <c r="AP107" s="29" t="n">
        <f aca="false">MIN($AN$6,AN107+AO107)</f>
        <v>0</v>
      </c>
      <c r="AQ107" s="30" t="n">
        <f aca="false">MAX(0,MIN(AH107,AN107+AO107-AP107))</f>
        <v>0</v>
      </c>
      <c r="AR107" s="29" t="n">
        <f aca="false">AH107-AQ107</f>
        <v>690</v>
      </c>
      <c r="AS107" s="34" t="n">
        <f aca="false">AN107+AO107-AP107-AQ107</f>
        <v>0</v>
      </c>
      <c r="AT107" s="34" t="n">
        <f aca="false">AW106</f>
        <v>2748.0236064749</v>
      </c>
      <c r="AU107" s="34" t="n">
        <f aca="false">AT107*$AN$5/12</f>
        <v>12.5951081963433</v>
      </c>
      <c r="AV107" s="29" t="n">
        <f aca="false">MIN($AN$6,AT107+AU107)</f>
        <v>130</v>
      </c>
      <c r="AW107" s="34" t="n">
        <f aca="false">AT107+AU107-AV107</f>
        <v>2630.61871467124</v>
      </c>
      <c r="AX107" s="30" t="n">
        <f aca="false">BC106</f>
        <v>0</v>
      </c>
      <c r="AY107" s="30" t="n">
        <f aca="false">AX107*$AX$5/12</f>
        <v>0</v>
      </c>
      <c r="AZ107" s="30" t="n">
        <f aca="false">MIN($AX$6,AX107+AY107)</f>
        <v>0</v>
      </c>
      <c r="BA107" s="30" t="n">
        <f aca="false">MAX(0,MIN(AR107,AX107+AY107-AZ107))</f>
        <v>0</v>
      </c>
      <c r="BB107" s="29" t="n">
        <f aca="false">AR107-BA107</f>
        <v>690</v>
      </c>
      <c r="BC107" s="30" t="n">
        <f aca="false">AX107+AY107-AZ107-BA107</f>
        <v>0</v>
      </c>
      <c r="BD107" s="30" t="n">
        <f aca="false">BG106</f>
        <v>0</v>
      </c>
      <c r="BE107" s="30" t="n">
        <f aca="false">BD107*$AX$5/12</f>
        <v>0</v>
      </c>
      <c r="BF107" s="30" t="n">
        <f aca="false">MIN($AX$6,BD107+BE107)</f>
        <v>0</v>
      </c>
      <c r="BG107" s="30" t="n">
        <f aca="false">BD107+BE107-BF107</f>
        <v>0</v>
      </c>
      <c r="BH107" s="30" t="n">
        <f aca="false">BM106</f>
        <v>0</v>
      </c>
      <c r="BI107" s="30" t="n">
        <f aca="false">BH107*$BH$5/12</f>
        <v>0</v>
      </c>
      <c r="BJ107" s="30" t="n">
        <f aca="false">MIN($BH$6,BH107+BI107)</f>
        <v>0</v>
      </c>
      <c r="BK107" s="30" t="n">
        <f aca="false">MAX(0,MIN(BB107,BH107+BI107-BJ107))</f>
        <v>0</v>
      </c>
      <c r="BL107" s="29" t="n">
        <f aca="false">BB107-BK107</f>
        <v>690</v>
      </c>
      <c r="BM107" s="30" t="n">
        <f aca="false">BH107+BI107-BJ107-BK107</f>
        <v>0</v>
      </c>
      <c r="BN107" s="30" t="n">
        <f aca="false">BQ106</f>
        <v>0</v>
      </c>
      <c r="BO107" s="30" t="n">
        <f aca="false">BN107*$BH$5/12</f>
        <v>0</v>
      </c>
      <c r="BP107" s="30" t="n">
        <f aca="false">MIN($BH$6,BN107+BO107)</f>
        <v>0</v>
      </c>
      <c r="BQ107" s="30" t="n">
        <f aca="false">BN107+BO107-BP107</f>
        <v>0</v>
      </c>
      <c r="BR107" s="30" t="n">
        <f aca="false">BW106</f>
        <v>0</v>
      </c>
      <c r="BS107" s="30" t="n">
        <f aca="false">BR107*$BR$5/12</f>
        <v>0</v>
      </c>
      <c r="BT107" s="30" t="n">
        <f aca="false">MIN($BR$6,BR107+BS107)</f>
        <v>0</v>
      </c>
      <c r="BU107" s="30" t="n">
        <f aca="false">MAX(0,MIN(BL107,BR107+BS107-BT107))</f>
        <v>0</v>
      </c>
      <c r="BV107" s="29" t="n">
        <f aca="false">BL107-BU107</f>
        <v>690</v>
      </c>
      <c r="BW107" s="30" t="n">
        <f aca="false">BR107+BS107-BT107-BU107</f>
        <v>0</v>
      </c>
      <c r="BX107" s="30" t="n">
        <f aca="false">CA106</f>
        <v>0</v>
      </c>
      <c r="BY107" s="30" t="n">
        <f aca="false">BX107*$BR$5/12</f>
        <v>0</v>
      </c>
      <c r="BZ107" s="30" t="n">
        <f aca="false">MIN($BR$6,BX107+BY107)</f>
        <v>0</v>
      </c>
      <c r="CA107" s="30" t="n">
        <f aca="false">BX107+BY107-BZ107</f>
        <v>0</v>
      </c>
      <c r="CB107" s="30" t="n">
        <f aca="false">CG106</f>
        <v>0</v>
      </c>
      <c r="CC107" s="30" t="n">
        <f aca="false">CB107*$CB$5/12</f>
        <v>0</v>
      </c>
      <c r="CD107" s="30" t="n">
        <f aca="false">MIN($CB$6,CB107+CC107)</f>
        <v>0</v>
      </c>
      <c r="CE107" s="30" t="n">
        <f aca="false">MAX(0,MIN(BV107,CB107+CC107-CD107))</f>
        <v>0</v>
      </c>
      <c r="CF107" s="29" t="n">
        <f aca="false">BV107-CE107</f>
        <v>690</v>
      </c>
      <c r="CG107" s="30" t="n">
        <f aca="false">CB107+CC107-CD107-CE107</f>
        <v>0</v>
      </c>
      <c r="CH107" s="30" t="n">
        <f aca="false">CK106</f>
        <v>0</v>
      </c>
      <c r="CI107" s="30" t="n">
        <f aca="false">CH107*$CB$5/12</f>
        <v>0</v>
      </c>
      <c r="CJ107" s="30" t="n">
        <f aca="false">MIN($CB$6,CH107+CI107)</f>
        <v>0</v>
      </c>
      <c r="CK107" s="30" t="n">
        <f aca="false">CH107+CI107-CJ107</f>
        <v>0</v>
      </c>
    </row>
    <row r="108" customFormat="false" ht="15" hidden="false" customHeight="false" outlineLevel="0" collapsed="false">
      <c r="A108" s="0" t="n">
        <v>100</v>
      </c>
      <c r="B108" s="29" t="n">
        <f aca="false">'1 Your debts'!$B$16-(L108+V108+AF108+AP108+AZ108+BJ108+BT108+CD108)</f>
        <v>690</v>
      </c>
      <c r="C108" s="34" t="n">
        <f aca="false">O108+Y108+AI108+AS108+BC108+BM108+BW108+CG108</f>
        <v>0</v>
      </c>
      <c r="D108" s="34" t="n">
        <f aca="false">K108+U108+AE108+AO108+AY108+BI108+BS108+CC108</f>
        <v>0</v>
      </c>
      <c r="F108" s="34" t="n">
        <f aca="false">S108+AC108+AM108+AW108+BG108+BQ108+CA108+CK108</f>
        <v>2512.67571711348</v>
      </c>
      <c r="G108" s="34" t="n">
        <f aca="false">Q108+AA108+AK108+AU108+BE108+BO108+BY108+CI108</f>
        <v>12.0570024422432</v>
      </c>
      <c r="J108" s="34" t="n">
        <f aca="false">O107</f>
        <v>0</v>
      </c>
      <c r="K108" s="34" t="n">
        <f aca="false">J108*$J$5/12</f>
        <v>0</v>
      </c>
      <c r="L108" s="29" t="n">
        <f aca="false">MIN($J$6,J108+K108)</f>
        <v>0</v>
      </c>
      <c r="M108" s="30" t="n">
        <f aca="false">MAX(0,MIN($B108,J108+K108-L108))</f>
        <v>0</v>
      </c>
      <c r="N108" s="29" t="n">
        <f aca="false">$B108-M108</f>
        <v>690</v>
      </c>
      <c r="O108" s="34" t="n">
        <f aca="false">J108+K108-L108-M108</f>
        <v>0</v>
      </c>
      <c r="P108" s="34" t="n">
        <f aca="false">S107</f>
        <v>0</v>
      </c>
      <c r="Q108" s="34" t="n">
        <f aca="false">P108*$J$5/12</f>
        <v>0</v>
      </c>
      <c r="R108" s="29" t="n">
        <f aca="false">MIN($J$6,P108+Q108)</f>
        <v>0</v>
      </c>
      <c r="S108" s="34" t="n">
        <f aca="false">P108+Q108-R108</f>
        <v>0</v>
      </c>
      <c r="T108" s="34" t="n">
        <f aca="false">Y107</f>
        <v>0</v>
      </c>
      <c r="U108" s="34" t="n">
        <f aca="false">T108*$T$5/12</f>
        <v>0</v>
      </c>
      <c r="V108" s="29" t="n">
        <f aca="false">MIN($T$6,T108+U108)</f>
        <v>0</v>
      </c>
      <c r="W108" s="30" t="n">
        <f aca="false">MAX(0,MIN(N108,T108+U108-V108))</f>
        <v>0</v>
      </c>
      <c r="X108" s="29" t="n">
        <f aca="false">N108-W108</f>
        <v>690</v>
      </c>
      <c r="Y108" s="34" t="n">
        <f aca="false">T108+U108-V108-W108</f>
        <v>0</v>
      </c>
      <c r="Z108" s="34" t="n">
        <f aca="false">AC107</f>
        <v>0</v>
      </c>
      <c r="AA108" s="34" t="n">
        <f aca="false">Z108*$T$5/12</f>
        <v>0</v>
      </c>
      <c r="AB108" s="29" t="n">
        <f aca="false">MIN($T$6,Z108+AA108)</f>
        <v>0</v>
      </c>
      <c r="AC108" s="34" t="n">
        <f aca="false">Z108+AA108-AB108</f>
        <v>0</v>
      </c>
      <c r="AD108" s="34" t="n">
        <f aca="false">AI107</f>
        <v>0</v>
      </c>
      <c r="AE108" s="34" t="n">
        <f aca="false">AD108*$AD$5/12</f>
        <v>0</v>
      </c>
      <c r="AF108" s="29" t="n">
        <f aca="false">MIN($AD$6,AD108+AE108)</f>
        <v>0</v>
      </c>
      <c r="AG108" s="30" t="n">
        <f aca="false">MAX(0,MIN(X108,AD108+AE108-AF108))</f>
        <v>0</v>
      </c>
      <c r="AH108" s="29" t="n">
        <f aca="false">X108-AG108</f>
        <v>690</v>
      </c>
      <c r="AI108" s="34" t="n">
        <f aca="false">AD108+AE108-AF108-AG108</f>
        <v>0</v>
      </c>
      <c r="AJ108" s="34" t="n">
        <f aca="false">AM107</f>
        <v>0</v>
      </c>
      <c r="AK108" s="34" t="n">
        <f aca="false">AJ108*$AD$5/12</f>
        <v>0</v>
      </c>
      <c r="AL108" s="29" t="n">
        <f aca="false">MIN($AD$6,AJ108+AK108)</f>
        <v>0</v>
      </c>
      <c r="AM108" s="34" t="n">
        <f aca="false">AJ108+AK108-AL108</f>
        <v>0</v>
      </c>
      <c r="AN108" s="34" t="n">
        <f aca="false">AS107</f>
        <v>0</v>
      </c>
      <c r="AO108" s="34" t="n">
        <f aca="false">AN108*$AN$5/12</f>
        <v>0</v>
      </c>
      <c r="AP108" s="29" t="n">
        <f aca="false">MIN($AN$6,AN108+AO108)</f>
        <v>0</v>
      </c>
      <c r="AQ108" s="30" t="n">
        <f aca="false">MAX(0,MIN(AH108,AN108+AO108-AP108))</f>
        <v>0</v>
      </c>
      <c r="AR108" s="29" t="n">
        <f aca="false">AH108-AQ108</f>
        <v>690</v>
      </c>
      <c r="AS108" s="34" t="n">
        <f aca="false">AN108+AO108-AP108-AQ108</f>
        <v>0</v>
      </c>
      <c r="AT108" s="34" t="n">
        <f aca="false">AW107</f>
        <v>2630.61871467124</v>
      </c>
      <c r="AU108" s="34" t="n">
        <f aca="false">AT108*$AN$5/12</f>
        <v>12.0570024422432</v>
      </c>
      <c r="AV108" s="29" t="n">
        <f aca="false">MIN($AN$6,AT108+AU108)</f>
        <v>130</v>
      </c>
      <c r="AW108" s="34" t="n">
        <f aca="false">AT108+AU108-AV108</f>
        <v>2512.67571711348</v>
      </c>
      <c r="AX108" s="30" t="n">
        <f aca="false">BC107</f>
        <v>0</v>
      </c>
      <c r="AY108" s="30" t="n">
        <f aca="false">AX108*$AX$5/12</f>
        <v>0</v>
      </c>
      <c r="AZ108" s="30" t="n">
        <f aca="false">MIN($AX$6,AX108+AY108)</f>
        <v>0</v>
      </c>
      <c r="BA108" s="30" t="n">
        <f aca="false">MAX(0,MIN(AR108,AX108+AY108-AZ108))</f>
        <v>0</v>
      </c>
      <c r="BB108" s="29" t="n">
        <f aca="false">AR108-BA108</f>
        <v>690</v>
      </c>
      <c r="BC108" s="30" t="n">
        <f aca="false">AX108+AY108-AZ108-BA108</f>
        <v>0</v>
      </c>
      <c r="BD108" s="30" t="n">
        <f aca="false">BG107</f>
        <v>0</v>
      </c>
      <c r="BE108" s="30" t="n">
        <f aca="false">BD108*$AX$5/12</f>
        <v>0</v>
      </c>
      <c r="BF108" s="30" t="n">
        <f aca="false">MIN($AX$6,BD108+BE108)</f>
        <v>0</v>
      </c>
      <c r="BG108" s="30" t="n">
        <f aca="false">BD108+BE108-BF108</f>
        <v>0</v>
      </c>
      <c r="BH108" s="30" t="n">
        <f aca="false">BM107</f>
        <v>0</v>
      </c>
      <c r="BI108" s="30" t="n">
        <f aca="false">BH108*$BH$5/12</f>
        <v>0</v>
      </c>
      <c r="BJ108" s="30" t="n">
        <f aca="false">MIN($BH$6,BH108+BI108)</f>
        <v>0</v>
      </c>
      <c r="BK108" s="30" t="n">
        <f aca="false">MAX(0,MIN(BB108,BH108+BI108-BJ108))</f>
        <v>0</v>
      </c>
      <c r="BL108" s="29" t="n">
        <f aca="false">BB108-BK108</f>
        <v>690</v>
      </c>
      <c r="BM108" s="30" t="n">
        <f aca="false">BH108+BI108-BJ108-BK108</f>
        <v>0</v>
      </c>
      <c r="BN108" s="30" t="n">
        <f aca="false">BQ107</f>
        <v>0</v>
      </c>
      <c r="BO108" s="30" t="n">
        <f aca="false">BN108*$BH$5/12</f>
        <v>0</v>
      </c>
      <c r="BP108" s="30" t="n">
        <f aca="false">MIN($BH$6,BN108+BO108)</f>
        <v>0</v>
      </c>
      <c r="BQ108" s="30" t="n">
        <f aca="false">BN108+BO108-BP108</f>
        <v>0</v>
      </c>
      <c r="BR108" s="30" t="n">
        <f aca="false">BW107</f>
        <v>0</v>
      </c>
      <c r="BS108" s="30" t="n">
        <f aca="false">BR108*$BR$5/12</f>
        <v>0</v>
      </c>
      <c r="BT108" s="30" t="n">
        <f aca="false">MIN($BR$6,BR108+BS108)</f>
        <v>0</v>
      </c>
      <c r="BU108" s="30" t="n">
        <f aca="false">MAX(0,MIN(BL108,BR108+BS108-BT108))</f>
        <v>0</v>
      </c>
      <c r="BV108" s="29" t="n">
        <f aca="false">BL108-BU108</f>
        <v>690</v>
      </c>
      <c r="BW108" s="30" t="n">
        <f aca="false">BR108+BS108-BT108-BU108</f>
        <v>0</v>
      </c>
      <c r="BX108" s="30" t="n">
        <f aca="false">CA107</f>
        <v>0</v>
      </c>
      <c r="BY108" s="30" t="n">
        <f aca="false">BX108*$BR$5/12</f>
        <v>0</v>
      </c>
      <c r="BZ108" s="30" t="n">
        <f aca="false">MIN($BR$6,BX108+BY108)</f>
        <v>0</v>
      </c>
      <c r="CA108" s="30" t="n">
        <f aca="false">BX108+BY108-BZ108</f>
        <v>0</v>
      </c>
      <c r="CB108" s="30" t="n">
        <f aca="false">CG107</f>
        <v>0</v>
      </c>
      <c r="CC108" s="30" t="n">
        <f aca="false">CB108*$CB$5/12</f>
        <v>0</v>
      </c>
      <c r="CD108" s="30" t="n">
        <f aca="false">MIN($CB$6,CB108+CC108)</f>
        <v>0</v>
      </c>
      <c r="CE108" s="30" t="n">
        <f aca="false">MAX(0,MIN(BV108,CB108+CC108-CD108))</f>
        <v>0</v>
      </c>
      <c r="CF108" s="29" t="n">
        <f aca="false">BV108-CE108</f>
        <v>690</v>
      </c>
      <c r="CG108" s="30" t="n">
        <f aca="false">CB108+CC108-CD108-CE108</f>
        <v>0</v>
      </c>
      <c r="CH108" s="30" t="n">
        <f aca="false">CK107</f>
        <v>0</v>
      </c>
      <c r="CI108" s="30" t="n">
        <f aca="false">CH108*$CB$5/12</f>
        <v>0</v>
      </c>
      <c r="CJ108" s="30" t="n">
        <f aca="false">MIN($CB$6,CH108+CI108)</f>
        <v>0</v>
      </c>
      <c r="CK108" s="30" t="n">
        <f aca="false">CH108+CI108-CJ108</f>
        <v>0</v>
      </c>
    </row>
    <row r="109" customFormat="false" ht="15" hidden="false" customHeight="false" outlineLevel="0" collapsed="false">
      <c r="A109" s="0" t="n">
        <v>101</v>
      </c>
      <c r="B109" s="29" t="n">
        <f aca="false">'1 Your debts'!$B$16-(L109+V109+AF109+AP109+AZ109+BJ109+BT109+CD109)</f>
        <v>690</v>
      </c>
      <c r="C109" s="34" t="n">
        <f aca="false">O109+Y109+AI109+AS109+BC109+BM109+BW109+CG109</f>
        <v>0</v>
      </c>
      <c r="D109" s="34" t="n">
        <f aca="false">K109+U109+AE109+AO109+AY109+BI109+BS109+CC109</f>
        <v>0</v>
      </c>
      <c r="F109" s="34" t="n">
        <f aca="false">S109+AC109+AM109+AW109+BG109+BQ109+CA109+CK109</f>
        <v>2394.19214748359</v>
      </c>
      <c r="G109" s="34" t="n">
        <f aca="false">Q109+AA109+AK109+AU109+BE109+BO109+BY109+CI109</f>
        <v>11.5164303701035</v>
      </c>
      <c r="J109" s="34" t="n">
        <f aca="false">O108</f>
        <v>0</v>
      </c>
      <c r="K109" s="34" t="n">
        <f aca="false">J109*$J$5/12</f>
        <v>0</v>
      </c>
      <c r="L109" s="29" t="n">
        <f aca="false">MIN($J$6,J109+K109)</f>
        <v>0</v>
      </c>
      <c r="M109" s="30" t="n">
        <f aca="false">MAX(0,MIN($B109,J109+K109-L109))</f>
        <v>0</v>
      </c>
      <c r="N109" s="29" t="n">
        <f aca="false">$B109-M109</f>
        <v>690</v>
      </c>
      <c r="O109" s="34" t="n">
        <f aca="false">J109+K109-L109-M109</f>
        <v>0</v>
      </c>
      <c r="P109" s="34" t="n">
        <f aca="false">S108</f>
        <v>0</v>
      </c>
      <c r="Q109" s="34" t="n">
        <f aca="false">P109*$J$5/12</f>
        <v>0</v>
      </c>
      <c r="R109" s="29" t="n">
        <f aca="false">MIN($J$6,P109+Q109)</f>
        <v>0</v>
      </c>
      <c r="S109" s="34" t="n">
        <f aca="false">P109+Q109-R109</f>
        <v>0</v>
      </c>
      <c r="T109" s="34" t="n">
        <f aca="false">Y108</f>
        <v>0</v>
      </c>
      <c r="U109" s="34" t="n">
        <f aca="false">T109*$T$5/12</f>
        <v>0</v>
      </c>
      <c r="V109" s="29" t="n">
        <f aca="false">MIN($T$6,T109+U109)</f>
        <v>0</v>
      </c>
      <c r="W109" s="30" t="n">
        <f aca="false">MAX(0,MIN(N109,T109+U109-V109))</f>
        <v>0</v>
      </c>
      <c r="X109" s="29" t="n">
        <f aca="false">N109-W109</f>
        <v>690</v>
      </c>
      <c r="Y109" s="34" t="n">
        <f aca="false">T109+U109-V109-W109</f>
        <v>0</v>
      </c>
      <c r="Z109" s="34" t="n">
        <f aca="false">AC108</f>
        <v>0</v>
      </c>
      <c r="AA109" s="34" t="n">
        <f aca="false">Z109*$T$5/12</f>
        <v>0</v>
      </c>
      <c r="AB109" s="29" t="n">
        <f aca="false">MIN($T$6,Z109+AA109)</f>
        <v>0</v>
      </c>
      <c r="AC109" s="34" t="n">
        <f aca="false">Z109+AA109-AB109</f>
        <v>0</v>
      </c>
      <c r="AD109" s="34" t="n">
        <f aca="false">AI108</f>
        <v>0</v>
      </c>
      <c r="AE109" s="34" t="n">
        <f aca="false">AD109*$AD$5/12</f>
        <v>0</v>
      </c>
      <c r="AF109" s="29" t="n">
        <f aca="false">MIN($AD$6,AD109+AE109)</f>
        <v>0</v>
      </c>
      <c r="AG109" s="30" t="n">
        <f aca="false">MAX(0,MIN(X109,AD109+AE109-AF109))</f>
        <v>0</v>
      </c>
      <c r="AH109" s="29" t="n">
        <f aca="false">X109-AG109</f>
        <v>690</v>
      </c>
      <c r="AI109" s="34" t="n">
        <f aca="false">AD109+AE109-AF109-AG109</f>
        <v>0</v>
      </c>
      <c r="AJ109" s="34" t="n">
        <f aca="false">AM108</f>
        <v>0</v>
      </c>
      <c r="AK109" s="34" t="n">
        <f aca="false">AJ109*$AD$5/12</f>
        <v>0</v>
      </c>
      <c r="AL109" s="29" t="n">
        <f aca="false">MIN($AD$6,AJ109+AK109)</f>
        <v>0</v>
      </c>
      <c r="AM109" s="34" t="n">
        <f aca="false">AJ109+AK109-AL109</f>
        <v>0</v>
      </c>
      <c r="AN109" s="34" t="n">
        <f aca="false">AS108</f>
        <v>0</v>
      </c>
      <c r="AO109" s="34" t="n">
        <f aca="false">AN109*$AN$5/12</f>
        <v>0</v>
      </c>
      <c r="AP109" s="29" t="n">
        <f aca="false">MIN($AN$6,AN109+AO109)</f>
        <v>0</v>
      </c>
      <c r="AQ109" s="30" t="n">
        <f aca="false">MAX(0,MIN(AH109,AN109+AO109-AP109))</f>
        <v>0</v>
      </c>
      <c r="AR109" s="29" t="n">
        <f aca="false">AH109-AQ109</f>
        <v>690</v>
      </c>
      <c r="AS109" s="34" t="n">
        <f aca="false">AN109+AO109-AP109-AQ109</f>
        <v>0</v>
      </c>
      <c r="AT109" s="34" t="n">
        <f aca="false">AW108</f>
        <v>2512.67571711348</v>
      </c>
      <c r="AU109" s="34" t="n">
        <f aca="false">AT109*$AN$5/12</f>
        <v>11.5164303701035</v>
      </c>
      <c r="AV109" s="29" t="n">
        <f aca="false">MIN($AN$6,AT109+AU109)</f>
        <v>130</v>
      </c>
      <c r="AW109" s="34" t="n">
        <f aca="false">AT109+AU109-AV109</f>
        <v>2394.19214748359</v>
      </c>
      <c r="AX109" s="30" t="n">
        <f aca="false">BC108</f>
        <v>0</v>
      </c>
      <c r="AY109" s="30" t="n">
        <f aca="false">AX109*$AX$5/12</f>
        <v>0</v>
      </c>
      <c r="AZ109" s="30" t="n">
        <f aca="false">MIN($AX$6,AX109+AY109)</f>
        <v>0</v>
      </c>
      <c r="BA109" s="30" t="n">
        <f aca="false">MAX(0,MIN(AR109,AX109+AY109-AZ109))</f>
        <v>0</v>
      </c>
      <c r="BB109" s="29" t="n">
        <f aca="false">AR109-BA109</f>
        <v>690</v>
      </c>
      <c r="BC109" s="30" t="n">
        <f aca="false">AX109+AY109-AZ109-BA109</f>
        <v>0</v>
      </c>
      <c r="BD109" s="30" t="n">
        <f aca="false">BG108</f>
        <v>0</v>
      </c>
      <c r="BE109" s="30" t="n">
        <f aca="false">BD109*$AX$5/12</f>
        <v>0</v>
      </c>
      <c r="BF109" s="30" t="n">
        <f aca="false">MIN($AX$6,BD109+BE109)</f>
        <v>0</v>
      </c>
      <c r="BG109" s="30" t="n">
        <f aca="false">BD109+BE109-BF109</f>
        <v>0</v>
      </c>
      <c r="BH109" s="30" t="n">
        <f aca="false">BM108</f>
        <v>0</v>
      </c>
      <c r="BI109" s="30" t="n">
        <f aca="false">BH109*$BH$5/12</f>
        <v>0</v>
      </c>
      <c r="BJ109" s="30" t="n">
        <f aca="false">MIN($BH$6,BH109+BI109)</f>
        <v>0</v>
      </c>
      <c r="BK109" s="30" t="n">
        <f aca="false">MAX(0,MIN(BB109,BH109+BI109-BJ109))</f>
        <v>0</v>
      </c>
      <c r="BL109" s="29" t="n">
        <f aca="false">BB109-BK109</f>
        <v>690</v>
      </c>
      <c r="BM109" s="30" t="n">
        <f aca="false">BH109+BI109-BJ109-BK109</f>
        <v>0</v>
      </c>
      <c r="BN109" s="30" t="n">
        <f aca="false">BQ108</f>
        <v>0</v>
      </c>
      <c r="BO109" s="30" t="n">
        <f aca="false">BN109*$BH$5/12</f>
        <v>0</v>
      </c>
      <c r="BP109" s="30" t="n">
        <f aca="false">MIN($BH$6,BN109+BO109)</f>
        <v>0</v>
      </c>
      <c r="BQ109" s="30" t="n">
        <f aca="false">BN109+BO109-BP109</f>
        <v>0</v>
      </c>
      <c r="BR109" s="30" t="n">
        <f aca="false">BW108</f>
        <v>0</v>
      </c>
      <c r="BS109" s="30" t="n">
        <f aca="false">BR109*$BR$5/12</f>
        <v>0</v>
      </c>
      <c r="BT109" s="30" t="n">
        <f aca="false">MIN($BR$6,BR109+BS109)</f>
        <v>0</v>
      </c>
      <c r="BU109" s="30" t="n">
        <f aca="false">MAX(0,MIN(BL109,BR109+BS109-BT109))</f>
        <v>0</v>
      </c>
      <c r="BV109" s="29" t="n">
        <f aca="false">BL109-BU109</f>
        <v>690</v>
      </c>
      <c r="BW109" s="30" t="n">
        <f aca="false">BR109+BS109-BT109-BU109</f>
        <v>0</v>
      </c>
      <c r="BX109" s="30" t="n">
        <f aca="false">CA108</f>
        <v>0</v>
      </c>
      <c r="BY109" s="30" t="n">
        <f aca="false">BX109*$BR$5/12</f>
        <v>0</v>
      </c>
      <c r="BZ109" s="30" t="n">
        <f aca="false">MIN($BR$6,BX109+BY109)</f>
        <v>0</v>
      </c>
      <c r="CA109" s="30" t="n">
        <f aca="false">BX109+BY109-BZ109</f>
        <v>0</v>
      </c>
      <c r="CB109" s="30" t="n">
        <f aca="false">CG108</f>
        <v>0</v>
      </c>
      <c r="CC109" s="30" t="n">
        <f aca="false">CB109*$CB$5/12</f>
        <v>0</v>
      </c>
      <c r="CD109" s="30" t="n">
        <f aca="false">MIN($CB$6,CB109+CC109)</f>
        <v>0</v>
      </c>
      <c r="CE109" s="30" t="n">
        <f aca="false">MAX(0,MIN(BV109,CB109+CC109-CD109))</f>
        <v>0</v>
      </c>
      <c r="CF109" s="29" t="n">
        <f aca="false">BV109-CE109</f>
        <v>690</v>
      </c>
      <c r="CG109" s="30" t="n">
        <f aca="false">CB109+CC109-CD109-CE109</f>
        <v>0</v>
      </c>
      <c r="CH109" s="30" t="n">
        <f aca="false">CK108</f>
        <v>0</v>
      </c>
      <c r="CI109" s="30" t="n">
        <f aca="false">CH109*$CB$5/12</f>
        <v>0</v>
      </c>
      <c r="CJ109" s="30" t="n">
        <f aca="false">MIN($CB$6,CH109+CI109)</f>
        <v>0</v>
      </c>
      <c r="CK109" s="30" t="n">
        <f aca="false">CH109+CI109-CJ109</f>
        <v>0</v>
      </c>
    </row>
    <row r="110" customFormat="false" ht="15" hidden="false" customHeight="false" outlineLevel="0" collapsed="false">
      <c r="A110" s="0" t="n">
        <v>102</v>
      </c>
      <c r="B110" s="29" t="n">
        <f aca="false">'1 Your debts'!$B$16-(L110+V110+AF110+AP110+AZ110+BJ110+BT110+CD110)</f>
        <v>690</v>
      </c>
      <c r="C110" s="34" t="n">
        <f aca="false">O110+Y110+AI110+AS110+BC110+BM110+BW110+CG110</f>
        <v>0</v>
      </c>
      <c r="D110" s="34" t="n">
        <f aca="false">K110+U110+AE110+AO110+AY110+BI110+BS110+CC110</f>
        <v>0</v>
      </c>
      <c r="F110" s="34" t="n">
        <f aca="false">S110+AC110+AM110+AW110+BG110+BQ110+CA110+CK110</f>
        <v>2275.16552815955</v>
      </c>
      <c r="G110" s="34" t="n">
        <f aca="false">Q110+AA110+AK110+AU110+BE110+BO110+BY110+CI110</f>
        <v>10.9733806759664</v>
      </c>
      <c r="J110" s="34" t="n">
        <f aca="false">O109</f>
        <v>0</v>
      </c>
      <c r="K110" s="34" t="n">
        <f aca="false">J110*$J$5/12</f>
        <v>0</v>
      </c>
      <c r="L110" s="29" t="n">
        <f aca="false">MIN($J$6,J110+K110)</f>
        <v>0</v>
      </c>
      <c r="M110" s="30" t="n">
        <f aca="false">MAX(0,MIN($B110,J110+K110-L110))</f>
        <v>0</v>
      </c>
      <c r="N110" s="29" t="n">
        <f aca="false">$B110-M110</f>
        <v>690</v>
      </c>
      <c r="O110" s="34" t="n">
        <f aca="false">J110+K110-L110-M110</f>
        <v>0</v>
      </c>
      <c r="P110" s="34" t="n">
        <f aca="false">S109</f>
        <v>0</v>
      </c>
      <c r="Q110" s="34" t="n">
        <f aca="false">P110*$J$5/12</f>
        <v>0</v>
      </c>
      <c r="R110" s="29" t="n">
        <f aca="false">MIN($J$6,P110+Q110)</f>
        <v>0</v>
      </c>
      <c r="S110" s="34" t="n">
        <f aca="false">P110+Q110-R110</f>
        <v>0</v>
      </c>
      <c r="T110" s="34" t="n">
        <f aca="false">Y109</f>
        <v>0</v>
      </c>
      <c r="U110" s="34" t="n">
        <f aca="false">T110*$T$5/12</f>
        <v>0</v>
      </c>
      <c r="V110" s="29" t="n">
        <f aca="false">MIN($T$6,T110+U110)</f>
        <v>0</v>
      </c>
      <c r="W110" s="30" t="n">
        <f aca="false">MAX(0,MIN(N110,T110+U110-V110))</f>
        <v>0</v>
      </c>
      <c r="X110" s="29" t="n">
        <f aca="false">N110-W110</f>
        <v>690</v>
      </c>
      <c r="Y110" s="34" t="n">
        <f aca="false">T110+U110-V110-W110</f>
        <v>0</v>
      </c>
      <c r="Z110" s="34" t="n">
        <f aca="false">AC109</f>
        <v>0</v>
      </c>
      <c r="AA110" s="34" t="n">
        <f aca="false">Z110*$T$5/12</f>
        <v>0</v>
      </c>
      <c r="AB110" s="29" t="n">
        <f aca="false">MIN($T$6,Z110+AA110)</f>
        <v>0</v>
      </c>
      <c r="AC110" s="34" t="n">
        <f aca="false">Z110+AA110-AB110</f>
        <v>0</v>
      </c>
      <c r="AD110" s="34" t="n">
        <f aca="false">AI109</f>
        <v>0</v>
      </c>
      <c r="AE110" s="34" t="n">
        <f aca="false">AD110*$AD$5/12</f>
        <v>0</v>
      </c>
      <c r="AF110" s="29" t="n">
        <f aca="false">MIN($AD$6,AD110+AE110)</f>
        <v>0</v>
      </c>
      <c r="AG110" s="30" t="n">
        <f aca="false">MAX(0,MIN(X110,AD110+AE110-AF110))</f>
        <v>0</v>
      </c>
      <c r="AH110" s="29" t="n">
        <f aca="false">X110-AG110</f>
        <v>690</v>
      </c>
      <c r="AI110" s="34" t="n">
        <f aca="false">AD110+AE110-AF110-AG110</f>
        <v>0</v>
      </c>
      <c r="AJ110" s="34" t="n">
        <f aca="false">AM109</f>
        <v>0</v>
      </c>
      <c r="AK110" s="34" t="n">
        <f aca="false">AJ110*$AD$5/12</f>
        <v>0</v>
      </c>
      <c r="AL110" s="29" t="n">
        <f aca="false">MIN($AD$6,AJ110+AK110)</f>
        <v>0</v>
      </c>
      <c r="AM110" s="34" t="n">
        <f aca="false">AJ110+AK110-AL110</f>
        <v>0</v>
      </c>
      <c r="AN110" s="34" t="n">
        <f aca="false">AS109</f>
        <v>0</v>
      </c>
      <c r="AO110" s="34" t="n">
        <f aca="false">AN110*$AN$5/12</f>
        <v>0</v>
      </c>
      <c r="AP110" s="29" t="n">
        <f aca="false">MIN($AN$6,AN110+AO110)</f>
        <v>0</v>
      </c>
      <c r="AQ110" s="30" t="n">
        <f aca="false">MAX(0,MIN(AH110,AN110+AO110-AP110))</f>
        <v>0</v>
      </c>
      <c r="AR110" s="29" t="n">
        <f aca="false">AH110-AQ110</f>
        <v>690</v>
      </c>
      <c r="AS110" s="34" t="n">
        <f aca="false">AN110+AO110-AP110-AQ110</f>
        <v>0</v>
      </c>
      <c r="AT110" s="34" t="n">
        <f aca="false">AW109</f>
        <v>2394.19214748359</v>
      </c>
      <c r="AU110" s="34" t="n">
        <f aca="false">AT110*$AN$5/12</f>
        <v>10.9733806759664</v>
      </c>
      <c r="AV110" s="29" t="n">
        <f aca="false">MIN($AN$6,AT110+AU110)</f>
        <v>130</v>
      </c>
      <c r="AW110" s="34" t="n">
        <f aca="false">AT110+AU110-AV110</f>
        <v>2275.16552815955</v>
      </c>
      <c r="AX110" s="30" t="n">
        <f aca="false">BC109</f>
        <v>0</v>
      </c>
      <c r="AY110" s="30" t="n">
        <f aca="false">AX110*$AX$5/12</f>
        <v>0</v>
      </c>
      <c r="AZ110" s="30" t="n">
        <f aca="false">MIN($AX$6,AX110+AY110)</f>
        <v>0</v>
      </c>
      <c r="BA110" s="30" t="n">
        <f aca="false">MAX(0,MIN(AR110,AX110+AY110-AZ110))</f>
        <v>0</v>
      </c>
      <c r="BB110" s="29" t="n">
        <f aca="false">AR110-BA110</f>
        <v>690</v>
      </c>
      <c r="BC110" s="30" t="n">
        <f aca="false">AX110+AY110-AZ110-BA110</f>
        <v>0</v>
      </c>
      <c r="BD110" s="30" t="n">
        <f aca="false">BG109</f>
        <v>0</v>
      </c>
      <c r="BE110" s="30" t="n">
        <f aca="false">BD110*$AX$5/12</f>
        <v>0</v>
      </c>
      <c r="BF110" s="30" t="n">
        <f aca="false">MIN($AX$6,BD110+BE110)</f>
        <v>0</v>
      </c>
      <c r="BG110" s="30" t="n">
        <f aca="false">BD110+BE110-BF110</f>
        <v>0</v>
      </c>
      <c r="BH110" s="30" t="n">
        <f aca="false">BM109</f>
        <v>0</v>
      </c>
      <c r="BI110" s="30" t="n">
        <f aca="false">BH110*$BH$5/12</f>
        <v>0</v>
      </c>
      <c r="BJ110" s="30" t="n">
        <f aca="false">MIN($BH$6,BH110+BI110)</f>
        <v>0</v>
      </c>
      <c r="BK110" s="30" t="n">
        <f aca="false">MAX(0,MIN(BB110,BH110+BI110-BJ110))</f>
        <v>0</v>
      </c>
      <c r="BL110" s="29" t="n">
        <f aca="false">BB110-BK110</f>
        <v>690</v>
      </c>
      <c r="BM110" s="30" t="n">
        <f aca="false">BH110+BI110-BJ110-BK110</f>
        <v>0</v>
      </c>
      <c r="BN110" s="30" t="n">
        <f aca="false">BQ109</f>
        <v>0</v>
      </c>
      <c r="BO110" s="30" t="n">
        <f aca="false">BN110*$BH$5/12</f>
        <v>0</v>
      </c>
      <c r="BP110" s="30" t="n">
        <f aca="false">MIN($BH$6,BN110+BO110)</f>
        <v>0</v>
      </c>
      <c r="BQ110" s="30" t="n">
        <f aca="false">BN110+BO110-BP110</f>
        <v>0</v>
      </c>
      <c r="BR110" s="30" t="n">
        <f aca="false">BW109</f>
        <v>0</v>
      </c>
      <c r="BS110" s="30" t="n">
        <f aca="false">BR110*$BR$5/12</f>
        <v>0</v>
      </c>
      <c r="BT110" s="30" t="n">
        <f aca="false">MIN($BR$6,BR110+BS110)</f>
        <v>0</v>
      </c>
      <c r="BU110" s="30" t="n">
        <f aca="false">MAX(0,MIN(BL110,BR110+BS110-BT110))</f>
        <v>0</v>
      </c>
      <c r="BV110" s="29" t="n">
        <f aca="false">BL110-BU110</f>
        <v>690</v>
      </c>
      <c r="BW110" s="30" t="n">
        <f aca="false">BR110+BS110-BT110-BU110</f>
        <v>0</v>
      </c>
      <c r="BX110" s="30" t="n">
        <f aca="false">CA109</f>
        <v>0</v>
      </c>
      <c r="BY110" s="30" t="n">
        <f aca="false">BX110*$BR$5/12</f>
        <v>0</v>
      </c>
      <c r="BZ110" s="30" t="n">
        <f aca="false">MIN($BR$6,BX110+BY110)</f>
        <v>0</v>
      </c>
      <c r="CA110" s="30" t="n">
        <f aca="false">BX110+BY110-BZ110</f>
        <v>0</v>
      </c>
      <c r="CB110" s="30" t="n">
        <f aca="false">CG109</f>
        <v>0</v>
      </c>
      <c r="CC110" s="30" t="n">
        <f aca="false">CB110*$CB$5/12</f>
        <v>0</v>
      </c>
      <c r="CD110" s="30" t="n">
        <f aca="false">MIN($CB$6,CB110+CC110)</f>
        <v>0</v>
      </c>
      <c r="CE110" s="30" t="n">
        <f aca="false">MAX(0,MIN(BV110,CB110+CC110-CD110))</f>
        <v>0</v>
      </c>
      <c r="CF110" s="29" t="n">
        <f aca="false">BV110-CE110</f>
        <v>690</v>
      </c>
      <c r="CG110" s="30" t="n">
        <f aca="false">CB110+CC110-CD110-CE110</f>
        <v>0</v>
      </c>
      <c r="CH110" s="30" t="n">
        <f aca="false">CK109</f>
        <v>0</v>
      </c>
      <c r="CI110" s="30" t="n">
        <f aca="false">CH110*$CB$5/12</f>
        <v>0</v>
      </c>
      <c r="CJ110" s="30" t="n">
        <f aca="false">MIN($CB$6,CH110+CI110)</f>
        <v>0</v>
      </c>
      <c r="CK110" s="30" t="n">
        <f aca="false">CH110+CI110-CJ110</f>
        <v>0</v>
      </c>
    </row>
    <row r="111" customFormat="false" ht="15" hidden="false" customHeight="false" outlineLevel="0" collapsed="false">
      <c r="A111" s="0" t="n">
        <v>103</v>
      </c>
      <c r="B111" s="29" t="n">
        <f aca="false">'1 Your debts'!$B$16-(L111+V111+AF111+AP111+AZ111+BJ111+BT111+CD111)</f>
        <v>690</v>
      </c>
      <c r="C111" s="34" t="n">
        <f aca="false">O111+Y111+AI111+AS111+BC111+BM111+BW111+CG111</f>
        <v>0</v>
      </c>
      <c r="D111" s="34" t="n">
        <f aca="false">K111+U111+AE111+AO111+AY111+BI111+BS111+CC111</f>
        <v>0</v>
      </c>
      <c r="F111" s="34" t="n">
        <f aca="false">S111+AC111+AM111+AW111+BG111+BQ111+CA111+CK111</f>
        <v>2155.59337016362</v>
      </c>
      <c r="G111" s="34" t="n">
        <f aca="false">Q111+AA111+AK111+AU111+BE111+BO111+BY111+CI111</f>
        <v>10.4278420040646</v>
      </c>
      <c r="J111" s="34" t="n">
        <f aca="false">O110</f>
        <v>0</v>
      </c>
      <c r="K111" s="34" t="n">
        <f aca="false">J111*$J$5/12</f>
        <v>0</v>
      </c>
      <c r="L111" s="29" t="n">
        <f aca="false">MIN($J$6,J111+K111)</f>
        <v>0</v>
      </c>
      <c r="M111" s="30" t="n">
        <f aca="false">MAX(0,MIN($B111,J111+K111-L111))</f>
        <v>0</v>
      </c>
      <c r="N111" s="29" t="n">
        <f aca="false">$B111-M111</f>
        <v>690</v>
      </c>
      <c r="O111" s="34" t="n">
        <f aca="false">J111+K111-L111-M111</f>
        <v>0</v>
      </c>
      <c r="P111" s="34" t="n">
        <f aca="false">S110</f>
        <v>0</v>
      </c>
      <c r="Q111" s="34" t="n">
        <f aca="false">P111*$J$5/12</f>
        <v>0</v>
      </c>
      <c r="R111" s="29" t="n">
        <f aca="false">MIN($J$6,P111+Q111)</f>
        <v>0</v>
      </c>
      <c r="S111" s="34" t="n">
        <f aca="false">P111+Q111-R111</f>
        <v>0</v>
      </c>
      <c r="T111" s="34" t="n">
        <f aca="false">Y110</f>
        <v>0</v>
      </c>
      <c r="U111" s="34" t="n">
        <f aca="false">T111*$T$5/12</f>
        <v>0</v>
      </c>
      <c r="V111" s="29" t="n">
        <f aca="false">MIN($T$6,T111+U111)</f>
        <v>0</v>
      </c>
      <c r="W111" s="30" t="n">
        <f aca="false">MAX(0,MIN(N111,T111+U111-V111))</f>
        <v>0</v>
      </c>
      <c r="X111" s="29" t="n">
        <f aca="false">N111-W111</f>
        <v>690</v>
      </c>
      <c r="Y111" s="34" t="n">
        <f aca="false">T111+U111-V111-W111</f>
        <v>0</v>
      </c>
      <c r="Z111" s="34" t="n">
        <f aca="false">AC110</f>
        <v>0</v>
      </c>
      <c r="AA111" s="34" t="n">
        <f aca="false">Z111*$T$5/12</f>
        <v>0</v>
      </c>
      <c r="AB111" s="29" t="n">
        <f aca="false">MIN($T$6,Z111+AA111)</f>
        <v>0</v>
      </c>
      <c r="AC111" s="34" t="n">
        <f aca="false">Z111+AA111-AB111</f>
        <v>0</v>
      </c>
      <c r="AD111" s="34" t="n">
        <f aca="false">AI110</f>
        <v>0</v>
      </c>
      <c r="AE111" s="34" t="n">
        <f aca="false">AD111*$AD$5/12</f>
        <v>0</v>
      </c>
      <c r="AF111" s="29" t="n">
        <f aca="false">MIN($AD$6,AD111+AE111)</f>
        <v>0</v>
      </c>
      <c r="AG111" s="30" t="n">
        <f aca="false">MAX(0,MIN(X111,AD111+AE111-AF111))</f>
        <v>0</v>
      </c>
      <c r="AH111" s="29" t="n">
        <f aca="false">X111-AG111</f>
        <v>690</v>
      </c>
      <c r="AI111" s="34" t="n">
        <f aca="false">AD111+AE111-AF111-AG111</f>
        <v>0</v>
      </c>
      <c r="AJ111" s="34" t="n">
        <f aca="false">AM110</f>
        <v>0</v>
      </c>
      <c r="AK111" s="34" t="n">
        <f aca="false">AJ111*$AD$5/12</f>
        <v>0</v>
      </c>
      <c r="AL111" s="29" t="n">
        <f aca="false">MIN($AD$6,AJ111+AK111)</f>
        <v>0</v>
      </c>
      <c r="AM111" s="34" t="n">
        <f aca="false">AJ111+AK111-AL111</f>
        <v>0</v>
      </c>
      <c r="AN111" s="34" t="n">
        <f aca="false">AS110</f>
        <v>0</v>
      </c>
      <c r="AO111" s="34" t="n">
        <f aca="false">AN111*$AN$5/12</f>
        <v>0</v>
      </c>
      <c r="AP111" s="29" t="n">
        <f aca="false">MIN($AN$6,AN111+AO111)</f>
        <v>0</v>
      </c>
      <c r="AQ111" s="30" t="n">
        <f aca="false">MAX(0,MIN(AH111,AN111+AO111-AP111))</f>
        <v>0</v>
      </c>
      <c r="AR111" s="29" t="n">
        <f aca="false">AH111-AQ111</f>
        <v>690</v>
      </c>
      <c r="AS111" s="34" t="n">
        <f aca="false">AN111+AO111-AP111-AQ111</f>
        <v>0</v>
      </c>
      <c r="AT111" s="34" t="n">
        <f aca="false">AW110</f>
        <v>2275.16552815955</v>
      </c>
      <c r="AU111" s="34" t="n">
        <f aca="false">AT111*$AN$5/12</f>
        <v>10.4278420040646</v>
      </c>
      <c r="AV111" s="29" t="n">
        <f aca="false">MIN($AN$6,AT111+AU111)</f>
        <v>130</v>
      </c>
      <c r="AW111" s="34" t="n">
        <f aca="false">AT111+AU111-AV111</f>
        <v>2155.59337016362</v>
      </c>
      <c r="AX111" s="30" t="n">
        <f aca="false">BC110</f>
        <v>0</v>
      </c>
      <c r="AY111" s="30" t="n">
        <f aca="false">AX111*$AX$5/12</f>
        <v>0</v>
      </c>
      <c r="AZ111" s="30" t="n">
        <f aca="false">MIN($AX$6,AX111+AY111)</f>
        <v>0</v>
      </c>
      <c r="BA111" s="30" t="n">
        <f aca="false">MAX(0,MIN(AR111,AX111+AY111-AZ111))</f>
        <v>0</v>
      </c>
      <c r="BB111" s="29" t="n">
        <f aca="false">AR111-BA111</f>
        <v>690</v>
      </c>
      <c r="BC111" s="30" t="n">
        <f aca="false">AX111+AY111-AZ111-BA111</f>
        <v>0</v>
      </c>
      <c r="BD111" s="30" t="n">
        <f aca="false">BG110</f>
        <v>0</v>
      </c>
      <c r="BE111" s="30" t="n">
        <f aca="false">BD111*$AX$5/12</f>
        <v>0</v>
      </c>
      <c r="BF111" s="30" t="n">
        <f aca="false">MIN($AX$6,BD111+BE111)</f>
        <v>0</v>
      </c>
      <c r="BG111" s="30" t="n">
        <f aca="false">BD111+BE111-BF111</f>
        <v>0</v>
      </c>
      <c r="BH111" s="30" t="n">
        <f aca="false">BM110</f>
        <v>0</v>
      </c>
      <c r="BI111" s="30" t="n">
        <f aca="false">BH111*$BH$5/12</f>
        <v>0</v>
      </c>
      <c r="BJ111" s="30" t="n">
        <f aca="false">MIN($BH$6,BH111+BI111)</f>
        <v>0</v>
      </c>
      <c r="BK111" s="30" t="n">
        <f aca="false">MAX(0,MIN(BB111,BH111+BI111-BJ111))</f>
        <v>0</v>
      </c>
      <c r="BL111" s="29" t="n">
        <f aca="false">BB111-BK111</f>
        <v>690</v>
      </c>
      <c r="BM111" s="30" t="n">
        <f aca="false">BH111+BI111-BJ111-BK111</f>
        <v>0</v>
      </c>
      <c r="BN111" s="30" t="n">
        <f aca="false">BQ110</f>
        <v>0</v>
      </c>
      <c r="BO111" s="30" t="n">
        <f aca="false">BN111*$BH$5/12</f>
        <v>0</v>
      </c>
      <c r="BP111" s="30" t="n">
        <f aca="false">MIN($BH$6,BN111+BO111)</f>
        <v>0</v>
      </c>
      <c r="BQ111" s="30" t="n">
        <f aca="false">BN111+BO111-BP111</f>
        <v>0</v>
      </c>
      <c r="BR111" s="30" t="n">
        <f aca="false">BW110</f>
        <v>0</v>
      </c>
      <c r="BS111" s="30" t="n">
        <f aca="false">BR111*$BR$5/12</f>
        <v>0</v>
      </c>
      <c r="BT111" s="30" t="n">
        <f aca="false">MIN($BR$6,BR111+BS111)</f>
        <v>0</v>
      </c>
      <c r="BU111" s="30" t="n">
        <f aca="false">MAX(0,MIN(BL111,BR111+BS111-BT111))</f>
        <v>0</v>
      </c>
      <c r="BV111" s="29" t="n">
        <f aca="false">BL111-BU111</f>
        <v>690</v>
      </c>
      <c r="BW111" s="30" t="n">
        <f aca="false">BR111+BS111-BT111-BU111</f>
        <v>0</v>
      </c>
      <c r="BX111" s="30" t="n">
        <f aca="false">CA110</f>
        <v>0</v>
      </c>
      <c r="BY111" s="30" t="n">
        <f aca="false">BX111*$BR$5/12</f>
        <v>0</v>
      </c>
      <c r="BZ111" s="30" t="n">
        <f aca="false">MIN($BR$6,BX111+BY111)</f>
        <v>0</v>
      </c>
      <c r="CA111" s="30" t="n">
        <f aca="false">BX111+BY111-BZ111</f>
        <v>0</v>
      </c>
      <c r="CB111" s="30" t="n">
        <f aca="false">CG110</f>
        <v>0</v>
      </c>
      <c r="CC111" s="30" t="n">
        <f aca="false">CB111*$CB$5/12</f>
        <v>0</v>
      </c>
      <c r="CD111" s="30" t="n">
        <f aca="false">MIN($CB$6,CB111+CC111)</f>
        <v>0</v>
      </c>
      <c r="CE111" s="30" t="n">
        <f aca="false">MAX(0,MIN(BV111,CB111+CC111-CD111))</f>
        <v>0</v>
      </c>
      <c r="CF111" s="29" t="n">
        <f aca="false">BV111-CE111</f>
        <v>690</v>
      </c>
      <c r="CG111" s="30" t="n">
        <f aca="false">CB111+CC111-CD111-CE111</f>
        <v>0</v>
      </c>
      <c r="CH111" s="30" t="n">
        <f aca="false">CK110</f>
        <v>0</v>
      </c>
      <c r="CI111" s="30" t="n">
        <f aca="false">CH111*$CB$5/12</f>
        <v>0</v>
      </c>
      <c r="CJ111" s="30" t="n">
        <f aca="false">MIN($CB$6,CH111+CI111)</f>
        <v>0</v>
      </c>
      <c r="CK111" s="30" t="n">
        <f aca="false">CH111+CI111-CJ111</f>
        <v>0</v>
      </c>
    </row>
    <row r="112" customFormat="false" ht="15" hidden="false" customHeight="false" outlineLevel="0" collapsed="false">
      <c r="A112" s="0" t="n">
        <v>104</v>
      </c>
      <c r="B112" s="29" t="n">
        <f aca="false">'1 Your debts'!$B$16-(L112+V112+AF112+AP112+AZ112+BJ112+BT112+CD112)</f>
        <v>690</v>
      </c>
      <c r="C112" s="34" t="n">
        <f aca="false">O112+Y112+AI112+AS112+BC112+BM112+BW112+CG112</f>
        <v>0</v>
      </c>
      <c r="D112" s="34" t="n">
        <f aca="false">K112+U112+AE112+AO112+AY112+BI112+BS112+CC112</f>
        <v>0</v>
      </c>
      <c r="F112" s="34" t="n">
        <f aca="false">S112+AC112+AM112+AW112+BG112+BQ112+CA112+CK112</f>
        <v>2035.4731731102</v>
      </c>
      <c r="G112" s="34" t="n">
        <f aca="false">Q112+AA112+AK112+AU112+BE112+BO112+BY112+CI112</f>
        <v>9.87980294658325</v>
      </c>
      <c r="J112" s="34" t="n">
        <f aca="false">O111</f>
        <v>0</v>
      </c>
      <c r="K112" s="34" t="n">
        <f aca="false">J112*$J$5/12</f>
        <v>0</v>
      </c>
      <c r="L112" s="29" t="n">
        <f aca="false">MIN($J$6,J112+K112)</f>
        <v>0</v>
      </c>
      <c r="M112" s="30" t="n">
        <f aca="false">MAX(0,MIN($B112,J112+K112-L112))</f>
        <v>0</v>
      </c>
      <c r="N112" s="29" t="n">
        <f aca="false">$B112-M112</f>
        <v>690</v>
      </c>
      <c r="O112" s="34" t="n">
        <f aca="false">J112+K112-L112-M112</f>
        <v>0</v>
      </c>
      <c r="P112" s="34" t="n">
        <f aca="false">S111</f>
        <v>0</v>
      </c>
      <c r="Q112" s="34" t="n">
        <f aca="false">P112*$J$5/12</f>
        <v>0</v>
      </c>
      <c r="R112" s="29" t="n">
        <f aca="false">MIN($J$6,P112+Q112)</f>
        <v>0</v>
      </c>
      <c r="S112" s="34" t="n">
        <f aca="false">P112+Q112-R112</f>
        <v>0</v>
      </c>
      <c r="T112" s="34" t="n">
        <f aca="false">Y111</f>
        <v>0</v>
      </c>
      <c r="U112" s="34" t="n">
        <f aca="false">T112*$T$5/12</f>
        <v>0</v>
      </c>
      <c r="V112" s="29" t="n">
        <f aca="false">MIN($T$6,T112+U112)</f>
        <v>0</v>
      </c>
      <c r="W112" s="30" t="n">
        <f aca="false">MAX(0,MIN(N112,T112+U112-V112))</f>
        <v>0</v>
      </c>
      <c r="X112" s="29" t="n">
        <f aca="false">N112-W112</f>
        <v>690</v>
      </c>
      <c r="Y112" s="34" t="n">
        <f aca="false">T112+U112-V112-W112</f>
        <v>0</v>
      </c>
      <c r="Z112" s="34" t="n">
        <f aca="false">AC111</f>
        <v>0</v>
      </c>
      <c r="AA112" s="34" t="n">
        <f aca="false">Z112*$T$5/12</f>
        <v>0</v>
      </c>
      <c r="AB112" s="29" t="n">
        <f aca="false">MIN($T$6,Z112+AA112)</f>
        <v>0</v>
      </c>
      <c r="AC112" s="34" t="n">
        <f aca="false">Z112+AA112-AB112</f>
        <v>0</v>
      </c>
      <c r="AD112" s="34" t="n">
        <f aca="false">AI111</f>
        <v>0</v>
      </c>
      <c r="AE112" s="34" t="n">
        <f aca="false">AD112*$AD$5/12</f>
        <v>0</v>
      </c>
      <c r="AF112" s="29" t="n">
        <f aca="false">MIN($AD$6,AD112+AE112)</f>
        <v>0</v>
      </c>
      <c r="AG112" s="30" t="n">
        <f aca="false">MAX(0,MIN(X112,AD112+AE112-AF112))</f>
        <v>0</v>
      </c>
      <c r="AH112" s="29" t="n">
        <f aca="false">X112-AG112</f>
        <v>690</v>
      </c>
      <c r="AI112" s="34" t="n">
        <f aca="false">AD112+AE112-AF112-AG112</f>
        <v>0</v>
      </c>
      <c r="AJ112" s="34" t="n">
        <f aca="false">AM111</f>
        <v>0</v>
      </c>
      <c r="AK112" s="34" t="n">
        <f aca="false">AJ112*$AD$5/12</f>
        <v>0</v>
      </c>
      <c r="AL112" s="29" t="n">
        <f aca="false">MIN($AD$6,AJ112+AK112)</f>
        <v>0</v>
      </c>
      <c r="AM112" s="34" t="n">
        <f aca="false">AJ112+AK112-AL112</f>
        <v>0</v>
      </c>
      <c r="AN112" s="34" t="n">
        <f aca="false">AS111</f>
        <v>0</v>
      </c>
      <c r="AO112" s="34" t="n">
        <f aca="false">AN112*$AN$5/12</f>
        <v>0</v>
      </c>
      <c r="AP112" s="29" t="n">
        <f aca="false">MIN($AN$6,AN112+AO112)</f>
        <v>0</v>
      </c>
      <c r="AQ112" s="30" t="n">
        <f aca="false">MAX(0,MIN(AH112,AN112+AO112-AP112))</f>
        <v>0</v>
      </c>
      <c r="AR112" s="29" t="n">
        <f aca="false">AH112-AQ112</f>
        <v>690</v>
      </c>
      <c r="AS112" s="34" t="n">
        <f aca="false">AN112+AO112-AP112-AQ112</f>
        <v>0</v>
      </c>
      <c r="AT112" s="34" t="n">
        <f aca="false">AW111</f>
        <v>2155.59337016362</v>
      </c>
      <c r="AU112" s="34" t="n">
        <f aca="false">AT112*$AN$5/12</f>
        <v>9.87980294658325</v>
      </c>
      <c r="AV112" s="29" t="n">
        <f aca="false">MIN($AN$6,AT112+AU112)</f>
        <v>130</v>
      </c>
      <c r="AW112" s="34" t="n">
        <f aca="false">AT112+AU112-AV112</f>
        <v>2035.4731731102</v>
      </c>
      <c r="AX112" s="30" t="n">
        <f aca="false">BC111</f>
        <v>0</v>
      </c>
      <c r="AY112" s="30" t="n">
        <f aca="false">AX112*$AX$5/12</f>
        <v>0</v>
      </c>
      <c r="AZ112" s="30" t="n">
        <f aca="false">MIN($AX$6,AX112+AY112)</f>
        <v>0</v>
      </c>
      <c r="BA112" s="30" t="n">
        <f aca="false">MAX(0,MIN(AR112,AX112+AY112-AZ112))</f>
        <v>0</v>
      </c>
      <c r="BB112" s="29" t="n">
        <f aca="false">AR112-BA112</f>
        <v>690</v>
      </c>
      <c r="BC112" s="30" t="n">
        <f aca="false">AX112+AY112-AZ112-BA112</f>
        <v>0</v>
      </c>
      <c r="BD112" s="30" t="n">
        <f aca="false">BG111</f>
        <v>0</v>
      </c>
      <c r="BE112" s="30" t="n">
        <f aca="false">BD112*$AX$5/12</f>
        <v>0</v>
      </c>
      <c r="BF112" s="30" t="n">
        <f aca="false">MIN($AX$6,BD112+BE112)</f>
        <v>0</v>
      </c>
      <c r="BG112" s="30" t="n">
        <f aca="false">BD112+BE112-BF112</f>
        <v>0</v>
      </c>
      <c r="BH112" s="30" t="n">
        <f aca="false">BM111</f>
        <v>0</v>
      </c>
      <c r="BI112" s="30" t="n">
        <f aca="false">BH112*$BH$5/12</f>
        <v>0</v>
      </c>
      <c r="BJ112" s="30" t="n">
        <f aca="false">MIN($BH$6,BH112+BI112)</f>
        <v>0</v>
      </c>
      <c r="BK112" s="30" t="n">
        <f aca="false">MAX(0,MIN(BB112,BH112+BI112-BJ112))</f>
        <v>0</v>
      </c>
      <c r="BL112" s="29" t="n">
        <f aca="false">BB112-BK112</f>
        <v>690</v>
      </c>
      <c r="BM112" s="30" t="n">
        <f aca="false">BH112+BI112-BJ112-BK112</f>
        <v>0</v>
      </c>
      <c r="BN112" s="30" t="n">
        <f aca="false">BQ111</f>
        <v>0</v>
      </c>
      <c r="BO112" s="30" t="n">
        <f aca="false">BN112*$BH$5/12</f>
        <v>0</v>
      </c>
      <c r="BP112" s="30" t="n">
        <f aca="false">MIN($BH$6,BN112+BO112)</f>
        <v>0</v>
      </c>
      <c r="BQ112" s="30" t="n">
        <f aca="false">BN112+BO112-BP112</f>
        <v>0</v>
      </c>
      <c r="BR112" s="30" t="n">
        <f aca="false">BW111</f>
        <v>0</v>
      </c>
      <c r="BS112" s="30" t="n">
        <f aca="false">BR112*$BR$5/12</f>
        <v>0</v>
      </c>
      <c r="BT112" s="30" t="n">
        <f aca="false">MIN($BR$6,BR112+BS112)</f>
        <v>0</v>
      </c>
      <c r="BU112" s="30" t="n">
        <f aca="false">MAX(0,MIN(BL112,BR112+BS112-BT112))</f>
        <v>0</v>
      </c>
      <c r="BV112" s="29" t="n">
        <f aca="false">BL112-BU112</f>
        <v>690</v>
      </c>
      <c r="BW112" s="30" t="n">
        <f aca="false">BR112+BS112-BT112-BU112</f>
        <v>0</v>
      </c>
      <c r="BX112" s="30" t="n">
        <f aca="false">CA111</f>
        <v>0</v>
      </c>
      <c r="BY112" s="30" t="n">
        <f aca="false">BX112*$BR$5/12</f>
        <v>0</v>
      </c>
      <c r="BZ112" s="30" t="n">
        <f aca="false">MIN($BR$6,BX112+BY112)</f>
        <v>0</v>
      </c>
      <c r="CA112" s="30" t="n">
        <f aca="false">BX112+BY112-BZ112</f>
        <v>0</v>
      </c>
      <c r="CB112" s="30" t="n">
        <f aca="false">CG111</f>
        <v>0</v>
      </c>
      <c r="CC112" s="30" t="n">
        <f aca="false">CB112*$CB$5/12</f>
        <v>0</v>
      </c>
      <c r="CD112" s="30" t="n">
        <f aca="false">MIN($CB$6,CB112+CC112)</f>
        <v>0</v>
      </c>
      <c r="CE112" s="30" t="n">
        <f aca="false">MAX(0,MIN(BV112,CB112+CC112-CD112))</f>
        <v>0</v>
      </c>
      <c r="CF112" s="29" t="n">
        <f aca="false">BV112-CE112</f>
        <v>690</v>
      </c>
      <c r="CG112" s="30" t="n">
        <f aca="false">CB112+CC112-CD112-CE112</f>
        <v>0</v>
      </c>
      <c r="CH112" s="30" t="n">
        <f aca="false">CK111</f>
        <v>0</v>
      </c>
      <c r="CI112" s="30" t="n">
        <f aca="false">CH112*$CB$5/12</f>
        <v>0</v>
      </c>
      <c r="CJ112" s="30" t="n">
        <f aca="false">MIN($CB$6,CH112+CI112)</f>
        <v>0</v>
      </c>
      <c r="CK112" s="30" t="n">
        <f aca="false">CH112+CI112-CJ112</f>
        <v>0</v>
      </c>
    </row>
    <row r="113" customFormat="false" ht="15" hidden="false" customHeight="false" outlineLevel="0" collapsed="false">
      <c r="A113" s="0" t="n">
        <v>105</v>
      </c>
      <c r="B113" s="29" t="n">
        <f aca="false">'1 Your debts'!$B$16-(L113+V113+AF113+AP113+AZ113+BJ113+BT113+CD113)</f>
        <v>690</v>
      </c>
      <c r="C113" s="34" t="n">
        <f aca="false">O113+Y113+AI113+AS113+BC113+BM113+BW113+CG113</f>
        <v>0</v>
      </c>
      <c r="D113" s="34" t="n">
        <f aca="false">K113+U113+AE113+AO113+AY113+BI113+BS113+CC113</f>
        <v>0</v>
      </c>
      <c r="F113" s="34" t="n">
        <f aca="false">S113+AC113+AM113+AW113+BG113+BQ113+CA113+CK113</f>
        <v>1914.80242515362</v>
      </c>
      <c r="G113" s="34" t="n">
        <f aca="false">Q113+AA113+AK113+AU113+BE113+BO113+BY113+CI113</f>
        <v>9.32925204342176</v>
      </c>
      <c r="J113" s="34" t="n">
        <f aca="false">O112</f>
        <v>0</v>
      </c>
      <c r="K113" s="34" t="n">
        <f aca="false">J113*$J$5/12</f>
        <v>0</v>
      </c>
      <c r="L113" s="29" t="n">
        <f aca="false">MIN($J$6,J113+K113)</f>
        <v>0</v>
      </c>
      <c r="M113" s="30" t="n">
        <f aca="false">MAX(0,MIN($B113,J113+K113-L113))</f>
        <v>0</v>
      </c>
      <c r="N113" s="29" t="n">
        <f aca="false">$B113-M113</f>
        <v>690</v>
      </c>
      <c r="O113" s="34" t="n">
        <f aca="false">J113+K113-L113-M113</f>
        <v>0</v>
      </c>
      <c r="P113" s="34" t="n">
        <f aca="false">S112</f>
        <v>0</v>
      </c>
      <c r="Q113" s="34" t="n">
        <f aca="false">P113*$J$5/12</f>
        <v>0</v>
      </c>
      <c r="R113" s="29" t="n">
        <f aca="false">MIN($J$6,P113+Q113)</f>
        <v>0</v>
      </c>
      <c r="S113" s="34" t="n">
        <f aca="false">P113+Q113-R113</f>
        <v>0</v>
      </c>
      <c r="T113" s="34" t="n">
        <f aca="false">Y112</f>
        <v>0</v>
      </c>
      <c r="U113" s="34" t="n">
        <f aca="false">T113*$T$5/12</f>
        <v>0</v>
      </c>
      <c r="V113" s="29" t="n">
        <f aca="false">MIN($T$6,T113+U113)</f>
        <v>0</v>
      </c>
      <c r="W113" s="30" t="n">
        <f aca="false">MAX(0,MIN(N113,T113+U113-V113))</f>
        <v>0</v>
      </c>
      <c r="X113" s="29" t="n">
        <f aca="false">N113-W113</f>
        <v>690</v>
      </c>
      <c r="Y113" s="34" t="n">
        <f aca="false">T113+U113-V113-W113</f>
        <v>0</v>
      </c>
      <c r="Z113" s="34" t="n">
        <f aca="false">AC112</f>
        <v>0</v>
      </c>
      <c r="AA113" s="34" t="n">
        <f aca="false">Z113*$T$5/12</f>
        <v>0</v>
      </c>
      <c r="AB113" s="29" t="n">
        <f aca="false">MIN($T$6,Z113+AA113)</f>
        <v>0</v>
      </c>
      <c r="AC113" s="34" t="n">
        <f aca="false">Z113+AA113-AB113</f>
        <v>0</v>
      </c>
      <c r="AD113" s="34" t="n">
        <f aca="false">AI112</f>
        <v>0</v>
      </c>
      <c r="AE113" s="34" t="n">
        <f aca="false">AD113*$AD$5/12</f>
        <v>0</v>
      </c>
      <c r="AF113" s="29" t="n">
        <f aca="false">MIN($AD$6,AD113+AE113)</f>
        <v>0</v>
      </c>
      <c r="AG113" s="30" t="n">
        <f aca="false">MAX(0,MIN(X113,AD113+AE113-AF113))</f>
        <v>0</v>
      </c>
      <c r="AH113" s="29" t="n">
        <f aca="false">X113-AG113</f>
        <v>690</v>
      </c>
      <c r="AI113" s="34" t="n">
        <f aca="false">AD113+AE113-AF113-AG113</f>
        <v>0</v>
      </c>
      <c r="AJ113" s="34" t="n">
        <f aca="false">AM112</f>
        <v>0</v>
      </c>
      <c r="AK113" s="34" t="n">
        <f aca="false">AJ113*$AD$5/12</f>
        <v>0</v>
      </c>
      <c r="AL113" s="29" t="n">
        <f aca="false">MIN($AD$6,AJ113+AK113)</f>
        <v>0</v>
      </c>
      <c r="AM113" s="34" t="n">
        <f aca="false">AJ113+AK113-AL113</f>
        <v>0</v>
      </c>
      <c r="AN113" s="34" t="n">
        <f aca="false">AS112</f>
        <v>0</v>
      </c>
      <c r="AO113" s="34" t="n">
        <f aca="false">AN113*$AN$5/12</f>
        <v>0</v>
      </c>
      <c r="AP113" s="29" t="n">
        <f aca="false">MIN($AN$6,AN113+AO113)</f>
        <v>0</v>
      </c>
      <c r="AQ113" s="30" t="n">
        <f aca="false">MAX(0,MIN(AH113,AN113+AO113-AP113))</f>
        <v>0</v>
      </c>
      <c r="AR113" s="29" t="n">
        <f aca="false">AH113-AQ113</f>
        <v>690</v>
      </c>
      <c r="AS113" s="34" t="n">
        <f aca="false">AN113+AO113-AP113-AQ113</f>
        <v>0</v>
      </c>
      <c r="AT113" s="34" t="n">
        <f aca="false">AW112</f>
        <v>2035.4731731102</v>
      </c>
      <c r="AU113" s="34" t="n">
        <f aca="false">AT113*$AN$5/12</f>
        <v>9.32925204342176</v>
      </c>
      <c r="AV113" s="29" t="n">
        <f aca="false">MIN($AN$6,AT113+AU113)</f>
        <v>130</v>
      </c>
      <c r="AW113" s="34" t="n">
        <f aca="false">AT113+AU113-AV113</f>
        <v>1914.80242515362</v>
      </c>
      <c r="AX113" s="30" t="n">
        <f aca="false">BC112</f>
        <v>0</v>
      </c>
      <c r="AY113" s="30" t="n">
        <f aca="false">AX113*$AX$5/12</f>
        <v>0</v>
      </c>
      <c r="AZ113" s="30" t="n">
        <f aca="false">MIN($AX$6,AX113+AY113)</f>
        <v>0</v>
      </c>
      <c r="BA113" s="30" t="n">
        <f aca="false">MAX(0,MIN(AR113,AX113+AY113-AZ113))</f>
        <v>0</v>
      </c>
      <c r="BB113" s="29" t="n">
        <f aca="false">AR113-BA113</f>
        <v>690</v>
      </c>
      <c r="BC113" s="30" t="n">
        <f aca="false">AX113+AY113-AZ113-BA113</f>
        <v>0</v>
      </c>
      <c r="BD113" s="30" t="n">
        <f aca="false">BG112</f>
        <v>0</v>
      </c>
      <c r="BE113" s="30" t="n">
        <f aca="false">BD113*$AX$5/12</f>
        <v>0</v>
      </c>
      <c r="BF113" s="30" t="n">
        <f aca="false">MIN($AX$6,BD113+BE113)</f>
        <v>0</v>
      </c>
      <c r="BG113" s="30" t="n">
        <f aca="false">BD113+BE113-BF113</f>
        <v>0</v>
      </c>
      <c r="BH113" s="30" t="n">
        <f aca="false">BM112</f>
        <v>0</v>
      </c>
      <c r="BI113" s="30" t="n">
        <f aca="false">BH113*$BH$5/12</f>
        <v>0</v>
      </c>
      <c r="BJ113" s="30" t="n">
        <f aca="false">MIN($BH$6,BH113+BI113)</f>
        <v>0</v>
      </c>
      <c r="BK113" s="30" t="n">
        <f aca="false">MAX(0,MIN(BB113,BH113+BI113-BJ113))</f>
        <v>0</v>
      </c>
      <c r="BL113" s="29" t="n">
        <f aca="false">BB113-BK113</f>
        <v>690</v>
      </c>
      <c r="BM113" s="30" t="n">
        <f aca="false">BH113+BI113-BJ113-BK113</f>
        <v>0</v>
      </c>
      <c r="BN113" s="30" t="n">
        <f aca="false">BQ112</f>
        <v>0</v>
      </c>
      <c r="BO113" s="30" t="n">
        <f aca="false">BN113*$BH$5/12</f>
        <v>0</v>
      </c>
      <c r="BP113" s="30" t="n">
        <f aca="false">MIN($BH$6,BN113+BO113)</f>
        <v>0</v>
      </c>
      <c r="BQ113" s="30" t="n">
        <f aca="false">BN113+BO113-BP113</f>
        <v>0</v>
      </c>
      <c r="BR113" s="30" t="n">
        <f aca="false">BW112</f>
        <v>0</v>
      </c>
      <c r="BS113" s="30" t="n">
        <f aca="false">BR113*$BR$5/12</f>
        <v>0</v>
      </c>
      <c r="BT113" s="30" t="n">
        <f aca="false">MIN($BR$6,BR113+BS113)</f>
        <v>0</v>
      </c>
      <c r="BU113" s="30" t="n">
        <f aca="false">MAX(0,MIN(BL113,BR113+BS113-BT113))</f>
        <v>0</v>
      </c>
      <c r="BV113" s="29" t="n">
        <f aca="false">BL113-BU113</f>
        <v>690</v>
      </c>
      <c r="BW113" s="30" t="n">
        <f aca="false">BR113+BS113-BT113-BU113</f>
        <v>0</v>
      </c>
      <c r="BX113" s="30" t="n">
        <f aca="false">CA112</f>
        <v>0</v>
      </c>
      <c r="BY113" s="30" t="n">
        <f aca="false">BX113*$BR$5/12</f>
        <v>0</v>
      </c>
      <c r="BZ113" s="30" t="n">
        <f aca="false">MIN($BR$6,BX113+BY113)</f>
        <v>0</v>
      </c>
      <c r="CA113" s="30" t="n">
        <f aca="false">BX113+BY113-BZ113</f>
        <v>0</v>
      </c>
      <c r="CB113" s="30" t="n">
        <f aca="false">CG112</f>
        <v>0</v>
      </c>
      <c r="CC113" s="30" t="n">
        <f aca="false">CB113*$CB$5/12</f>
        <v>0</v>
      </c>
      <c r="CD113" s="30" t="n">
        <f aca="false">MIN($CB$6,CB113+CC113)</f>
        <v>0</v>
      </c>
      <c r="CE113" s="30" t="n">
        <f aca="false">MAX(0,MIN(BV113,CB113+CC113-CD113))</f>
        <v>0</v>
      </c>
      <c r="CF113" s="29" t="n">
        <f aca="false">BV113-CE113</f>
        <v>690</v>
      </c>
      <c r="CG113" s="30" t="n">
        <f aca="false">CB113+CC113-CD113-CE113</f>
        <v>0</v>
      </c>
      <c r="CH113" s="30" t="n">
        <f aca="false">CK112</f>
        <v>0</v>
      </c>
      <c r="CI113" s="30" t="n">
        <f aca="false">CH113*$CB$5/12</f>
        <v>0</v>
      </c>
      <c r="CJ113" s="30" t="n">
        <f aca="false">MIN($CB$6,CH113+CI113)</f>
        <v>0</v>
      </c>
      <c r="CK113" s="30" t="n">
        <f aca="false">CH113+CI113-CJ113</f>
        <v>0</v>
      </c>
    </row>
    <row r="114" customFormat="false" ht="15" hidden="false" customHeight="false" outlineLevel="0" collapsed="false">
      <c r="A114" s="0" t="n">
        <v>106</v>
      </c>
      <c r="B114" s="29" t="n">
        <f aca="false">'1 Your debts'!$B$16-(L114+V114+AF114+AP114+AZ114+BJ114+BT114+CD114)</f>
        <v>690</v>
      </c>
      <c r="C114" s="34" t="n">
        <f aca="false">O114+Y114+AI114+AS114+BC114+BM114+BW114+CG114</f>
        <v>0</v>
      </c>
      <c r="D114" s="34" t="n">
        <f aca="false">K114+U114+AE114+AO114+AY114+BI114+BS114+CC114</f>
        <v>0</v>
      </c>
      <c r="F114" s="34" t="n">
        <f aca="false">S114+AC114+AM114+AW114+BG114+BQ114+CA114+CK114</f>
        <v>1793.57860293558</v>
      </c>
      <c r="G114" s="34" t="n">
        <f aca="false">Q114+AA114+AK114+AU114+BE114+BO114+BY114+CI114</f>
        <v>8.77617778195411</v>
      </c>
      <c r="J114" s="34" t="n">
        <f aca="false">O113</f>
        <v>0</v>
      </c>
      <c r="K114" s="34" t="n">
        <f aca="false">J114*$J$5/12</f>
        <v>0</v>
      </c>
      <c r="L114" s="29" t="n">
        <f aca="false">MIN($J$6,J114+K114)</f>
        <v>0</v>
      </c>
      <c r="M114" s="30" t="n">
        <f aca="false">MAX(0,MIN($B114,J114+K114-L114))</f>
        <v>0</v>
      </c>
      <c r="N114" s="29" t="n">
        <f aca="false">$B114-M114</f>
        <v>690</v>
      </c>
      <c r="O114" s="34" t="n">
        <f aca="false">J114+K114-L114-M114</f>
        <v>0</v>
      </c>
      <c r="P114" s="34" t="n">
        <f aca="false">S113</f>
        <v>0</v>
      </c>
      <c r="Q114" s="34" t="n">
        <f aca="false">P114*$J$5/12</f>
        <v>0</v>
      </c>
      <c r="R114" s="29" t="n">
        <f aca="false">MIN($J$6,P114+Q114)</f>
        <v>0</v>
      </c>
      <c r="S114" s="34" t="n">
        <f aca="false">P114+Q114-R114</f>
        <v>0</v>
      </c>
      <c r="T114" s="34" t="n">
        <f aca="false">Y113</f>
        <v>0</v>
      </c>
      <c r="U114" s="34" t="n">
        <f aca="false">T114*$T$5/12</f>
        <v>0</v>
      </c>
      <c r="V114" s="29" t="n">
        <f aca="false">MIN($T$6,T114+U114)</f>
        <v>0</v>
      </c>
      <c r="W114" s="30" t="n">
        <f aca="false">MAX(0,MIN(N114,T114+U114-V114))</f>
        <v>0</v>
      </c>
      <c r="X114" s="29" t="n">
        <f aca="false">N114-W114</f>
        <v>690</v>
      </c>
      <c r="Y114" s="34" t="n">
        <f aca="false">T114+U114-V114-W114</f>
        <v>0</v>
      </c>
      <c r="Z114" s="34" t="n">
        <f aca="false">AC113</f>
        <v>0</v>
      </c>
      <c r="AA114" s="34" t="n">
        <f aca="false">Z114*$T$5/12</f>
        <v>0</v>
      </c>
      <c r="AB114" s="29" t="n">
        <f aca="false">MIN($T$6,Z114+AA114)</f>
        <v>0</v>
      </c>
      <c r="AC114" s="34" t="n">
        <f aca="false">Z114+AA114-AB114</f>
        <v>0</v>
      </c>
      <c r="AD114" s="34" t="n">
        <f aca="false">AI113</f>
        <v>0</v>
      </c>
      <c r="AE114" s="34" t="n">
        <f aca="false">AD114*$AD$5/12</f>
        <v>0</v>
      </c>
      <c r="AF114" s="29" t="n">
        <f aca="false">MIN($AD$6,AD114+AE114)</f>
        <v>0</v>
      </c>
      <c r="AG114" s="30" t="n">
        <f aca="false">MAX(0,MIN(X114,AD114+AE114-AF114))</f>
        <v>0</v>
      </c>
      <c r="AH114" s="29" t="n">
        <f aca="false">X114-AG114</f>
        <v>690</v>
      </c>
      <c r="AI114" s="34" t="n">
        <f aca="false">AD114+AE114-AF114-AG114</f>
        <v>0</v>
      </c>
      <c r="AJ114" s="34" t="n">
        <f aca="false">AM113</f>
        <v>0</v>
      </c>
      <c r="AK114" s="34" t="n">
        <f aca="false">AJ114*$AD$5/12</f>
        <v>0</v>
      </c>
      <c r="AL114" s="29" t="n">
        <f aca="false">MIN($AD$6,AJ114+AK114)</f>
        <v>0</v>
      </c>
      <c r="AM114" s="34" t="n">
        <f aca="false">AJ114+AK114-AL114</f>
        <v>0</v>
      </c>
      <c r="AN114" s="34" t="n">
        <f aca="false">AS113</f>
        <v>0</v>
      </c>
      <c r="AO114" s="34" t="n">
        <f aca="false">AN114*$AN$5/12</f>
        <v>0</v>
      </c>
      <c r="AP114" s="29" t="n">
        <f aca="false">MIN($AN$6,AN114+AO114)</f>
        <v>0</v>
      </c>
      <c r="AQ114" s="30" t="n">
        <f aca="false">MAX(0,MIN(AH114,AN114+AO114-AP114))</f>
        <v>0</v>
      </c>
      <c r="AR114" s="29" t="n">
        <f aca="false">AH114-AQ114</f>
        <v>690</v>
      </c>
      <c r="AS114" s="34" t="n">
        <f aca="false">AN114+AO114-AP114-AQ114</f>
        <v>0</v>
      </c>
      <c r="AT114" s="34" t="n">
        <f aca="false">AW113</f>
        <v>1914.80242515362</v>
      </c>
      <c r="AU114" s="34" t="n">
        <f aca="false">AT114*$AN$5/12</f>
        <v>8.77617778195411</v>
      </c>
      <c r="AV114" s="29" t="n">
        <f aca="false">MIN($AN$6,AT114+AU114)</f>
        <v>130</v>
      </c>
      <c r="AW114" s="34" t="n">
        <f aca="false">AT114+AU114-AV114</f>
        <v>1793.57860293558</v>
      </c>
      <c r="AX114" s="30" t="n">
        <f aca="false">BC113</f>
        <v>0</v>
      </c>
      <c r="AY114" s="30" t="n">
        <f aca="false">AX114*$AX$5/12</f>
        <v>0</v>
      </c>
      <c r="AZ114" s="30" t="n">
        <f aca="false">MIN($AX$6,AX114+AY114)</f>
        <v>0</v>
      </c>
      <c r="BA114" s="30" t="n">
        <f aca="false">MAX(0,MIN(AR114,AX114+AY114-AZ114))</f>
        <v>0</v>
      </c>
      <c r="BB114" s="29" t="n">
        <f aca="false">AR114-BA114</f>
        <v>690</v>
      </c>
      <c r="BC114" s="30" t="n">
        <f aca="false">AX114+AY114-AZ114-BA114</f>
        <v>0</v>
      </c>
      <c r="BD114" s="30" t="n">
        <f aca="false">BG113</f>
        <v>0</v>
      </c>
      <c r="BE114" s="30" t="n">
        <f aca="false">BD114*$AX$5/12</f>
        <v>0</v>
      </c>
      <c r="BF114" s="30" t="n">
        <f aca="false">MIN($AX$6,BD114+BE114)</f>
        <v>0</v>
      </c>
      <c r="BG114" s="30" t="n">
        <f aca="false">BD114+BE114-BF114</f>
        <v>0</v>
      </c>
      <c r="BH114" s="30" t="n">
        <f aca="false">BM113</f>
        <v>0</v>
      </c>
      <c r="BI114" s="30" t="n">
        <f aca="false">BH114*$BH$5/12</f>
        <v>0</v>
      </c>
      <c r="BJ114" s="30" t="n">
        <f aca="false">MIN($BH$6,BH114+BI114)</f>
        <v>0</v>
      </c>
      <c r="BK114" s="30" t="n">
        <f aca="false">MAX(0,MIN(BB114,BH114+BI114-BJ114))</f>
        <v>0</v>
      </c>
      <c r="BL114" s="29" t="n">
        <f aca="false">BB114-BK114</f>
        <v>690</v>
      </c>
      <c r="BM114" s="30" t="n">
        <f aca="false">BH114+BI114-BJ114-BK114</f>
        <v>0</v>
      </c>
      <c r="BN114" s="30" t="n">
        <f aca="false">BQ113</f>
        <v>0</v>
      </c>
      <c r="BO114" s="30" t="n">
        <f aca="false">BN114*$BH$5/12</f>
        <v>0</v>
      </c>
      <c r="BP114" s="30" t="n">
        <f aca="false">MIN($BH$6,BN114+BO114)</f>
        <v>0</v>
      </c>
      <c r="BQ114" s="30" t="n">
        <f aca="false">BN114+BO114-BP114</f>
        <v>0</v>
      </c>
      <c r="BR114" s="30" t="n">
        <f aca="false">BW113</f>
        <v>0</v>
      </c>
      <c r="BS114" s="30" t="n">
        <f aca="false">BR114*$BR$5/12</f>
        <v>0</v>
      </c>
      <c r="BT114" s="30" t="n">
        <f aca="false">MIN($BR$6,BR114+BS114)</f>
        <v>0</v>
      </c>
      <c r="BU114" s="30" t="n">
        <f aca="false">MAX(0,MIN(BL114,BR114+BS114-BT114))</f>
        <v>0</v>
      </c>
      <c r="BV114" s="29" t="n">
        <f aca="false">BL114-BU114</f>
        <v>690</v>
      </c>
      <c r="BW114" s="30" t="n">
        <f aca="false">BR114+BS114-BT114-BU114</f>
        <v>0</v>
      </c>
      <c r="BX114" s="30" t="n">
        <f aca="false">CA113</f>
        <v>0</v>
      </c>
      <c r="BY114" s="30" t="n">
        <f aca="false">BX114*$BR$5/12</f>
        <v>0</v>
      </c>
      <c r="BZ114" s="30" t="n">
        <f aca="false">MIN($BR$6,BX114+BY114)</f>
        <v>0</v>
      </c>
      <c r="CA114" s="30" t="n">
        <f aca="false">BX114+BY114-BZ114</f>
        <v>0</v>
      </c>
      <c r="CB114" s="30" t="n">
        <f aca="false">CG113</f>
        <v>0</v>
      </c>
      <c r="CC114" s="30" t="n">
        <f aca="false">CB114*$CB$5/12</f>
        <v>0</v>
      </c>
      <c r="CD114" s="30" t="n">
        <f aca="false">MIN($CB$6,CB114+CC114)</f>
        <v>0</v>
      </c>
      <c r="CE114" s="30" t="n">
        <f aca="false">MAX(0,MIN(BV114,CB114+CC114-CD114))</f>
        <v>0</v>
      </c>
      <c r="CF114" s="29" t="n">
        <f aca="false">BV114-CE114</f>
        <v>690</v>
      </c>
      <c r="CG114" s="30" t="n">
        <f aca="false">CB114+CC114-CD114-CE114</f>
        <v>0</v>
      </c>
      <c r="CH114" s="30" t="n">
        <f aca="false">CK113</f>
        <v>0</v>
      </c>
      <c r="CI114" s="30" t="n">
        <f aca="false">CH114*$CB$5/12</f>
        <v>0</v>
      </c>
      <c r="CJ114" s="30" t="n">
        <f aca="false">MIN($CB$6,CH114+CI114)</f>
        <v>0</v>
      </c>
      <c r="CK114" s="30" t="n">
        <f aca="false">CH114+CI114-CJ114</f>
        <v>0</v>
      </c>
    </row>
    <row r="115" customFormat="false" ht="15" hidden="false" customHeight="false" outlineLevel="0" collapsed="false">
      <c r="A115" s="0" t="n">
        <v>107</v>
      </c>
      <c r="B115" s="29" t="n">
        <f aca="false">'1 Your debts'!$B$16-(L115+V115+AF115+AP115+AZ115+BJ115+BT115+CD115)</f>
        <v>690</v>
      </c>
      <c r="C115" s="34" t="n">
        <f aca="false">O115+Y115+AI115+AS115+BC115+BM115+BW115+CG115</f>
        <v>0</v>
      </c>
      <c r="D115" s="34" t="n">
        <f aca="false">K115+U115+AE115+AO115+AY115+BI115+BS115+CC115</f>
        <v>0</v>
      </c>
      <c r="F115" s="34" t="n">
        <f aca="false">S115+AC115+AM115+AW115+BG115+BQ115+CA115+CK115</f>
        <v>1671.79917153237</v>
      </c>
      <c r="G115" s="34" t="n">
        <f aca="false">Q115+AA115+AK115+AU115+BE115+BO115+BY115+CI115</f>
        <v>8.22056859678807</v>
      </c>
      <c r="J115" s="34" t="n">
        <f aca="false">O114</f>
        <v>0</v>
      </c>
      <c r="K115" s="34" t="n">
        <f aca="false">J115*$J$5/12</f>
        <v>0</v>
      </c>
      <c r="L115" s="29" t="n">
        <f aca="false">MIN($J$6,J115+K115)</f>
        <v>0</v>
      </c>
      <c r="M115" s="30" t="n">
        <f aca="false">MAX(0,MIN($B115,J115+K115-L115))</f>
        <v>0</v>
      </c>
      <c r="N115" s="29" t="n">
        <f aca="false">$B115-M115</f>
        <v>690</v>
      </c>
      <c r="O115" s="34" t="n">
        <f aca="false">J115+K115-L115-M115</f>
        <v>0</v>
      </c>
      <c r="P115" s="34" t="n">
        <f aca="false">S114</f>
        <v>0</v>
      </c>
      <c r="Q115" s="34" t="n">
        <f aca="false">P115*$J$5/12</f>
        <v>0</v>
      </c>
      <c r="R115" s="29" t="n">
        <f aca="false">MIN($J$6,P115+Q115)</f>
        <v>0</v>
      </c>
      <c r="S115" s="34" t="n">
        <f aca="false">P115+Q115-R115</f>
        <v>0</v>
      </c>
      <c r="T115" s="34" t="n">
        <f aca="false">Y114</f>
        <v>0</v>
      </c>
      <c r="U115" s="34" t="n">
        <f aca="false">T115*$T$5/12</f>
        <v>0</v>
      </c>
      <c r="V115" s="29" t="n">
        <f aca="false">MIN($T$6,T115+U115)</f>
        <v>0</v>
      </c>
      <c r="W115" s="30" t="n">
        <f aca="false">MAX(0,MIN(N115,T115+U115-V115))</f>
        <v>0</v>
      </c>
      <c r="X115" s="29" t="n">
        <f aca="false">N115-W115</f>
        <v>690</v>
      </c>
      <c r="Y115" s="34" t="n">
        <f aca="false">T115+U115-V115-W115</f>
        <v>0</v>
      </c>
      <c r="Z115" s="34" t="n">
        <f aca="false">AC114</f>
        <v>0</v>
      </c>
      <c r="AA115" s="34" t="n">
        <f aca="false">Z115*$T$5/12</f>
        <v>0</v>
      </c>
      <c r="AB115" s="29" t="n">
        <f aca="false">MIN($T$6,Z115+AA115)</f>
        <v>0</v>
      </c>
      <c r="AC115" s="34" t="n">
        <f aca="false">Z115+AA115-AB115</f>
        <v>0</v>
      </c>
      <c r="AD115" s="34" t="n">
        <f aca="false">AI114</f>
        <v>0</v>
      </c>
      <c r="AE115" s="34" t="n">
        <f aca="false">AD115*$AD$5/12</f>
        <v>0</v>
      </c>
      <c r="AF115" s="29" t="n">
        <f aca="false">MIN($AD$6,AD115+AE115)</f>
        <v>0</v>
      </c>
      <c r="AG115" s="30" t="n">
        <f aca="false">MAX(0,MIN(X115,AD115+AE115-AF115))</f>
        <v>0</v>
      </c>
      <c r="AH115" s="29" t="n">
        <f aca="false">X115-AG115</f>
        <v>690</v>
      </c>
      <c r="AI115" s="34" t="n">
        <f aca="false">AD115+AE115-AF115-AG115</f>
        <v>0</v>
      </c>
      <c r="AJ115" s="34" t="n">
        <f aca="false">AM114</f>
        <v>0</v>
      </c>
      <c r="AK115" s="34" t="n">
        <f aca="false">AJ115*$AD$5/12</f>
        <v>0</v>
      </c>
      <c r="AL115" s="29" t="n">
        <f aca="false">MIN($AD$6,AJ115+AK115)</f>
        <v>0</v>
      </c>
      <c r="AM115" s="34" t="n">
        <f aca="false">AJ115+AK115-AL115</f>
        <v>0</v>
      </c>
      <c r="AN115" s="34" t="n">
        <f aca="false">AS114</f>
        <v>0</v>
      </c>
      <c r="AO115" s="34" t="n">
        <f aca="false">AN115*$AN$5/12</f>
        <v>0</v>
      </c>
      <c r="AP115" s="29" t="n">
        <f aca="false">MIN($AN$6,AN115+AO115)</f>
        <v>0</v>
      </c>
      <c r="AQ115" s="30" t="n">
        <f aca="false">MAX(0,MIN(AH115,AN115+AO115-AP115))</f>
        <v>0</v>
      </c>
      <c r="AR115" s="29" t="n">
        <f aca="false">AH115-AQ115</f>
        <v>690</v>
      </c>
      <c r="AS115" s="34" t="n">
        <f aca="false">AN115+AO115-AP115-AQ115</f>
        <v>0</v>
      </c>
      <c r="AT115" s="34" t="n">
        <f aca="false">AW114</f>
        <v>1793.57860293558</v>
      </c>
      <c r="AU115" s="34" t="n">
        <f aca="false">AT115*$AN$5/12</f>
        <v>8.22056859678807</v>
      </c>
      <c r="AV115" s="29" t="n">
        <f aca="false">MIN($AN$6,AT115+AU115)</f>
        <v>130</v>
      </c>
      <c r="AW115" s="34" t="n">
        <f aca="false">AT115+AU115-AV115</f>
        <v>1671.79917153237</v>
      </c>
      <c r="AX115" s="30" t="n">
        <f aca="false">BC114</f>
        <v>0</v>
      </c>
      <c r="AY115" s="30" t="n">
        <f aca="false">AX115*$AX$5/12</f>
        <v>0</v>
      </c>
      <c r="AZ115" s="30" t="n">
        <f aca="false">MIN($AX$6,AX115+AY115)</f>
        <v>0</v>
      </c>
      <c r="BA115" s="30" t="n">
        <f aca="false">MAX(0,MIN(AR115,AX115+AY115-AZ115))</f>
        <v>0</v>
      </c>
      <c r="BB115" s="29" t="n">
        <f aca="false">AR115-BA115</f>
        <v>690</v>
      </c>
      <c r="BC115" s="30" t="n">
        <f aca="false">AX115+AY115-AZ115-BA115</f>
        <v>0</v>
      </c>
      <c r="BD115" s="30" t="n">
        <f aca="false">BG114</f>
        <v>0</v>
      </c>
      <c r="BE115" s="30" t="n">
        <f aca="false">BD115*$AX$5/12</f>
        <v>0</v>
      </c>
      <c r="BF115" s="30" t="n">
        <f aca="false">MIN($AX$6,BD115+BE115)</f>
        <v>0</v>
      </c>
      <c r="BG115" s="30" t="n">
        <f aca="false">BD115+BE115-BF115</f>
        <v>0</v>
      </c>
      <c r="BH115" s="30" t="n">
        <f aca="false">BM114</f>
        <v>0</v>
      </c>
      <c r="BI115" s="30" t="n">
        <f aca="false">BH115*$BH$5/12</f>
        <v>0</v>
      </c>
      <c r="BJ115" s="30" t="n">
        <f aca="false">MIN($BH$6,BH115+BI115)</f>
        <v>0</v>
      </c>
      <c r="BK115" s="30" t="n">
        <f aca="false">MAX(0,MIN(BB115,BH115+BI115-BJ115))</f>
        <v>0</v>
      </c>
      <c r="BL115" s="29" t="n">
        <f aca="false">BB115-BK115</f>
        <v>690</v>
      </c>
      <c r="BM115" s="30" t="n">
        <f aca="false">BH115+BI115-BJ115-BK115</f>
        <v>0</v>
      </c>
      <c r="BN115" s="30" t="n">
        <f aca="false">BQ114</f>
        <v>0</v>
      </c>
      <c r="BO115" s="30" t="n">
        <f aca="false">BN115*$BH$5/12</f>
        <v>0</v>
      </c>
      <c r="BP115" s="30" t="n">
        <f aca="false">MIN($BH$6,BN115+BO115)</f>
        <v>0</v>
      </c>
      <c r="BQ115" s="30" t="n">
        <f aca="false">BN115+BO115-BP115</f>
        <v>0</v>
      </c>
      <c r="BR115" s="30" t="n">
        <f aca="false">BW114</f>
        <v>0</v>
      </c>
      <c r="BS115" s="30" t="n">
        <f aca="false">BR115*$BR$5/12</f>
        <v>0</v>
      </c>
      <c r="BT115" s="30" t="n">
        <f aca="false">MIN($BR$6,BR115+BS115)</f>
        <v>0</v>
      </c>
      <c r="BU115" s="30" t="n">
        <f aca="false">MAX(0,MIN(BL115,BR115+BS115-BT115))</f>
        <v>0</v>
      </c>
      <c r="BV115" s="29" t="n">
        <f aca="false">BL115-BU115</f>
        <v>690</v>
      </c>
      <c r="BW115" s="30" t="n">
        <f aca="false">BR115+BS115-BT115-BU115</f>
        <v>0</v>
      </c>
      <c r="BX115" s="30" t="n">
        <f aca="false">CA114</f>
        <v>0</v>
      </c>
      <c r="BY115" s="30" t="n">
        <f aca="false">BX115*$BR$5/12</f>
        <v>0</v>
      </c>
      <c r="BZ115" s="30" t="n">
        <f aca="false">MIN($BR$6,BX115+BY115)</f>
        <v>0</v>
      </c>
      <c r="CA115" s="30" t="n">
        <f aca="false">BX115+BY115-BZ115</f>
        <v>0</v>
      </c>
      <c r="CB115" s="30" t="n">
        <f aca="false">CG114</f>
        <v>0</v>
      </c>
      <c r="CC115" s="30" t="n">
        <f aca="false">CB115*$CB$5/12</f>
        <v>0</v>
      </c>
      <c r="CD115" s="30" t="n">
        <f aca="false">MIN($CB$6,CB115+CC115)</f>
        <v>0</v>
      </c>
      <c r="CE115" s="30" t="n">
        <f aca="false">MAX(0,MIN(BV115,CB115+CC115-CD115))</f>
        <v>0</v>
      </c>
      <c r="CF115" s="29" t="n">
        <f aca="false">BV115-CE115</f>
        <v>690</v>
      </c>
      <c r="CG115" s="30" t="n">
        <f aca="false">CB115+CC115-CD115-CE115</f>
        <v>0</v>
      </c>
      <c r="CH115" s="30" t="n">
        <f aca="false">CK114</f>
        <v>0</v>
      </c>
      <c r="CI115" s="30" t="n">
        <f aca="false">CH115*$CB$5/12</f>
        <v>0</v>
      </c>
      <c r="CJ115" s="30" t="n">
        <f aca="false">MIN($CB$6,CH115+CI115)</f>
        <v>0</v>
      </c>
      <c r="CK115" s="30" t="n">
        <f aca="false">CH115+CI115-CJ115</f>
        <v>0</v>
      </c>
    </row>
    <row r="116" customFormat="false" ht="15" hidden="false" customHeight="false" outlineLevel="0" collapsed="false">
      <c r="A116" s="0" t="n">
        <v>108</v>
      </c>
      <c r="B116" s="29" t="n">
        <f aca="false">'1 Your debts'!$B$16-(L116+V116+AF116+AP116+AZ116+BJ116+BT116+CD116)</f>
        <v>690</v>
      </c>
      <c r="C116" s="34" t="n">
        <f aca="false">O116+Y116+AI116+AS116+BC116+BM116+BW116+CG116</f>
        <v>0</v>
      </c>
      <c r="D116" s="34" t="n">
        <f aca="false">K116+U116+AE116+AO116+AY116+BI116+BS116+CC116</f>
        <v>0</v>
      </c>
      <c r="F116" s="34" t="n">
        <f aca="false">S116+AC116+AM116+AW116+BG116+BQ116+CA116+CK116</f>
        <v>1549.46158440189</v>
      </c>
      <c r="G116" s="34" t="n">
        <f aca="false">Q116+AA116+AK116+AU116+BE116+BO116+BY116+CI116</f>
        <v>7.66241286952335</v>
      </c>
      <c r="J116" s="34" t="n">
        <f aca="false">O115</f>
        <v>0</v>
      </c>
      <c r="K116" s="34" t="n">
        <f aca="false">J116*$J$5/12</f>
        <v>0</v>
      </c>
      <c r="L116" s="29" t="n">
        <f aca="false">MIN($J$6,J116+K116)</f>
        <v>0</v>
      </c>
      <c r="M116" s="30" t="n">
        <f aca="false">MAX(0,MIN($B116,J116+K116-L116))</f>
        <v>0</v>
      </c>
      <c r="N116" s="29" t="n">
        <f aca="false">$B116-M116</f>
        <v>690</v>
      </c>
      <c r="O116" s="34" t="n">
        <f aca="false">J116+K116-L116-M116</f>
        <v>0</v>
      </c>
      <c r="P116" s="34" t="n">
        <f aca="false">S115</f>
        <v>0</v>
      </c>
      <c r="Q116" s="34" t="n">
        <f aca="false">P116*$J$5/12</f>
        <v>0</v>
      </c>
      <c r="R116" s="29" t="n">
        <f aca="false">MIN($J$6,P116+Q116)</f>
        <v>0</v>
      </c>
      <c r="S116" s="34" t="n">
        <f aca="false">P116+Q116-R116</f>
        <v>0</v>
      </c>
      <c r="T116" s="34" t="n">
        <f aca="false">Y115</f>
        <v>0</v>
      </c>
      <c r="U116" s="34" t="n">
        <f aca="false">T116*$T$5/12</f>
        <v>0</v>
      </c>
      <c r="V116" s="29" t="n">
        <f aca="false">MIN($T$6,T116+U116)</f>
        <v>0</v>
      </c>
      <c r="W116" s="30" t="n">
        <f aca="false">MAX(0,MIN(N116,T116+U116-V116))</f>
        <v>0</v>
      </c>
      <c r="X116" s="29" t="n">
        <f aca="false">N116-W116</f>
        <v>690</v>
      </c>
      <c r="Y116" s="34" t="n">
        <f aca="false">T116+U116-V116-W116</f>
        <v>0</v>
      </c>
      <c r="Z116" s="34" t="n">
        <f aca="false">AC115</f>
        <v>0</v>
      </c>
      <c r="AA116" s="34" t="n">
        <f aca="false">Z116*$T$5/12</f>
        <v>0</v>
      </c>
      <c r="AB116" s="29" t="n">
        <f aca="false">MIN($T$6,Z116+AA116)</f>
        <v>0</v>
      </c>
      <c r="AC116" s="34" t="n">
        <f aca="false">Z116+AA116-AB116</f>
        <v>0</v>
      </c>
      <c r="AD116" s="34" t="n">
        <f aca="false">AI115</f>
        <v>0</v>
      </c>
      <c r="AE116" s="34" t="n">
        <f aca="false">AD116*$AD$5/12</f>
        <v>0</v>
      </c>
      <c r="AF116" s="29" t="n">
        <f aca="false">MIN($AD$6,AD116+AE116)</f>
        <v>0</v>
      </c>
      <c r="AG116" s="30" t="n">
        <f aca="false">MAX(0,MIN(X116,AD116+AE116-AF116))</f>
        <v>0</v>
      </c>
      <c r="AH116" s="29" t="n">
        <f aca="false">X116-AG116</f>
        <v>690</v>
      </c>
      <c r="AI116" s="34" t="n">
        <f aca="false">AD116+AE116-AF116-AG116</f>
        <v>0</v>
      </c>
      <c r="AJ116" s="34" t="n">
        <f aca="false">AM115</f>
        <v>0</v>
      </c>
      <c r="AK116" s="34" t="n">
        <f aca="false">AJ116*$AD$5/12</f>
        <v>0</v>
      </c>
      <c r="AL116" s="29" t="n">
        <f aca="false">MIN($AD$6,AJ116+AK116)</f>
        <v>0</v>
      </c>
      <c r="AM116" s="34" t="n">
        <f aca="false">AJ116+AK116-AL116</f>
        <v>0</v>
      </c>
      <c r="AN116" s="34" t="n">
        <f aca="false">AS115</f>
        <v>0</v>
      </c>
      <c r="AO116" s="34" t="n">
        <f aca="false">AN116*$AN$5/12</f>
        <v>0</v>
      </c>
      <c r="AP116" s="29" t="n">
        <f aca="false">MIN($AN$6,AN116+AO116)</f>
        <v>0</v>
      </c>
      <c r="AQ116" s="30" t="n">
        <f aca="false">MAX(0,MIN(AH116,AN116+AO116-AP116))</f>
        <v>0</v>
      </c>
      <c r="AR116" s="29" t="n">
        <f aca="false">AH116-AQ116</f>
        <v>690</v>
      </c>
      <c r="AS116" s="34" t="n">
        <f aca="false">AN116+AO116-AP116-AQ116</f>
        <v>0</v>
      </c>
      <c r="AT116" s="34" t="n">
        <f aca="false">AW115</f>
        <v>1671.79917153237</v>
      </c>
      <c r="AU116" s="34" t="n">
        <f aca="false">AT116*$AN$5/12</f>
        <v>7.66241286952335</v>
      </c>
      <c r="AV116" s="29" t="n">
        <f aca="false">MIN($AN$6,AT116+AU116)</f>
        <v>130</v>
      </c>
      <c r="AW116" s="34" t="n">
        <f aca="false">AT116+AU116-AV116</f>
        <v>1549.46158440189</v>
      </c>
      <c r="AX116" s="30" t="n">
        <f aca="false">BC115</f>
        <v>0</v>
      </c>
      <c r="AY116" s="30" t="n">
        <f aca="false">AX116*$AX$5/12</f>
        <v>0</v>
      </c>
      <c r="AZ116" s="30" t="n">
        <f aca="false">MIN($AX$6,AX116+AY116)</f>
        <v>0</v>
      </c>
      <c r="BA116" s="30" t="n">
        <f aca="false">MAX(0,MIN(AR116,AX116+AY116-AZ116))</f>
        <v>0</v>
      </c>
      <c r="BB116" s="29" t="n">
        <f aca="false">AR116-BA116</f>
        <v>690</v>
      </c>
      <c r="BC116" s="30" t="n">
        <f aca="false">AX116+AY116-AZ116-BA116</f>
        <v>0</v>
      </c>
      <c r="BD116" s="30" t="n">
        <f aca="false">BG115</f>
        <v>0</v>
      </c>
      <c r="BE116" s="30" t="n">
        <f aca="false">BD116*$AX$5/12</f>
        <v>0</v>
      </c>
      <c r="BF116" s="30" t="n">
        <f aca="false">MIN($AX$6,BD116+BE116)</f>
        <v>0</v>
      </c>
      <c r="BG116" s="30" t="n">
        <f aca="false">BD116+BE116-BF116</f>
        <v>0</v>
      </c>
      <c r="BH116" s="30" t="n">
        <f aca="false">BM115</f>
        <v>0</v>
      </c>
      <c r="BI116" s="30" t="n">
        <f aca="false">BH116*$BH$5/12</f>
        <v>0</v>
      </c>
      <c r="BJ116" s="30" t="n">
        <f aca="false">MIN($BH$6,BH116+BI116)</f>
        <v>0</v>
      </c>
      <c r="BK116" s="30" t="n">
        <f aca="false">MAX(0,MIN(BB116,BH116+BI116-BJ116))</f>
        <v>0</v>
      </c>
      <c r="BL116" s="29" t="n">
        <f aca="false">BB116-BK116</f>
        <v>690</v>
      </c>
      <c r="BM116" s="30" t="n">
        <f aca="false">BH116+BI116-BJ116-BK116</f>
        <v>0</v>
      </c>
      <c r="BN116" s="30" t="n">
        <f aca="false">BQ115</f>
        <v>0</v>
      </c>
      <c r="BO116" s="30" t="n">
        <f aca="false">BN116*$BH$5/12</f>
        <v>0</v>
      </c>
      <c r="BP116" s="30" t="n">
        <f aca="false">MIN($BH$6,BN116+BO116)</f>
        <v>0</v>
      </c>
      <c r="BQ116" s="30" t="n">
        <f aca="false">BN116+BO116-BP116</f>
        <v>0</v>
      </c>
      <c r="BR116" s="30" t="n">
        <f aca="false">BW115</f>
        <v>0</v>
      </c>
      <c r="BS116" s="30" t="n">
        <f aca="false">BR116*$BR$5/12</f>
        <v>0</v>
      </c>
      <c r="BT116" s="30" t="n">
        <f aca="false">MIN($BR$6,BR116+BS116)</f>
        <v>0</v>
      </c>
      <c r="BU116" s="30" t="n">
        <f aca="false">MAX(0,MIN(BL116,BR116+BS116-BT116))</f>
        <v>0</v>
      </c>
      <c r="BV116" s="29" t="n">
        <f aca="false">BL116-BU116</f>
        <v>690</v>
      </c>
      <c r="BW116" s="30" t="n">
        <f aca="false">BR116+BS116-BT116-BU116</f>
        <v>0</v>
      </c>
      <c r="BX116" s="30" t="n">
        <f aca="false">CA115</f>
        <v>0</v>
      </c>
      <c r="BY116" s="30" t="n">
        <f aca="false">BX116*$BR$5/12</f>
        <v>0</v>
      </c>
      <c r="BZ116" s="30" t="n">
        <f aca="false">MIN($BR$6,BX116+BY116)</f>
        <v>0</v>
      </c>
      <c r="CA116" s="30" t="n">
        <f aca="false">BX116+BY116-BZ116</f>
        <v>0</v>
      </c>
      <c r="CB116" s="30" t="n">
        <f aca="false">CG115</f>
        <v>0</v>
      </c>
      <c r="CC116" s="30" t="n">
        <f aca="false">CB116*$CB$5/12</f>
        <v>0</v>
      </c>
      <c r="CD116" s="30" t="n">
        <f aca="false">MIN($CB$6,CB116+CC116)</f>
        <v>0</v>
      </c>
      <c r="CE116" s="30" t="n">
        <f aca="false">MAX(0,MIN(BV116,CB116+CC116-CD116))</f>
        <v>0</v>
      </c>
      <c r="CF116" s="29" t="n">
        <f aca="false">BV116-CE116</f>
        <v>690</v>
      </c>
      <c r="CG116" s="30" t="n">
        <f aca="false">CB116+CC116-CD116-CE116</f>
        <v>0</v>
      </c>
      <c r="CH116" s="30" t="n">
        <f aca="false">CK115</f>
        <v>0</v>
      </c>
      <c r="CI116" s="30" t="n">
        <f aca="false">CH116*$CB$5/12</f>
        <v>0</v>
      </c>
      <c r="CJ116" s="30" t="n">
        <f aca="false">MIN($CB$6,CH116+CI116)</f>
        <v>0</v>
      </c>
      <c r="CK116" s="30" t="n">
        <f aca="false">CH116+CI116-CJ116</f>
        <v>0</v>
      </c>
    </row>
    <row r="117" customFormat="false" ht="15" hidden="false" customHeight="false" outlineLevel="0" collapsed="false">
      <c r="A117" s="0" t="n">
        <v>109</v>
      </c>
      <c r="B117" s="29" t="n">
        <f aca="false">'1 Your debts'!$B$16-(L117+V117+AF117+AP117+AZ117+BJ117+BT117+CD117)</f>
        <v>690</v>
      </c>
      <c r="C117" s="34" t="n">
        <f aca="false">O117+Y117+AI117+AS117+BC117+BM117+BW117+CG117</f>
        <v>0</v>
      </c>
      <c r="D117" s="34" t="n">
        <f aca="false">K117+U117+AE117+AO117+AY117+BI117+BS117+CC117</f>
        <v>0</v>
      </c>
      <c r="F117" s="34" t="n">
        <f aca="false">S117+AC117+AM117+AW117+BG117+BQ117+CA117+CK117</f>
        <v>1426.5632833304</v>
      </c>
      <c r="G117" s="34" t="n">
        <f aca="false">Q117+AA117+AK117+AU117+BE117+BO117+BY117+CI117</f>
        <v>7.10169892850866</v>
      </c>
      <c r="J117" s="34" t="n">
        <f aca="false">O116</f>
        <v>0</v>
      </c>
      <c r="K117" s="34" t="n">
        <f aca="false">J117*$J$5/12</f>
        <v>0</v>
      </c>
      <c r="L117" s="29" t="n">
        <f aca="false">MIN($J$6,J117+K117)</f>
        <v>0</v>
      </c>
      <c r="M117" s="30" t="n">
        <f aca="false">MAX(0,MIN($B117,J117+K117-L117))</f>
        <v>0</v>
      </c>
      <c r="N117" s="29" t="n">
        <f aca="false">$B117-M117</f>
        <v>690</v>
      </c>
      <c r="O117" s="34" t="n">
        <f aca="false">J117+K117-L117-M117</f>
        <v>0</v>
      </c>
      <c r="P117" s="34" t="n">
        <f aca="false">S116</f>
        <v>0</v>
      </c>
      <c r="Q117" s="34" t="n">
        <f aca="false">P117*$J$5/12</f>
        <v>0</v>
      </c>
      <c r="R117" s="29" t="n">
        <f aca="false">MIN($J$6,P117+Q117)</f>
        <v>0</v>
      </c>
      <c r="S117" s="34" t="n">
        <f aca="false">P117+Q117-R117</f>
        <v>0</v>
      </c>
      <c r="T117" s="34" t="n">
        <f aca="false">Y116</f>
        <v>0</v>
      </c>
      <c r="U117" s="34" t="n">
        <f aca="false">T117*$T$5/12</f>
        <v>0</v>
      </c>
      <c r="V117" s="29" t="n">
        <f aca="false">MIN($T$6,T117+U117)</f>
        <v>0</v>
      </c>
      <c r="W117" s="30" t="n">
        <f aca="false">MAX(0,MIN(N117,T117+U117-V117))</f>
        <v>0</v>
      </c>
      <c r="X117" s="29" t="n">
        <f aca="false">N117-W117</f>
        <v>690</v>
      </c>
      <c r="Y117" s="34" t="n">
        <f aca="false">T117+U117-V117-W117</f>
        <v>0</v>
      </c>
      <c r="Z117" s="34" t="n">
        <f aca="false">AC116</f>
        <v>0</v>
      </c>
      <c r="AA117" s="34" t="n">
        <f aca="false">Z117*$T$5/12</f>
        <v>0</v>
      </c>
      <c r="AB117" s="29" t="n">
        <f aca="false">MIN($T$6,Z117+AA117)</f>
        <v>0</v>
      </c>
      <c r="AC117" s="34" t="n">
        <f aca="false">Z117+AA117-AB117</f>
        <v>0</v>
      </c>
      <c r="AD117" s="34" t="n">
        <f aca="false">AI116</f>
        <v>0</v>
      </c>
      <c r="AE117" s="34" t="n">
        <f aca="false">AD117*$AD$5/12</f>
        <v>0</v>
      </c>
      <c r="AF117" s="29" t="n">
        <f aca="false">MIN($AD$6,AD117+AE117)</f>
        <v>0</v>
      </c>
      <c r="AG117" s="30" t="n">
        <f aca="false">MAX(0,MIN(X117,AD117+AE117-AF117))</f>
        <v>0</v>
      </c>
      <c r="AH117" s="29" t="n">
        <f aca="false">X117-AG117</f>
        <v>690</v>
      </c>
      <c r="AI117" s="34" t="n">
        <f aca="false">AD117+AE117-AF117-AG117</f>
        <v>0</v>
      </c>
      <c r="AJ117" s="34" t="n">
        <f aca="false">AM116</f>
        <v>0</v>
      </c>
      <c r="AK117" s="34" t="n">
        <f aca="false">AJ117*$AD$5/12</f>
        <v>0</v>
      </c>
      <c r="AL117" s="29" t="n">
        <f aca="false">MIN($AD$6,AJ117+AK117)</f>
        <v>0</v>
      </c>
      <c r="AM117" s="34" t="n">
        <f aca="false">AJ117+AK117-AL117</f>
        <v>0</v>
      </c>
      <c r="AN117" s="34" t="n">
        <f aca="false">AS116</f>
        <v>0</v>
      </c>
      <c r="AO117" s="34" t="n">
        <f aca="false">AN117*$AN$5/12</f>
        <v>0</v>
      </c>
      <c r="AP117" s="29" t="n">
        <f aca="false">MIN($AN$6,AN117+AO117)</f>
        <v>0</v>
      </c>
      <c r="AQ117" s="30" t="n">
        <f aca="false">MAX(0,MIN(AH117,AN117+AO117-AP117))</f>
        <v>0</v>
      </c>
      <c r="AR117" s="29" t="n">
        <f aca="false">AH117-AQ117</f>
        <v>690</v>
      </c>
      <c r="AS117" s="34" t="n">
        <f aca="false">AN117+AO117-AP117-AQ117</f>
        <v>0</v>
      </c>
      <c r="AT117" s="34" t="n">
        <f aca="false">AW116</f>
        <v>1549.46158440189</v>
      </c>
      <c r="AU117" s="34" t="n">
        <f aca="false">AT117*$AN$5/12</f>
        <v>7.10169892850866</v>
      </c>
      <c r="AV117" s="29" t="n">
        <f aca="false">MIN($AN$6,AT117+AU117)</f>
        <v>130</v>
      </c>
      <c r="AW117" s="34" t="n">
        <f aca="false">AT117+AU117-AV117</f>
        <v>1426.5632833304</v>
      </c>
      <c r="AX117" s="30" t="n">
        <f aca="false">BC116</f>
        <v>0</v>
      </c>
      <c r="AY117" s="30" t="n">
        <f aca="false">AX117*$AX$5/12</f>
        <v>0</v>
      </c>
      <c r="AZ117" s="30" t="n">
        <f aca="false">MIN($AX$6,AX117+AY117)</f>
        <v>0</v>
      </c>
      <c r="BA117" s="30" t="n">
        <f aca="false">MAX(0,MIN(AR117,AX117+AY117-AZ117))</f>
        <v>0</v>
      </c>
      <c r="BB117" s="29" t="n">
        <f aca="false">AR117-BA117</f>
        <v>690</v>
      </c>
      <c r="BC117" s="30" t="n">
        <f aca="false">AX117+AY117-AZ117-BA117</f>
        <v>0</v>
      </c>
      <c r="BD117" s="30" t="n">
        <f aca="false">BG116</f>
        <v>0</v>
      </c>
      <c r="BE117" s="30" t="n">
        <f aca="false">BD117*$AX$5/12</f>
        <v>0</v>
      </c>
      <c r="BF117" s="30" t="n">
        <f aca="false">MIN($AX$6,BD117+BE117)</f>
        <v>0</v>
      </c>
      <c r="BG117" s="30" t="n">
        <f aca="false">BD117+BE117-BF117</f>
        <v>0</v>
      </c>
      <c r="BH117" s="30" t="n">
        <f aca="false">BM116</f>
        <v>0</v>
      </c>
      <c r="BI117" s="30" t="n">
        <f aca="false">BH117*$BH$5/12</f>
        <v>0</v>
      </c>
      <c r="BJ117" s="30" t="n">
        <f aca="false">MIN($BH$6,BH117+BI117)</f>
        <v>0</v>
      </c>
      <c r="BK117" s="30" t="n">
        <f aca="false">MAX(0,MIN(BB117,BH117+BI117-BJ117))</f>
        <v>0</v>
      </c>
      <c r="BL117" s="29" t="n">
        <f aca="false">BB117-BK117</f>
        <v>690</v>
      </c>
      <c r="BM117" s="30" t="n">
        <f aca="false">BH117+BI117-BJ117-BK117</f>
        <v>0</v>
      </c>
      <c r="BN117" s="30" t="n">
        <f aca="false">BQ116</f>
        <v>0</v>
      </c>
      <c r="BO117" s="30" t="n">
        <f aca="false">BN117*$BH$5/12</f>
        <v>0</v>
      </c>
      <c r="BP117" s="30" t="n">
        <f aca="false">MIN($BH$6,BN117+BO117)</f>
        <v>0</v>
      </c>
      <c r="BQ117" s="30" t="n">
        <f aca="false">BN117+BO117-BP117</f>
        <v>0</v>
      </c>
      <c r="BR117" s="30" t="n">
        <f aca="false">BW116</f>
        <v>0</v>
      </c>
      <c r="BS117" s="30" t="n">
        <f aca="false">BR117*$BR$5/12</f>
        <v>0</v>
      </c>
      <c r="BT117" s="30" t="n">
        <f aca="false">MIN($BR$6,BR117+BS117)</f>
        <v>0</v>
      </c>
      <c r="BU117" s="30" t="n">
        <f aca="false">MAX(0,MIN(BL117,BR117+BS117-BT117))</f>
        <v>0</v>
      </c>
      <c r="BV117" s="29" t="n">
        <f aca="false">BL117-BU117</f>
        <v>690</v>
      </c>
      <c r="BW117" s="30" t="n">
        <f aca="false">BR117+BS117-BT117-BU117</f>
        <v>0</v>
      </c>
      <c r="BX117" s="30" t="n">
        <f aca="false">CA116</f>
        <v>0</v>
      </c>
      <c r="BY117" s="30" t="n">
        <f aca="false">BX117*$BR$5/12</f>
        <v>0</v>
      </c>
      <c r="BZ117" s="30" t="n">
        <f aca="false">MIN($BR$6,BX117+BY117)</f>
        <v>0</v>
      </c>
      <c r="CA117" s="30" t="n">
        <f aca="false">BX117+BY117-BZ117</f>
        <v>0</v>
      </c>
      <c r="CB117" s="30" t="n">
        <f aca="false">CG116</f>
        <v>0</v>
      </c>
      <c r="CC117" s="30" t="n">
        <f aca="false">CB117*$CB$5/12</f>
        <v>0</v>
      </c>
      <c r="CD117" s="30" t="n">
        <f aca="false">MIN($CB$6,CB117+CC117)</f>
        <v>0</v>
      </c>
      <c r="CE117" s="30" t="n">
        <f aca="false">MAX(0,MIN(BV117,CB117+CC117-CD117))</f>
        <v>0</v>
      </c>
      <c r="CF117" s="29" t="n">
        <f aca="false">BV117-CE117</f>
        <v>690</v>
      </c>
      <c r="CG117" s="30" t="n">
        <f aca="false">CB117+CC117-CD117-CE117</f>
        <v>0</v>
      </c>
      <c r="CH117" s="30" t="n">
        <f aca="false">CK116</f>
        <v>0</v>
      </c>
      <c r="CI117" s="30" t="n">
        <f aca="false">CH117*$CB$5/12</f>
        <v>0</v>
      </c>
      <c r="CJ117" s="30" t="n">
        <f aca="false">MIN($CB$6,CH117+CI117)</f>
        <v>0</v>
      </c>
      <c r="CK117" s="30" t="n">
        <f aca="false">CH117+CI117-CJ117</f>
        <v>0</v>
      </c>
    </row>
    <row r="118" customFormat="false" ht="15" hidden="false" customHeight="false" outlineLevel="0" collapsed="false">
      <c r="A118" s="0" t="n">
        <v>110</v>
      </c>
      <c r="B118" s="29" t="n">
        <f aca="false">'1 Your debts'!$B$16-(L118+V118+AF118+AP118+AZ118+BJ118+BT118+CD118)</f>
        <v>690</v>
      </c>
      <c r="C118" s="34" t="n">
        <f aca="false">O118+Y118+AI118+AS118+BC118+BM118+BW118+CG118</f>
        <v>0</v>
      </c>
      <c r="D118" s="34" t="n">
        <f aca="false">K118+U118+AE118+AO118+AY118+BI118+BS118+CC118</f>
        <v>0</v>
      </c>
      <c r="F118" s="34" t="n">
        <f aca="false">S118+AC118+AM118+AW118+BG118+BQ118+CA118+CK118</f>
        <v>1303.101698379</v>
      </c>
      <c r="G118" s="34" t="n">
        <f aca="false">Q118+AA118+AK118+AU118+BE118+BO118+BY118+CI118</f>
        <v>6.53841504859766</v>
      </c>
      <c r="J118" s="34" t="n">
        <f aca="false">O117</f>
        <v>0</v>
      </c>
      <c r="K118" s="34" t="n">
        <f aca="false">J118*$J$5/12</f>
        <v>0</v>
      </c>
      <c r="L118" s="29" t="n">
        <f aca="false">MIN($J$6,J118+K118)</f>
        <v>0</v>
      </c>
      <c r="M118" s="30" t="n">
        <f aca="false">MAX(0,MIN($B118,J118+K118-L118))</f>
        <v>0</v>
      </c>
      <c r="N118" s="29" t="n">
        <f aca="false">$B118-M118</f>
        <v>690</v>
      </c>
      <c r="O118" s="34" t="n">
        <f aca="false">J118+K118-L118-M118</f>
        <v>0</v>
      </c>
      <c r="P118" s="34" t="n">
        <f aca="false">S117</f>
        <v>0</v>
      </c>
      <c r="Q118" s="34" t="n">
        <f aca="false">P118*$J$5/12</f>
        <v>0</v>
      </c>
      <c r="R118" s="29" t="n">
        <f aca="false">MIN($J$6,P118+Q118)</f>
        <v>0</v>
      </c>
      <c r="S118" s="34" t="n">
        <f aca="false">P118+Q118-R118</f>
        <v>0</v>
      </c>
      <c r="T118" s="34" t="n">
        <f aca="false">Y117</f>
        <v>0</v>
      </c>
      <c r="U118" s="34" t="n">
        <f aca="false">T118*$T$5/12</f>
        <v>0</v>
      </c>
      <c r="V118" s="29" t="n">
        <f aca="false">MIN($T$6,T118+U118)</f>
        <v>0</v>
      </c>
      <c r="W118" s="30" t="n">
        <f aca="false">MAX(0,MIN(N118,T118+U118-V118))</f>
        <v>0</v>
      </c>
      <c r="X118" s="29" t="n">
        <f aca="false">N118-W118</f>
        <v>690</v>
      </c>
      <c r="Y118" s="34" t="n">
        <f aca="false">T118+U118-V118-W118</f>
        <v>0</v>
      </c>
      <c r="Z118" s="34" t="n">
        <f aca="false">AC117</f>
        <v>0</v>
      </c>
      <c r="AA118" s="34" t="n">
        <f aca="false">Z118*$T$5/12</f>
        <v>0</v>
      </c>
      <c r="AB118" s="29" t="n">
        <f aca="false">MIN($T$6,Z118+AA118)</f>
        <v>0</v>
      </c>
      <c r="AC118" s="34" t="n">
        <f aca="false">Z118+AA118-AB118</f>
        <v>0</v>
      </c>
      <c r="AD118" s="34" t="n">
        <f aca="false">AI117</f>
        <v>0</v>
      </c>
      <c r="AE118" s="34" t="n">
        <f aca="false">AD118*$AD$5/12</f>
        <v>0</v>
      </c>
      <c r="AF118" s="29" t="n">
        <f aca="false">MIN($AD$6,AD118+AE118)</f>
        <v>0</v>
      </c>
      <c r="AG118" s="30" t="n">
        <f aca="false">MAX(0,MIN(X118,AD118+AE118-AF118))</f>
        <v>0</v>
      </c>
      <c r="AH118" s="29" t="n">
        <f aca="false">X118-AG118</f>
        <v>690</v>
      </c>
      <c r="AI118" s="34" t="n">
        <f aca="false">AD118+AE118-AF118-AG118</f>
        <v>0</v>
      </c>
      <c r="AJ118" s="34" t="n">
        <f aca="false">AM117</f>
        <v>0</v>
      </c>
      <c r="AK118" s="34" t="n">
        <f aca="false">AJ118*$AD$5/12</f>
        <v>0</v>
      </c>
      <c r="AL118" s="29" t="n">
        <f aca="false">MIN($AD$6,AJ118+AK118)</f>
        <v>0</v>
      </c>
      <c r="AM118" s="34" t="n">
        <f aca="false">AJ118+AK118-AL118</f>
        <v>0</v>
      </c>
      <c r="AN118" s="34" t="n">
        <f aca="false">AS117</f>
        <v>0</v>
      </c>
      <c r="AO118" s="34" t="n">
        <f aca="false">AN118*$AN$5/12</f>
        <v>0</v>
      </c>
      <c r="AP118" s="29" t="n">
        <f aca="false">MIN($AN$6,AN118+AO118)</f>
        <v>0</v>
      </c>
      <c r="AQ118" s="30" t="n">
        <f aca="false">MAX(0,MIN(AH118,AN118+AO118-AP118))</f>
        <v>0</v>
      </c>
      <c r="AR118" s="29" t="n">
        <f aca="false">AH118-AQ118</f>
        <v>690</v>
      </c>
      <c r="AS118" s="34" t="n">
        <f aca="false">AN118+AO118-AP118-AQ118</f>
        <v>0</v>
      </c>
      <c r="AT118" s="34" t="n">
        <f aca="false">AW117</f>
        <v>1426.5632833304</v>
      </c>
      <c r="AU118" s="34" t="n">
        <f aca="false">AT118*$AN$5/12</f>
        <v>6.53841504859766</v>
      </c>
      <c r="AV118" s="29" t="n">
        <f aca="false">MIN($AN$6,AT118+AU118)</f>
        <v>130</v>
      </c>
      <c r="AW118" s="34" t="n">
        <f aca="false">AT118+AU118-AV118</f>
        <v>1303.101698379</v>
      </c>
      <c r="AX118" s="30" t="n">
        <f aca="false">BC117</f>
        <v>0</v>
      </c>
      <c r="AY118" s="30" t="n">
        <f aca="false">AX118*$AX$5/12</f>
        <v>0</v>
      </c>
      <c r="AZ118" s="30" t="n">
        <f aca="false">MIN($AX$6,AX118+AY118)</f>
        <v>0</v>
      </c>
      <c r="BA118" s="30" t="n">
        <f aca="false">MAX(0,MIN(AR118,AX118+AY118-AZ118))</f>
        <v>0</v>
      </c>
      <c r="BB118" s="29" t="n">
        <f aca="false">AR118-BA118</f>
        <v>690</v>
      </c>
      <c r="BC118" s="30" t="n">
        <f aca="false">AX118+AY118-AZ118-BA118</f>
        <v>0</v>
      </c>
      <c r="BD118" s="30" t="n">
        <f aca="false">BG117</f>
        <v>0</v>
      </c>
      <c r="BE118" s="30" t="n">
        <f aca="false">BD118*$AX$5/12</f>
        <v>0</v>
      </c>
      <c r="BF118" s="30" t="n">
        <f aca="false">MIN($AX$6,BD118+BE118)</f>
        <v>0</v>
      </c>
      <c r="BG118" s="30" t="n">
        <f aca="false">BD118+BE118-BF118</f>
        <v>0</v>
      </c>
      <c r="BH118" s="30" t="n">
        <f aca="false">BM117</f>
        <v>0</v>
      </c>
      <c r="BI118" s="30" t="n">
        <f aca="false">BH118*$BH$5/12</f>
        <v>0</v>
      </c>
      <c r="BJ118" s="30" t="n">
        <f aca="false">MIN($BH$6,BH118+BI118)</f>
        <v>0</v>
      </c>
      <c r="BK118" s="30" t="n">
        <f aca="false">MAX(0,MIN(BB118,BH118+BI118-BJ118))</f>
        <v>0</v>
      </c>
      <c r="BL118" s="29" t="n">
        <f aca="false">BB118-BK118</f>
        <v>690</v>
      </c>
      <c r="BM118" s="30" t="n">
        <f aca="false">BH118+BI118-BJ118-BK118</f>
        <v>0</v>
      </c>
      <c r="BN118" s="30" t="n">
        <f aca="false">BQ117</f>
        <v>0</v>
      </c>
      <c r="BO118" s="30" t="n">
        <f aca="false">BN118*$BH$5/12</f>
        <v>0</v>
      </c>
      <c r="BP118" s="30" t="n">
        <f aca="false">MIN($BH$6,BN118+BO118)</f>
        <v>0</v>
      </c>
      <c r="BQ118" s="30" t="n">
        <f aca="false">BN118+BO118-BP118</f>
        <v>0</v>
      </c>
      <c r="BR118" s="30" t="n">
        <f aca="false">BW117</f>
        <v>0</v>
      </c>
      <c r="BS118" s="30" t="n">
        <f aca="false">BR118*$BR$5/12</f>
        <v>0</v>
      </c>
      <c r="BT118" s="30" t="n">
        <f aca="false">MIN($BR$6,BR118+BS118)</f>
        <v>0</v>
      </c>
      <c r="BU118" s="30" t="n">
        <f aca="false">MAX(0,MIN(BL118,BR118+BS118-BT118))</f>
        <v>0</v>
      </c>
      <c r="BV118" s="29" t="n">
        <f aca="false">BL118-BU118</f>
        <v>690</v>
      </c>
      <c r="BW118" s="30" t="n">
        <f aca="false">BR118+BS118-BT118-BU118</f>
        <v>0</v>
      </c>
      <c r="BX118" s="30" t="n">
        <f aca="false">CA117</f>
        <v>0</v>
      </c>
      <c r="BY118" s="30" t="n">
        <f aca="false">BX118*$BR$5/12</f>
        <v>0</v>
      </c>
      <c r="BZ118" s="30" t="n">
        <f aca="false">MIN($BR$6,BX118+BY118)</f>
        <v>0</v>
      </c>
      <c r="CA118" s="30" t="n">
        <f aca="false">BX118+BY118-BZ118</f>
        <v>0</v>
      </c>
      <c r="CB118" s="30" t="n">
        <f aca="false">CG117</f>
        <v>0</v>
      </c>
      <c r="CC118" s="30" t="n">
        <f aca="false">CB118*$CB$5/12</f>
        <v>0</v>
      </c>
      <c r="CD118" s="30" t="n">
        <f aca="false">MIN($CB$6,CB118+CC118)</f>
        <v>0</v>
      </c>
      <c r="CE118" s="30" t="n">
        <f aca="false">MAX(0,MIN(BV118,CB118+CC118-CD118))</f>
        <v>0</v>
      </c>
      <c r="CF118" s="29" t="n">
        <f aca="false">BV118-CE118</f>
        <v>690</v>
      </c>
      <c r="CG118" s="30" t="n">
        <f aca="false">CB118+CC118-CD118-CE118</f>
        <v>0</v>
      </c>
      <c r="CH118" s="30" t="n">
        <f aca="false">CK117</f>
        <v>0</v>
      </c>
      <c r="CI118" s="30" t="n">
        <f aca="false">CH118*$CB$5/12</f>
        <v>0</v>
      </c>
      <c r="CJ118" s="30" t="n">
        <f aca="false">MIN($CB$6,CH118+CI118)</f>
        <v>0</v>
      </c>
      <c r="CK118" s="30" t="n">
        <f aca="false">CH118+CI118-CJ118</f>
        <v>0</v>
      </c>
    </row>
    <row r="119" customFormat="false" ht="15" hidden="false" customHeight="false" outlineLevel="0" collapsed="false">
      <c r="A119" s="0" t="n">
        <v>111</v>
      </c>
      <c r="B119" s="29" t="n">
        <f aca="false">'1 Your debts'!$B$16-(L119+V119+AF119+AP119+AZ119+BJ119+BT119+CD119)</f>
        <v>690</v>
      </c>
      <c r="C119" s="34" t="n">
        <f aca="false">O119+Y119+AI119+AS119+BC119+BM119+BW119+CG119</f>
        <v>0</v>
      </c>
      <c r="D119" s="34" t="n">
        <f aca="false">K119+U119+AE119+AO119+AY119+BI119+BS119+CC119</f>
        <v>0</v>
      </c>
      <c r="F119" s="34" t="n">
        <f aca="false">S119+AC119+AM119+AW119+BG119+BQ119+CA119+CK119</f>
        <v>1179.0742478299</v>
      </c>
      <c r="G119" s="34" t="n">
        <f aca="false">Q119+AA119+AK119+AU119+BE119+BO119+BY119+CI119</f>
        <v>5.97254945090373</v>
      </c>
      <c r="J119" s="34" t="n">
        <f aca="false">O118</f>
        <v>0</v>
      </c>
      <c r="K119" s="34" t="n">
        <f aca="false">J119*$J$5/12</f>
        <v>0</v>
      </c>
      <c r="L119" s="29" t="n">
        <f aca="false">MIN($J$6,J119+K119)</f>
        <v>0</v>
      </c>
      <c r="M119" s="30" t="n">
        <f aca="false">MAX(0,MIN($B119,J119+K119-L119))</f>
        <v>0</v>
      </c>
      <c r="N119" s="29" t="n">
        <f aca="false">$B119-M119</f>
        <v>690</v>
      </c>
      <c r="O119" s="34" t="n">
        <f aca="false">J119+K119-L119-M119</f>
        <v>0</v>
      </c>
      <c r="P119" s="34" t="n">
        <f aca="false">S118</f>
        <v>0</v>
      </c>
      <c r="Q119" s="34" t="n">
        <f aca="false">P119*$J$5/12</f>
        <v>0</v>
      </c>
      <c r="R119" s="29" t="n">
        <f aca="false">MIN($J$6,P119+Q119)</f>
        <v>0</v>
      </c>
      <c r="S119" s="34" t="n">
        <f aca="false">P119+Q119-R119</f>
        <v>0</v>
      </c>
      <c r="T119" s="34" t="n">
        <f aca="false">Y118</f>
        <v>0</v>
      </c>
      <c r="U119" s="34" t="n">
        <f aca="false">T119*$T$5/12</f>
        <v>0</v>
      </c>
      <c r="V119" s="29" t="n">
        <f aca="false">MIN($T$6,T119+U119)</f>
        <v>0</v>
      </c>
      <c r="W119" s="30" t="n">
        <f aca="false">MAX(0,MIN(N119,T119+U119-V119))</f>
        <v>0</v>
      </c>
      <c r="X119" s="29" t="n">
        <f aca="false">N119-W119</f>
        <v>690</v>
      </c>
      <c r="Y119" s="34" t="n">
        <f aca="false">T119+U119-V119-W119</f>
        <v>0</v>
      </c>
      <c r="Z119" s="34" t="n">
        <f aca="false">AC118</f>
        <v>0</v>
      </c>
      <c r="AA119" s="34" t="n">
        <f aca="false">Z119*$T$5/12</f>
        <v>0</v>
      </c>
      <c r="AB119" s="29" t="n">
        <f aca="false">MIN($T$6,Z119+AA119)</f>
        <v>0</v>
      </c>
      <c r="AC119" s="34" t="n">
        <f aca="false">Z119+AA119-AB119</f>
        <v>0</v>
      </c>
      <c r="AD119" s="34" t="n">
        <f aca="false">AI118</f>
        <v>0</v>
      </c>
      <c r="AE119" s="34" t="n">
        <f aca="false">AD119*$AD$5/12</f>
        <v>0</v>
      </c>
      <c r="AF119" s="29" t="n">
        <f aca="false">MIN($AD$6,AD119+AE119)</f>
        <v>0</v>
      </c>
      <c r="AG119" s="30" t="n">
        <f aca="false">MAX(0,MIN(X119,AD119+AE119-AF119))</f>
        <v>0</v>
      </c>
      <c r="AH119" s="29" t="n">
        <f aca="false">X119-AG119</f>
        <v>690</v>
      </c>
      <c r="AI119" s="34" t="n">
        <f aca="false">AD119+AE119-AF119-AG119</f>
        <v>0</v>
      </c>
      <c r="AJ119" s="34" t="n">
        <f aca="false">AM118</f>
        <v>0</v>
      </c>
      <c r="AK119" s="34" t="n">
        <f aca="false">AJ119*$AD$5/12</f>
        <v>0</v>
      </c>
      <c r="AL119" s="29" t="n">
        <f aca="false">MIN($AD$6,AJ119+AK119)</f>
        <v>0</v>
      </c>
      <c r="AM119" s="34" t="n">
        <f aca="false">AJ119+AK119-AL119</f>
        <v>0</v>
      </c>
      <c r="AN119" s="34" t="n">
        <f aca="false">AS118</f>
        <v>0</v>
      </c>
      <c r="AO119" s="34" t="n">
        <f aca="false">AN119*$AN$5/12</f>
        <v>0</v>
      </c>
      <c r="AP119" s="29" t="n">
        <f aca="false">MIN($AN$6,AN119+AO119)</f>
        <v>0</v>
      </c>
      <c r="AQ119" s="30" t="n">
        <f aca="false">MAX(0,MIN(AH119,AN119+AO119-AP119))</f>
        <v>0</v>
      </c>
      <c r="AR119" s="29" t="n">
        <f aca="false">AH119-AQ119</f>
        <v>690</v>
      </c>
      <c r="AS119" s="34" t="n">
        <f aca="false">AN119+AO119-AP119-AQ119</f>
        <v>0</v>
      </c>
      <c r="AT119" s="34" t="n">
        <f aca="false">AW118</f>
        <v>1303.101698379</v>
      </c>
      <c r="AU119" s="34" t="n">
        <f aca="false">AT119*$AN$5/12</f>
        <v>5.97254945090373</v>
      </c>
      <c r="AV119" s="29" t="n">
        <f aca="false">MIN($AN$6,AT119+AU119)</f>
        <v>130</v>
      </c>
      <c r="AW119" s="34" t="n">
        <f aca="false">AT119+AU119-AV119</f>
        <v>1179.0742478299</v>
      </c>
      <c r="AX119" s="30" t="n">
        <f aca="false">BC118</f>
        <v>0</v>
      </c>
      <c r="AY119" s="30" t="n">
        <f aca="false">AX119*$AX$5/12</f>
        <v>0</v>
      </c>
      <c r="AZ119" s="30" t="n">
        <f aca="false">MIN($AX$6,AX119+AY119)</f>
        <v>0</v>
      </c>
      <c r="BA119" s="30" t="n">
        <f aca="false">MAX(0,MIN(AR119,AX119+AY119-AZ119))</f>
        <v>0</v>
      </c>
      <c r="BB119" s="29" t="n">
        <f aca="false">AR119-BA119</f>
        <v>690</v>
      </c>
      <c r="BC119" s="30" t="n">
        <f aca="false">AX119+AY119-AZ119-BA119</f>
        <v>0</v>
      </c>
      <c r="BD119" s="30" t="n">
        <f aca="false">BG118</f>
        <v>0</v>
      </c>
      <c r="BE119" s="30" t="n">
        <f aca="false">BD119*$AX$5/12</f>
        <v>0</v>
      </c>
      <c r="BF119" s="30" t="n">
        <f aca="false">MIN($AX$6,BD119+BE119)</f>
        <v>0</v>
      </c>
      <c r="BG119" s="30" t="n">
        <f aca="false">BD119+BE119-BF119</f>
        <v>0</v>
      </c>
      <c r="BH119" s="30" t="n">
        <f aca="false">BM118</f>
        <v>0</v>
      </c>
      <c r="BI119" s="30" t="n">
        <f aca="false">BH119*$BH$5/12</f>
        <v>0</v>
      </c>
      <c r="BJ119" s="30" t="n">
        <f aca="false">MIN($BH$6,BH119+BI119)</f>
        <v>0</v>
      </c>
      <c r="BK119" s="30" t="n">
        <f aca="false">MAX(0,MIN(BB119,BH119+BI119-BJ119))</f>
        <v>0</v>
      </c>
      <c r="BL119" s="29" t="n">
        <f aca="false">BB119-BK119</f>
        <v>690</v>
      </c>
      <c r="BM119" s="30" t="n">
        <f aca="false">BH119+BI119-BJ119-BK119</f>
        <v>0</v>
      </c>
      <c r="BN119" s="30" t="n">
        <f aca="false">BQ118</f>
        <v>0</v>
      </c>
      <c r="BO119" s="30" t="n">
        <f aca="false">BN119*$BH$5/12</f>
        <v>0</v>
      </c>
      <c r="BP119" s="30" t="n">
        <f aca="false">MIN($BH$6,BN119+BO119)</f>
        <v>0</v>
      </c>
      <c r="BQ119" s="30" t="n">
        <f aca="false">BN119+BO119-BP119</f>
        <v>0</v>
      </c>
      <c r="BR119" s="30" t="n">
        <f aca="false">BW118</f>
        <v>0</v>
      </c>
      <c r="BS119" s="30" t="n">
        <f aca="false">BR119*$BR$5/12</f>
        <v>0</v>
      </c>
      <c r="BT119" s="30" t="n">
        <f aca="false">MIN($BR$6,BR119+BS119)</f>
        <v>0</v>
      </c>
      <c r="BU119" s="30" t="n">
        <f aca="false">MAX(0,MIN(BL119,BR119+BS119-BT119))</f>
        <v>0</v>
      </c>
      <c r="BV119" s="29" t="n">
        <f aca="false">BL119-BU119</f>
        <v>690</v>
      </c>
      <c r="BW119" s="30" t="n">
        <f aca="false">BR119+BS119-BT119-BU119</f>
        <v>0</v>
      </c>
      <c r="BX119" s="30" t="n">
        <f aca="false">CA118</f>
        <v>0</v>
      </c>
      <c r="BY119" s="30" t="n">
        <f aca="false">BX119*$BR$5/12</f>
        <v>0</v>
      </c>
      <c r="BZ119" s="30" t="n">
        <f aca="false">MIN($BR$6,BX119+BY119)</f>
        <v>0</v>
      </c>
      <c r="CA119" s="30" t="n">
        <f aca="false">BX119+BY119-BZ119</f>
        <v>0</v>
      </c>
      <c r="CB119" s="30" t="n">
        <f aca="false">CG118</f>
        <v>0</v>
      </c>
      <c r="CC119" s="30" t="n">
        <f aca="false">CB119*$CB$5/12</f>
        <v>0</v>
      </c>
      <c r="CD119" s="30" t="n">
        <f aca="false">MIN($CB$6,CB119+CC119)</f>
        <v>0</v>
      </c>
      <c r="CE119" s="30" t="n">
        <f aca="false">MAX(0,MIN(BV119,CB119+CC119-CD119))</f>
        <v>0</v>
      </c>
      <c r="CF119" s="29" t="n">
        <f aca="false">BV119-CE119</f>
        <v>690</v>
      </c>
      <c r="CG119" s="30" t="n">
        <f aca="false">CB119+CC119-CD119-CE119</f>
        <v>0</v>
      </c>
      <c r="CH119" s="30" t="n">
        <f aca="false">CK118</f>
        <v>0</v>
      </c>
      <c r="CI119" s="30" t="n">
        <f aca="false">CH119*$CB$5/12</f>
        <v>0</v>
      </c>
      <c r="CJ119" s="30" t="n">
        <f aca="false">MIN($CB$6,CH119+CI119)</f>
        <v>0</v>
      </c>
      <c r="CK119" s="30" t="n">
        <f aca="false">CH119+CI119-CJ119</f>
        <v>0</v>
      </c>
    </row>
    <row r="120" customFormat="false" ht="15" hidden="false" customHeight="false" outlineLevel="0" collapsed="false">
      <c r="A120" s="0" t="n">
        <v>112</v>
      </c>
      <c r="B120" s="29" t="n">
        <f aca="false">'1 Your debts'!$B$16-(L120+V120+AF120+AP120+AZ120+BJ120+BT120+CD120)</f>
        <v>690</v>
      </c>
      <c r="C120" s="34" t="n">
        <f aca="false">O120+Y120+AI120+AS120+BC120+BM120+BW120+CG120</f>
        <v>0</v>
      </c>
      <c r="D120" s="34" t="n">
        <f aca="false">K120+U120+AE120+AO120+AY120+BI120+BS120+CC120</f>
        <v>0</v>
      </c>
      <c r="F120" s="34" t="n">
        <f aca="false">S120+AC120+AM120+AW120+BG120+BQ120+CA120+CK120</f>
        <v>1054.47833813245</v>
      </c>
      <c r="G120" s="34" t="n">
        <f aca="false">Q120+AA120+AK120+AU120+BE120+BO120+BY120+CI120</f>
        <v>5.40409030255371</v>
      </c>
      <c r="J120" s="34" t="n">
        <f aca="false">O119</f>
        <v>0</v>
      </c>
      <c r="K120" s="34" t="n">
        <f aca="false">J120*$J$5/12</f>
        <v>0</v>
      </c>
      <c r="L120" s="29" t="n">
        <f aca="false">MIN($J$6,J120+K120)</f>
        <v>0</v>
      </c>
      <c r="M120" s="30" t="n">
        <f aca="false">MAX(0,MIN($B120,J120+K120-L120))</f>
        <v>0</v>
      </c>
      <c r="N120" s="29" t="n">
        <f aca="false">$B120-M120</f>
        <v>690</v>
      </c>
      <c r="O120" s="34" t="n">
        <f aca="false">J120+K120-L120-M120</f>
        <v>0</v>
      </c>
      <c r="P120" s="34" t="n">
        <f aca="false">S119</f>
        <v>0</v>
      </c>
      <c r="Q120" s="34" t="n">
        <f aca="false">P120*$J$5/12</f>
        <v>0</v>
      </c>
      <c r="R120" s="29" t="n">
        <f aca="false">MIN($J$6,P120+Q120)</f>
        <v>0</v>
      </c>
      <c r="S120" s="34" t="n">
        <f aca="false">P120+Q120-R120</f>
        <v>0</v>
      </c>
      <c r="T120" s="34" t="n">
        <f aca="false">Y119</f>
        <v>0</v>
      </c>
      <c r="U120" s="34" t="n">
        <f aca="false">T120*$T$5/12</f>
        <v>0</v>
      </c>
      <c r="V120" s="29" t="n">
        <f aca="false">MIN($T$6,T120+U120)</f>
        <v>0</v>
      </c>
      <c r="W120" s="30" t="n">
        <f aca="false">MAX(0,MIN(N120,T120+U120-V120))</f>
        <v>0</v>
      </c>
      <c r="X120" s="29" t="n">
        <f aca="false">N120-W120</f>
        <v>690</v>
      </c>
      <c r="Y120" s="34" t="n">
        <f aca="false">T120+U120-V120-W120</f>
        <v>0</v>
      </c>
      <c r="Z120" s="34" t="n">
        <f aca="false">AC119</f>
        <v>0</v>
      </c>
      <c r="AA120" s="34" t="n">
        <f aca="false">Z120*$T$5/12</f>
        <v>0</v>
      </c>
      <c r="AB120" s="29" t="n">
        <f aca="false">MIN($T$6,Z120+AA120)</f>
        <v>0</v>
      </c>
      <c r="AC120" s="34" t="n">
        <f aca="false">Z120+AA120-AB120</f>
        <v>0</v>
      </c>
      <c r="AD120" s="34" t="n">
        <f aca="false">AI119</f>
        <v>0</v>
      </c>
      <c r="AE120" s="34" t="n">
        <f aca="false">AD120*$AD$5/12</f>
        <v>0</v>
      </c>
      <c r="AF120" s="29" t="n">
        <f aca="false">MIN($AD$6,AD120+AE120)</f>
        <v>0</v>
      </c>
      <c r="AG120" s="30" t="n">
        <f aca="false">MAX(0,MIN(X120,AD120+AE120-AF120))</f>
        <v>0</v>
      </c>
      <c r="AH120" s="29" t="n">
        <f aca="false">X120-AG120</f>
        <v>690</v>
      </c>
      <c r="AI120" s="34" t="n">
        <f aca="false">AD120+AE120-AF120-AG120</f>
        <v>0</v>
      </c>
      <c r="AJ120" s="34" t="n">
        <f aca="false">AM119</f>
        <v>0</v>
      </c>
      <c r="AK120" s="34" t="n">
        <f aca="false">AJ120*$AD$5/12</f>
        <v>0</v>
      </c>
      <c r="AL120" s="29" t="n">
        <f aca="false">MIN($AD$6,AJ120+AK120)</f>
        <v>0</v>
      </c>
      <c r="AM120" s="34" t="n">
        <f aca="false">AJ120+AK120-AL120</f>
        <v>0</v>
      </c>
      <c r="AN120" s="34" t="n">
        <f aca="false">AS119</f>
        <v>0</v>
      </c>
      <c r="AO120" s="34" t="n">
        <f aca="false">AN120*$AN$5/12</f>
        <v>0</v>
      </c>
      <c r="AP120" s="29" t="n">
        <f aca="false">MIN($AN$6,AN120+AO120)</f>
        <v>0</v>
      </c>
      <c r="AQ120" s="30" t="n">
        <f aca="false">MAX(0,MIN(AH120,AN120+AO120-AP120))</f>
        <v>0</v>
      </c>
      <c r="AR120" s="29" t="n">
        <f aca="false">AH120-AQ120</f>
        <v>690</v>
      </c>
      <c r="AS120" s="34" t="n">
        <f aca="false">AN120+AO120-AP120-AQ120</f>
        <v>0</v>
      </c>
      <c r="AT120" s="34" t="n">
        <f aca="false">AW119</f>
        <v>1179.0742478299</v>
      </c>
      <c r="AU120" s="34" t="n">
        <f aca="false">AT120*$AN$5/12</f>
        <v>5.40409030255371</v>
      </c>
      <c r="AV120" s="29" t="n">
        <f aca="false">MIN($AN$6,AT120+AU120)</f>
        <v>130</v>
      </c>
      <c r="AW120" s="34" t="n">
        <f aca="false">AT120+AU120-AV120</f>
        <v>1054.47833813245</v>
      </c>
      <c r="AX120" s="30" t="n">
        <f aca="false">BC119</f>
        <v>0</v>
      </c>
      <c r="AY120" s="30" t="n">
        <f aca="false">AX120*$AX$5/12</f>
        <v>0</v>
      </c>
      <c r="AZ120" s="30" t="n">
        <f aca="false">MIN($AX$6,AX120+AY120)</f>
        <v>0</v>
      </c>
      <c r="BA120" s="30" t="n">
        <f aca="false">MAX(0,MIN(AR120,AX120+AY120-AZ120))</f>
        <v>0</v>
      </c>
      <c r="BB120" s="29" t="n">
        <f aca="false">AR120-BA120</f>
        <v>690</v>
      </c>
      <c r="BC120" s="30" t="n">
        <f aca="false">AX120+AY120-AZ120-BA120</f>
        <v>0</v>
      </c>
      <c r="BD120" s="30" t="n">
        <f aca="false">BG119</f>
        <v>0</v>
      </c>
      <c r="BE120" s="30" t="n">
        <f aca="false">BD120*$AX$5/12</f>
        <v>0</v>
      </c>
      <c r="BF120" s="30" t="n">
        <f aca="false">MIN($AX$6,BD120+BE120)</f>
        <v>0</v>
      </c>
      <c r="BG120" s="30" t="n">
        <f aca="false">BD120+BE120-BF120</f>
        <v>0</v>
      </c>
      <c r="BH120" s="30" t="n">
        <f aca="false">BM119</f>
        <v>0</v>
      </c>
      <c r="BI120" s="30" t="n">
        <f aca="false">BH120*$BH$5/12</f>
        <v>0</v>
      </c>
      <c r="BJ120" s="30" t="n">
        <f aca="false">MIN($BH$6,BH120+BI120)</f>
        <v>0</v>
      </c>
      <c r="BK120" s="30" t="n">
        <f aca="false">MAX(0,MIN(BB120,BH120+BI120-BJ120))</f>
        <v>0</v>
      </c>
      <c r="BL120" s="29" t="n">
        <f aca="false">BB120-BK120</f>
        <v>690</v>
      </c>
      <c r="BM120" s="30" t="n">
        <f aca="false">BH120+BI120-BJ120-BK120</f>
        <v>0</v>
      </c>
      <c r="BN120" s="30" t="n">
        <f aca="false">BQ119</f>
        <v>0</v>
      </c>
      <c r="BO120" s="30" t="n">
        <f aca="false">BN120*$BH$5/12</f>
        <v>0</v>
      </c>
      <c r="BP120" s="30" t="n">
        <f aca="false">MIN($BH$6,BN120+BO120)</f>
        <v>0</v>
      </c>
      <c r="BQ120" s="30" t="n">
        <f aca="false">BN120+BO120-BP120</f>
        <v>0</v>
      </c>
      <c r="BR120" s="30" t="n">
        <f aca="false">BW119</f>
        <v>0</v>
      </c>
      <c r="BS120" s="30" t="n">
        <f aca="false">BR120*$BR$5/12</f>
        <v>0</v>
      </c>
      <c r="BT120" s="30" t="n">
        <f aca="false">MIN($BR$6,BR120+BS120)</f>
        <v>0</v>
      </c>
      <c r="BU120" s="30" t="n">
        <f aca="false">MAX(0,MIN(BL120,BR120+BS120-BT120))</f>
        <v>0</v>
      </c>
      <c r="BV120" s="29" t="n">
        <f aca="false">BL120-BU120</f>
        <v>690</v>
      </c>
      <c r="BW120" s="30" t="n">
        <f aca="false">BR120+BS120-BT120-BU120</f>
        <v>0</v>
      </c>
      <c r="BX120" s="30" t="n">
        <f aca="false">CA119</f>
        <v>0</v>
      </c>
      <c r="BY120" s="30" t="n">
        <f aca="false">BX120*$BR$5/12</f>
        <v>0</v>
      </c>
      <c r="BZ120" s="30" t="n">
        <f aca="false">MIN($BR$6,BX120+BY120)</f>
        <v>0</v>
      </c>
      <c r="CA120" s="30" t="n">
        <f aca="false">BX120+BY120-BZ120</f>
        <v>0</v>
      </c>
      <c r="CB120" s="30" t="n">
        <f aca="false">CG119</f>
        <v>0</v>
      </c>
      <c r="CC120" s="30" t="n">
        <f aca="false">CB120*$CB$5/12</f>
        <v>0</v>
      </c>
      <c r="CD120" s="30" t="n">
        <f aca="false">MIN($CB$6,CB120+CC120)</f>
        <v>0</v>
      </c>
      <c r="CE120" s="30" t="n">
        <f aca="false">MAX(0,MIN(BV120,CB120+CC120-CD120))</f>
        <v>0</v>
      </c>
      <c r="CF120" s="29" t="n">
        <f aca="false">BV120-CE120</f>
        <v>690</v>
      </c>
      <c r="CG120" s="30" t="n">
        <f aca="false">CB120+CC120-CD120-CE120</f>
        <v>0</v>
      </c>
      <c r="CH120" s="30" t="n">
        <f aca="false">CK119</f>
        <v>0</v>
      </c>
      <c r="CI120" s="30" t="n">
        <f aca="false">CH120*$CB$5/12</f>
        <v>0</v>
      </c>
      <c r="CJ120" s="30" t="n">
        <f aca="false">MIN($CB$6,CH120+CI120)</f>
        <v>0</v>
      </c>
      <c r="CK120" s="30" t="n">
        <f aca="false">CH120+CI120-CJ120</f>
        <v>0</v>
      </c>
    </row>
    <row r="121" customFormat="false" ht="15" hidden="false" customHeight="false" outlineLevel="0" collapsed="false">
      <c r="A121" s="0" t="n">
        <v>113</v>
      </c>
      <c r="B121" s="29" t="n">
        <f aca="false">'1 Your debts'!$B$16-(L121+V121+AF121+AP121+AZ121+BJ121+BT121+CD121)</f>
        <v>690</v>
      </c>
      <c r="C121" s="34" t="n">
        <f aca="false">O121+Y121+AI121+AS121+BC121+BM121+BW121+CG121</f>
        <v>0</v>
      </c>
      <c r="D121" s="34" t="n">
        <f aca="false">K121+U121+AE121+AO121+AY121+BI121+BS121+CC121</f>
        <v>0</v>
      </c>
      <c r="F121" s="34" t="n">
        <f aca="false">S121+AC121+AM121+AW121+BG121+BQ121+CA121+CK121</f>
        <v>929.311363848894</v>
      </c>
      <c r="G121" s="34" t="n">
        <f aca="false">Q121+AA121+AK121+AU121+BE121+BO121+BY121+CI121</f>
        <v>4.83302571644041</v>
      </c>
      <c r="J121" s="34" t="n">
        <f aca="false">O120</f>
        <v>0</v>
      </c>
      <c r="K121" s="34" t="n">
        <f aca="false">J121*$J$5/12</f>
        <v>0</v>
      </c>
      <c r="L121" s="29" t="n">
        <f aca="false">MIN($J$6,J121+K121)</f>
        <v>0</v>
      </c>
      <c r="M121" s="30" t="n">
        <f aca="false">MAX(0,MIN($B121,J121+K121-L121))</f>
        <v>0</v>
      </c>
      <c r="N121" s="29" t="n">
        <f aca="false">$B121-M121</f>
        <v>690</v>
      </c>
      <c r="O121" s="34" t="n">
        <f aca="false">J121+K121-L121-M121</f>
        <v>0</v>
      </c>
      <c r="P121" s="34" t="n">
        <f aca="false">S120</f>
        <v>0</v>
      </c>
      <c r="Q121" s="34" t="n">
        <f aca="false">P121*$J$5/12</f>
        <v>0</v>
      </c>
      <c r="R121" s="29" t="n">
        <f aca="false">MIN($J$6,P121+Q121)</f>
        <v>0</v>
      </c>
      <c r="S121" s="34" t="n">
        <f aca="false">P121+Q121-R121</f>
        <v>0</v>
      </c>
      <c r="T121" s="34" t="n">
        <f aca="false">Y120</f>
        <v>0</v>
      </c>
      <c r="U121" s="34" t="n">
        <f aca="false">T121*$T$5/12</f>
        <v>0</v>
      </c>
      <c r="V121" s="29" t="n">
        <f aca="false">MIN($T$6,T121+U121)</f>
        <v>0</v>
      </c>
      <c r="W121" s="30" t="n">
        <f aca="false">MAX(0,MIN(N121,T121+U121-V121))</f>
        <v>0</v>
      </c>
      <c r="X121" s="29" t="n">
        <f aca="false">N121-W121</f>
        <v>690</v>
      </c>
      <c r="Y121" s="34" t="n">
        <f aca="false">T121+U121-V121-W121</f>
        <v>0</v>
      </c>
      <c r="Z121" s="34" t="n">
        <f aca="false">AC120</f>
        <v>0</v>
      </c>
      <c r="AA121" s="34" t="n">
        <f aca="false">Z121*$T$5/12</f>
        <v>0</v>
      </c>
      <c r="AB121" s="29" t="n">
        <f aca="false">MIN($T$6,Z121+AA121)</f>
        <v>0</v>
      </c>
      <c r="AC121" s="34" t="n">
        <f aca="false">Z121+AA121-AB121</f>
        <v>0</v>
      </c>
      <c r="AD121" s="34" t="n">
        <f aca="false">AI120</f>
        <v>0</v>
      </c>
      <c r="AE121" s="34" t="n">
        <f aca="false">AD121*$AD$5/12</f>
        <v>0</v>
      </c>
      <c r="AF121" s="29" t="n">
        <f aca="false">MIN($AD$6,AD121+AE121)</f>
        <v>0</v>
      </c>
      <c r="AG121" s="30" t="n">
        <f aca="false">MAX(0,MIN(X121,AD121+AE121-AF121))</f>
        <v>0</v>
      </c>
      <c r="AH121" s="29" t="n">
        <f aca="false">X121-AG121</f>
        <v>690</v>
      </c>
      <c r="AI121" s="34" t="n">
        <f aca="false">AD121+AE121-AF121-AG121</f>
        <v>0</v>
      </c>
      <c r="AJ121" s="34" t="n">
        <f aca="false">AM120</f>
        <v>0</v>
      </c>
      <c r="AK121" s="34" t="n">
        <f aca="false">AJ121*$AD$5/12</f>
        <v>0</v>
      </c>
      <c r="AL121" s="29" t="n">
        <f aca="false">MIN($AD$6,AJ121+AK121)</f>
        <v>0</v>
      </c>
      <c r="AM121" s="34" t="n">
        <f aca="false">AJ121+AK121-AL121</f>
        <v>0</v>
      </c>
      <c r="AN121" s="34" t="n">
        <f aca="false">AS120</f>
        <v>0</v>
      </c>
      <c r="AO121" s="34" t="n">
        <f aca="false">AN121*$AN$5/12</f>
        <v>0</v>
      </c>
      <c r="AP121" s="29" t="n">
        <f aca="false">MIN($AN$6,AN121+AO121)</f>
        <v>0</v>
      </c>
      <c r="AQ121" s="30" t="n">
        <f aca="false">MAX(0,MIN(AH121,AN121+AO121-AP121))</f>
        <v>0</v>
      </c>
      <c r="AR121" s="29" t="n">
        <f aca="false">AH121-AQ121</f>
        <v>690</v>
      </c>
      <c r="AS121" s="34" t="n">
        <f aca="false">AN121+AO121-AP121-AQ121</f>
        <v>0</v>
      </c>
      <c r="AT121" s="34" t="n">
        <f aca="false">AW120</f>
        <v>1054.47833813245</v>
      </c>
      <c r="AU121" s="34" t="n">
        <f aca="false">AT121*$AN$5/12</f>
        <v>4.83302571644041</v>
      </c>
      <c r="AV121" s="29" t="n">
        <f aca="false">MIN($AN$6,AT121+AU121)</f>
        <v>130</v>
      </c>
      <c r="AW121" s="34" t="n">
        <f aca="false">AT121+AU121-AV121</f>
        <v>929.311363848894</v>
      </c>
      <c r="AX121" s="30" t="n">
        <f aca="false">BC120</f>
        <v>0</v>
      </c>
      <c r="AY121" s="30" t="n">
        <f aca="false">AX121*$AX$5/12</f>
        <v>0</v>
      </c>
      <c r="AZ121" s="30" t="n">
        <f aca="false">MIN($AX$6,AX121+AY121)</f>
        <v>0</v>
      </c>
      <c r="BA121" s="30" t="n">
        <f aca="false">MAX(0,MIN(AR121,AX121+AY121-AZ121))</f>
        <v>0</v>
      </c>
      <c r="BB121" s="29" t="n">
        <f aca="false">AR121-BA121</f>
        <v>690</v>
      </c>
      <c r="BC121" s="30" t="n">
        <f aca="false">AX121+AY121-AZ121-BA121</f>
        <v>0</v>
      </c>
      <c r="BD121" s="30" t="n">
        <f aca="false">BG120</f>
        <v>0</v>
      </c>
      <c r="BE121" s="30" t="n">
        <f aca="false">BD121*$AX$5/12</f>
        <v>0</v>
      </c>
      <c r="BF121" s="30" t="n">
        <f aca="false">MIN($AX$6,BD121+BE121)</f>
        <v>0</v>
      </c>
      <c r="BG121" s="30" t="n">
        <f aca="false">BD121+BE121-BF121</f>
        <v>0</v>
      </c>
      <c r="BH121" s="30" t="n">
        <f aca="false">BM120</f>
        <v>0</v>
      </c>
      <c r="BI121" s="30" t="n">
        <f aca="false">BH121*$BH$5/12</f>
        <v>0</v>
      </c>
      <c r="BJ121" s="30" t="n">
        <f aca="false">MIN($BH$6,BH121+BI121)</f>
        <v>0</v>
      </c>
      <c r="BK121" s="30" t="n">
        <f aca="false">MAX(0,MIN(BB121,BH121+BI121-BJ121))</f>
        <v>0</v>
      </c>
      <c r="BL121" s="29" t="n">
        <f aca="false">BB121-BK121</f>
        <v>690</v>
      </c>
      <c r="BM121" s="30" t="n">
        <f aca="false">BH121+BI121-BJ121-BK121</f>
        <v>0</v>
      </c>
      <c r="BN121" s="30" t="n">
        <f aca="false">BQ120</f>
        <v>0</v>
      </c>
      <c r="BO121" s="30" t="n">
        <f aca="false">BN121*$BH$5/12</f>
        <v>0</v>
      </c>
      <c r="BP121" s="30" t="n">
        <f aca="false">MIN($BH$6,BN121+BO121)</f>
        <v>0</v>
      </c>
      <c r="BQ121" s="30" t="n">
        <f aca="false">BN121+BO121-BP121</f>
        <v>0</v>
      </c>
      <c r="BR121" s="30" t="n">
        <f aca="false">BW120</f>
        <v>0</v>
      </c>
      <c r="BS121" s="30" t="n">
        <f aca="false">BR121*$BR$5/12</f>
        <v>0</v>
      </c>
      <c r="BT121" s="30" t="n">
        <f aca="false">MIN($BR$6,BR121+BS121)</f>
        <v>0</v>
      </c>
      <c r="BU121" s="30" t="n">
        <f aca="false">MAX(0,MIN(BL121,BR121+BS121-BT121))</f>
        <v>0</v>
      </c>
      <c r="BV121" s="29" t="n">
        <f aca="false">BL121-BU121</f>
        <v>690</v>
      </c>
      <c r="BW121" s="30" t="n">
        <f aca="false">BR121+BS121-BT121-BU121</f>
        <v>0</v>
      </c>
      <c r="BX121" s="30" t="n">
        <f aca="false">CA120</f>
        <v>0</v>
      </c>
      <c r="BY121" s="30" t="n">
        <f aca="false">BX121*$BR$5/12</f>
        <v>0</v>
      </c>
      <c r="BZ121" s="30" t="n">
        <f aca="false">MIN($BR$6,BX121+BY121)</f>
        <v>0</v>
      </c>
      <c r="CA121" s="30" t="n">
        <f aca="false">BX121+BY121-BZ121</f>
        <v>0</v>
      </c>
      <c r="CB121" s="30" t="n">
        <f aca="false">CG120</f>
        <v>0</v>
      </c>
      <c r="CC121" s="30" t="n">
        <f aca="false">CB121*$CB$5/12</f>
        <v>0</v>
      </c>
      <c r="CD121" s="30" t="n">
        <f aca="false">MIN($CB$6,CB121+CC121)</f>
        <v>0</v>
      </c>
      <c r="CE121" s="30" t="n">
        <f aca="false">MAX(0,MIN(BV121,CB121+CC121-CD121))</f>
        <v>0</v>
      </c>
      <c r="CF121" s="29" t="n">
        <f aca="false">BV121-CE121</f>
        <v>690</v>
      </c>
      <c r="CG121" s="30" t="n">
        <f aca="false">CB121+CC121-CD121-CE121</f>
        <v>0</v>
      </c>
      <c r="CH121" s="30" t="n">
        <f aca="false">CK120</f>
        <v>0</v>
      </c>
      <c r="CI121" s="30" t="n">
        <f aca="false">CH121*$CB$5/12</f>
        <v>0</v>
      </c>
      <c r="CJ121" s="30" t="n">
        <f aca="false">MIN($CB$6,CH121+CI121)</f>
        <v>0</v>
      </c>
      <c r="CK121" s="30" t="n">
        <f aca="false">CH121+CI121-CJ121</f>
        <v>0</v>
      </c>
    </row>
    <row r="122" customFormat="false" ht="15" hidden="false" customHeight="false" outlineLevel="0" collapsed="false">
      <c r="A122" s="0" t="n">
        <v>114</v>
      </c>
      <c r="B122" s="29" t="n">
        <f aca="false">'1 Your debts'!$B$16-(L122+V122+AF122+AP122+AZ122+BJ122+BT122+CD122)</f>
        <v>690</v>
      </c>
      <c r="C122" s="34" t="n">
        <f aca="false">O122+Y122+AI122+AS122+BC122+BM122+BW122+CG122</f>
        <v>0</v>
      </c>
      <c r="D122" s="34" t="n">
        <f aca="false">K122+U122+AE122+AO122+AY122+BI122+BS122+CC122</f>
        <v>0</v>
      </c>
      <c r="F122" s="34" t="n">
        <f aca="false">S122+AC122+AM122+AW122+BG122+BQ122+CA122+CK122</f>
        <v>803.570707599868</v>
      </c>
      <c r="G122" s="34" t="n">
        <f aca="false">Q122+AA122+AK122+AU122+BE122+BO122+BY122+CI122</f>
        <v>4.2593437509741</v>
      </c>
      <c r="J122" s="34" t="n">
        <f aca="false">O121</f>
        <v>0</v>
      </c>
      <c r="K122" s="34" t="n">
        <f aca="false">J122*$J$5/12</f>
        <v>0</v>
      </c>
      <c r="L122" s="29" t="n">
        <f aca="false">MIN($J$6,J122+K122)</f>
        <v>0</v>
      </c>
      <c r="M122" s="30" t="n">
        <f aca="false">MAX(0,MIN($B122,J122+K122-L122))</f>
        <v>0</v>
      </c>
      <c r="N122" s="29" t="n">
        <f aca="false">$B122-M122</f>
        <v>690</v>
      </c>
      <c r="O122" s="34" t="n">
        <f aca="false">J122+K122-L122-M122</f>
        <v>0</v>
      </c>
      <c r="P122" s="34" t="n">
        <f aca="false">S121</f>
        <v>0</v>
      </c>
      <c r="Q122" s="34" t="n">
        <f aca="false">P122*$J$5/12</f>
        <v>0</v>
      </c>
      <c r="R122" s="29" t="n">
        <f aca="false">MIN($J$6,P122+Q122)</f>
        <v>0</v>
      </c>
      <c r="S122" s="34" t="n">
        <f aca="false">P122+Q122-R122</f>
        <v>0</v>
      </c>
      <c r="T122" s="34" t="n">
        <f aca="false">Y121</f>
        <v>0</v>
      </c>
      <c r="U122" s="34" t="n">
        <f aca="false">T122*$T$5/12</f>
        <v>0</v>
      </c>
      <c r="V122" s="29" t="n">
        <f aca="false">MIN($T$6,T122+U122)</f>
        <v>0</v>
      </c>
      <c r="W122" s="30" t="n">
        <f aca="false">MAX(0,MIN(N122,T122+U122-V122))</f>
        <v>0</v>
      </c>
      <c r="X122" s="29" t="n">
        <f aca="false">N122-W122</f>
        <v>690</v>
      </c>
      <c r="Y122" s="34" t="n">
        <f aca="false">T122+U122-V122-W122</f>
        <v>0</v>
      </c>
      <c r="Z122" s="34" t="n">
        <f aca="false">AC121</f>
        <v>0</v>
      </c>
      <c r="AA122" s="34" t="n">
        <f aca="false">Z122*$T$5/12</f>
        <v>0</v>
      </c>
      <c r="AB122" s="29" t="n">
        <f aca="false">MIN($T$6,Z122+AA122)</f>
        <v>0</v>
      </c>
      <c r="AC122" s="34" t="n">
        <f aca="false">Z122+AA122-AB122</f>
        <v>0</v>
      </c>
      <c r="AD122" s="34" t="n">
        <f aca="false">AI121</f>
        <v>0</v>
      </c>
      <c r="AE122" s="34" t="n">
        <f aca="false">AD122*$AD$5/12</f>
        <v>0</v>
      </c>
      <c r="AF122" s="29" t="n">
        <f aca="false">MIN($AD$6,AD122+AE122)</f>
        <v>0</v>
      </c>
      <c r="AG122" s="30" t="n">
        <f aca="false">MAX(0,MIN(X122,AD122+AE122-AF122))</f>
        <v>0</v>
      </c>
      <c r="AH122" s="29" t="n">
        <f aca="false">X122-AG122</f>
        <v>690</v>
      </c>
      <c r="AI122" s="34" t="n">
        <f aca="false">AD122+AE122-AF122-AG122</f>
        <v>0</v>
      </c>
      <c r="AJ122" s="34" t="n">
        <f aca="false">AM121</f>
        <v>0</v>
      </c>
      <c r="AK122" s="34" t="n">
        <f aca="false">AJ122*$AD$5/12</f>
        <v>0</v>
      </c>
      <c r="AL122" s="29" t="n">
        <f aca="false">MIN($AD$6,AJ122+AK122)</f>
        <v>0</v>
      </c>
      <c r="AM122" s="34" t="n">
        <f aca="false">AJ122+AK122-AL122</f>
        <v>0</v>
      </c>
      <c r="AN122" s="34" t="n">
        <f aca="false">AS121</f>
        <v>0</v>
      </c>
      <c r="AO122" s="34" t="n">
        <f aca="false">AN122*$AN$5/12</f>
        <v>0</v>
      </c>
      <c r="AP122" s="29" t="n">
        <f aca="false">MIN($AN$6,AN122+AO122)</f>
        <v>0</v>
      </c>
      <c r="AQ122" s="30" t="n">
        <f aca="false">MAX(0,MIN(AH122,AN122+AO122-AP122))</f>
        <v>0</v>
      </c>
      <c r="AR122" s="29" t="n">
        <f aca="false">AH122-AQ122</f>
        <v>690</v>
      </c>
      <c r="AS122" s="34" t="n">
        <f aca="false">AN122+AO122-AP122-AQ122</f>
        <v>0</v>
      </c>
      <c r="AT122" s="34" t="n">
        <f aca="false">AW121</f>
        <v>929.311363848894</v>
      </c>
      <c r="AU122" s="34" t="n">
        <f aca="false">AT122*$AN$5/12</f>
        <v>4.2593437509741</v>
      </c>
      <c r="AV122" s="29" t="n">
        <f aca="false">MIN($AN$6,AT122+AU122)</f>
        <v>130</v>
      </c>
      <c r="AW122" s="34" t="n">
        <f aca="false">AT122+AU122-AV122</f>
        <v>803.570707599868</v>
      </c>
      <c r="AX122" s="30" t="n">
        <f aca="false">BC121</f>
        <v>0</v>
      </c>
      <c r="AY122" s="30" t="n">
        <f aca="false">AX122*$AX$5/12</f>
        <v>0</v>
      </c>
      <c r="AZ122" s="30" t="n">
        <f aca="false">MIN($AX$6,AX122+AY122)</f>
        <v>0</v>
      </c>
      <c r="BA122" s="30" t="n">
        <f aca="false">MAX(0,MIN(AR122,AX122+AY122-AZ122))</f>
        <v>0</v>
      </c>
      <c r="BB122" s="29" t="n">
        <f aca="false">AR122-BA122</f>
        <v>690</v>
      </c>
      <c r="BC122" s="30" t="n">
        <f aca="false">AX122+AY122-AZ122-BA122</f>
        <v>0</v>
      </c>
      <c r="BD122" s="30" t="n">
        <f aca="false">BG121</f>
        <v>0</v>
      </c>
      <c r="BE122" s="30" t="n">
        <f aca="false">BD122*$AX$5/12</f>
        <v>0</v>
      </c>
      <c r="BF122" s="30" t="n">
        <f aca="false">MIN($AX$6,BD122+BE122)</f>
        <v>0</v>
      </c>
      <c r="BG122" s="30" t="n">
        <f aca="false">BD122+BE122-BF122</f>
        <v>0</v>
      </c>
      <c r="BH122" s="30" t="n">
        <f aca="false">BM121</f>
        <v>0</v>
      </c>
      <c r="BI122" s="30" t="n">
        <f aca="false">BH122*$BH$5/12</f>
        <v>0</v>
      </c>
      <c r="BJ122" s="30" t="n">
        <f aca="false">MIN($BH$6,BH122+BI122)</f>
        <v>0</v>
      </c>
      <c r="BK122" s="30" t="n">
        <f aca="false">MAX(0,MIN(BB122,BH122+BI122-BJ122))</f>
        <v>0</v>
      </c>
      <c r="BL122" s="29" t="n">
        <f aca="false">BB122-BK122</f>
        <v>690</v>
      </c>
      <c r="BM122" s="30" t="n">
        <f aca="false">BH122+BI122-BJ122-BK122</f>
        <v>0</v>
      </c>
      <c r="BN122" s="30" t="n">
        <f aca="false">BQ121</f>
        <v>0</v>
      </c>
      <c r="BO122" s="30" t="n">
        <f aca="false">BN122*$BH$5/12</f>
        <v>0</v>
      </c>
      <c r="BP122" s="30" t="n">
        <f aca="false">MIN($BH$6,BN122+BO122)</f>
        <v>0</v>
      </c>
      <c r="BQ122" s="30" t="n">
        <f aca="false">BN122+BO122-BP122</f>
        <v>0</v>
      </c>
      <c r="BR122" s="30" t="n">
        <f aca="false">BW121</f>
        <v>0</v>
      </c>
      <c r="BS122" s="30" t="n">
        <f aca="false">BR122*$BR$5/12</f>
        <v>0</v>
      </c>
      <c r="BT122" s="30" t="n">
        <f aca="false">MIN($BR$6,BR122+BS122)</f>
        <v>0</v>
      </c>
      <c r="BU122" s="30" t="n">
        <f aca="false">MAX(0,MIN(BL122,BR122+BS122-BT122))</f>
        <v>0</v>
      </c>
      <c r="BV122" s="29" t="n">
        <f aca="false">BL122-BU122</f>
        <v>690</v>
      </c>
      <c r="BW122" s="30" t="n">
        <f aca="false">BR122+BS122-BT122-BU122</f>
        <v>0</v>
      </c>
      <c r="BX122" s="30" t="n">
        <f aca="false">CA121</f>
        <v>0</v>
      </c>
      <c r="BY122" s="30" t="n">
        <f aca="false">BX122*$BR$5/12</f>
        <v>0</v>
      </c>
      <c r="BZ122" s="30" t="n">
        <f aca="false">MIN($BR$6,BX122+BY122)</f>
        <v>0</v>
      </c>
      <c r="CA122" s="30" t="n">
        <f aca="false">BX122+BY122-BZ122</f>
        <v>0</v>
      </c>
      <c r="CB122" s="30" t="n">
        <f aca="false">CG121</f>
        <v>0</v>
      </c>
      <c r="CC122" s="30" t="n">
        <f aca="false">CB122*$CB$5/12</f>
        <v>0</v>
      </c>
      <c r="CD122" s="30" t="n">
        <f aca="false">MIN($CB$6,CB122+CC122)</f>
        <v>0</v>
      </c>
      <c r="CE122" s="30" t="n">
        <f aca="false">MAX(0,MIN(BV122,CB122+CC122-CD122))</f>
        <v>0</v>
      </c>
      <c r="CF122" s="29" t="n">
        <f aca="false">BV122-CE122</f>
        <v>690</v>
      </c>
      <c r="CG122" s="30" t="n">
        <f aca="false">CB122+CC122-CD122-CE122</f>
        <v>0</v>
      </c>
      <c r="CH122" s="30" t="n">
        <f aca="false">CK121</f>
        <v>0</v>
      </c>
      <c r="CI122" s="30" t="n">
        <f aca="false">CH122*$CB$5/12</f>
        <v>0</v>
      </c>
      <c r="CJ122" s="30" t="n">
        <f aca="false">MIN($CB$6,CH122+CI122)</f>
        <v>0</v>
      </c>
      <c r="CK122" s="30" t="n">
        <f aca="false">CH122+CI122-CJ122</f>
        <v>0</v>
      </c>
    </row>
    <row r="123" customFormat="false" ht="15" hidden="false" customHeight="false" outlineLevel="0" collapsed="false">
      <c r="A123" s="0" t="n">
        <v>115</v>
      </c>
      <c r="B123" s="29" t="n">
        <f aca="false">'1 Your debts'!$B$16-(L123+V123+AF123+AP123+AZ123+BJ123+BT123+CD123)</f>
        <v>690</v>
      </c>
      <c r="C123" s="34" t="n">
        <f aca="false">O123+Y123+AI123+AS123+BC123+BM123+BW123+CG123</f>
        <v>0</v>
      </c>
      <c r="D123" s="34" t="n">
        <f aca="false">K123+U123+AE123+AO123+AY123+BI123+BS123+CC123</f>
        <v>0</v>
      </c>
      <c r="F123" s="34" t="n">
        <f aca="false">S123+AC123+AM123+AW123+BG123+BQ123+CA123+CK123</f>
        <v>677.253740009701</v>
      </c>
      <c r="G123" s="34" t="n">
        <f aca="false">Q123+AA123+AK123+AU123+BE123+BO123+BY123+CI123</f>
        <v>3.68303240983273</v>
      </c>
      <c r="J123" s="34" t="n">
        <f aca="false">O122</f>
        <v>0</v>
      </c>
      <c r="K123" s="34" t="n">
        <f aca="false">J123*$J$5/12</f>
        <v>0</v>
      </c>
      <c r="L123" s="29" t="n">
        <f aca="false">MIN($J$6,J123+K123)</f>
        <v>0</v>
      </c>
      <c r="M123" s="30" t="n">
        <f aca="false">MAX(0,MIN($B123,J123+K123-L123))</f>
        <v>0</v>
      </c>
      <c r="N123" s="29" t="n">
        <f aca="false">$B123-M123</f>
        <v>690</v>
      </c>
      <c r="O123" s="34" t="n">
        <f aca="false">J123+K123-L123-M123</f>
        <v>0</v>
      </c>
      <c r="P123" s="34" t="n">
        <f aca="false">S122</f>
        <v>0</v>
      </c>
      <c r="Q123" s="34" t="n">
        <f aca="false">P123*$J$5/12</f>
        <v>0</v>
      </c>
      <c r="R123" s="29" t="n">
        <f aca="false">MIN($J$6,P123+Q123)</f>
        <v>0</v>
      </c>
      <c r="S123" s="34" t="n">
        <f aca="false">P123+Q123-R123</f>
        <v>0</v>
      </c>
      <c r="T123" s="34" t="n">
        <f aca="false">Y122</f>
        <v>0</v>
      </c>
      <c r="U123" s="34" t="n">
        <f aca="false">T123*$T$5/12</f>
        <v>0</v>
      </c>
      <c r="V123" s="29" t="n">
        <f aca="false">MIN($T$6,T123+U123)</f>
        <v>0</v>
      </c>
      <c r="W123" s="30" t="n">
        <f aca="false">MAX(0,MIN(N123,T123+U123-V123))</f>
        <v>0</v>
      </c>
      <c r="X123" s="29" t="n">
        <f aca="false">N123-W123</f>
        <v>690</v>
      </c>
      <c r="Y123" s="34" t="n">
        <f aca="false">T123+U123-V123-W123</f>
        <v>0</v>
      </c>
      <c r="Z123" s="34" t="n">
        <f aca="false">AC122</f>
        <v>0</v>
      </c>
      <c r="AA123" s="34" t="n">
        <f aca="false">Z123*$T$5/12</f>
        <v>0</v>
      </c>
      <c r="AB123" s="29" t="n">
        <f aca="false">MIN($T$6,Z123+AA123)</f>
        <v>0</v>
      </c>
      <c r="AC123" s="34" t="n">
        <f aca="false">Z123+AA123-AB123</f>
        <v>0</v>
      </c>
      <c r="AD123" s="34" t="n">
        <f aca="false">AI122</f>
        <v>0</v>
      </c>
      <c r="AE123" s="34" t="n">
        <f aca="false">AD123*$AD$5/12</f>
        <v>0</v>
      </c>
      <c r="AF123" s="29" t="n">
        <f aca="false">MIN($AD$6,AD123+AE123)</f>
        <v>0</v>
      </c>
      <c r="AG123" s="30" t="n">
        <f aca="false">MAX(0,MIN(X123,AD123+AE123-AF123))</f>
        <v>0</v>
      </c>
      <c r="AH123" s="29" t="n">
        <f aca="false">X123-AG123</f>
        <v>690</v>
      </c>
      <c r="AI123" s="34" t="n">
        <f aca="false">AD123+AE123-AF123-AG123</f>
        <v>0</v>
      </c>
      <c r="AJ123" s="34" t="n">
        <f aca="false">AM122</f>
        <v>0</v>
      </c>
      <c r="AK123" s="34" t="n">
        <f aca="false">AJ123*$AD$5/12</f>
        <v>0</v>
      </c>
      <c r="AL123" s="29" t="n">
        <f aca="false">MIN($AD$6,AJ123+AK123)</f>
        <v>0</v>
      </c>
      <c r="AM123" s="34" t="n">
        <f aca="false">AJ123+AK123-AL123</f>
        <v>0</v>
      </c>
      <c r="AN123" s="34" t="n">
        <f aca="false">AS122</f>
        <v>0</v>
      </c>
      <c r="AO123" s="34" t="n">
        <f aca="false">AN123*$AN$5/12</f>
        <v>0</v>
      </c>
      <c r="AP123" s="29" t="n">
        <f aca="false">MIN($AN$6,AN123+AO123)</f>
        <v>0</v>
      </c>
      <c r="AQ123" s="30" t="n">
        <f aca="false">MAX(0,MIN(AH123,AN123+AO123-AP123))</f>
        <v>0</v>
      </c>
      <c r="AR123" s="29" t="n">
        <f aca="false">AH123-AQ123</f>
        <v>690</v>
      </c>
      <c r="AS123" s="34" t="n">
        <f aca="false">AN123+AO123-AP123-AQ123</f>
        <v>0</v>
      </c>
      <c r="AT123" s="34" t="n">
        <f aca="false">AW122</f>
        <v>803.570707599868</v>
      </c>
      <c r="AU123" s="34" t="n">
        <f aca="false">AT123*$AN$5/12</f>
        <v>3.68303240983273</v>
      </c>
      <c r="AV123" s="29" t="n">
        <f aca="false">MIN($AN$6,AT123+AU123)</f>
        <v>130</v>
      </c>
      <c r="AW123" s="34" t="n">
        <f aca="false">AT123+AU123-AV123</f>
        <v>677.253740009701</v>
      </c>
      <c r="AX123" s="30" t="n">
        <f aca="false">BC122</f>
        <v>0</v>
      </c>
      <c r="AY123" s="30" t="n">
        <f aca="false">AX123*$AX$5/12</f>
        <v>0</v>
      </c>
      <c r="AZ123" s="30" t="n">
        <f aca="false">MIN($AX$6,AX123+AY123)</f>
        <v>0</v>
      </c>
      <c r="BA123" s="30" t="n">
        <f aca="false">MAX(0,MIN(AR123,AX123+AY123-AZ123))</f>
        <v>0</v>
      </c>
      <c r="BB123" s="29" t="n">
        <f aca="false">AR123-BA123</f>
        <v>690</v>
      </c>
      <c r="BC123" s="30" t="n">
        <f aca="false">AX123+AY123-AZ123-BA123</f>
        <v>0</v>
      </c>
      <c r="BD123" s="30" t="n">
        <f aca="false">BG122</f>
        <v>0</v>
      </c>
      <c r="BE123" s="30" t="n">
        <f aca="false">BD123*$AX$5/12</f>
        <v>0</v>
      </c>
      <c r="BF123" s="30" t="n">
        <f aca="false">MIN($AX$6,BD123+BE123)</f>
        <v>0</v>
      </c>
      <c r="BG123" s="30" t="n">
        <f aca="false">BD123+BE123-BF123</f>
        <v>0</v>
      </c>
      <c r="BH123" s="30" t="n">
        <f aca="false">BM122</f>
        <v>0</v>
      </c>
      <c r="BI123" s="30" t="n">
        <f aca="false">BH123*$BH$5/12</f>
        <v>0</v>
      </c>
      <c r="BJ123" s="30" t="n">
        <f aca="false">MIN($BH$6,BH123+BI123)</f>
        <v>0</v>
      </c>
      <c r="BK123" s="30" t="n">
        <f aca="false">MAX(0,MIN(BB123,BH123+BI123-BJ123))</f>
        <v>0</v>
      </c>
      <c r="BL123" s="29" t="n">
        <f aca="false">BB123-BK123</f>
        <v>690</v>
      </c>
      <c r="BM123" s="30" t="n">
        <f aca="false">BH123+BI123-BJ123-BK123</f>
        <v>0</v>
      </c>
      <c r="BN123" s="30" t="n">
        <f aca="false">BQ122</f>
        <v>0</v>
      </c>
      <c r="BO123" s="30" t="n">
        <f aca="false">BN123*$BH$5/12</f>
        <v>0</v>
      </c>
      <c r="BP123" s="30" t="n">
        <f aca="false">MIN($BH$6,BN123+BO123)</f>
        <v>0</v>
      </c>
      <c r="BQ123" s="30" t="n">
        <f aca="false">BN123+BO123-BP123</f>
        <v>0</v>
      </c>
      <c r="BR123" s="30" t="n">
        <f aca="false">BW122</f>
        <v>0</v>
      </c>
      <c r="BS123" s="30" t="n">
        <f aca="false">BR123*$BR$5/12</f>
        <v>0</v>
      </c>
      <c r="BT123" s="30" t="n">
        <f aca="false">MIN($BR$6,BR123+BS123)</f>
        <v>0</v>
      </c>
      <c r="BU123" s="30" t="n">
        <f aca="false">MAX(0,MIN(BL123,BR123+BS123-BT123))</f>
        <v>0</v>
      </c>
      <c r="BV123" s="29" t="n">
        <f aca="false">BL123-BU123</f>
        <v>690</v>
      </c>
      <c r="BW123" s="30" t="n">
        <f aca="false">BR123+BS123-BT123-BU123</f>
        <v>0</v>
      </c>
      <c r="BX123" s="30" t="n">
        <f aca="false">CA122</f>
        <v>0</v>
      </c>
      <c r="BY123" s="30" t="n">
        <f aca="false">BX123*$BR$5/12</f>
        <v>0</v>
      </c>
      <c r="BZ123" s="30" t="n">
        <f aca="false">MIN($BR$6,BX123+BY123)</f>
        <v>0</v>
      </c>
      <c r="CA123" s="30" t="n">
        <f aca="false">BX123+BY123-BZ123</f>
        <v>0</v>
      </c>
      <c r="CB123" s="30" t="n">
        <f aca="false">CG122</f>
        <v>0</v>
      </c>
      <c r="CC123" s="30" t="n">
        <f aca="false">CB123*$CB$5/12</f>
        <v>0</v>
      </c>
      <c r="CD123" s="30" t="n">
        <f aca="false">MIN($CB$6,CB123+CC123)</f>
        <v>0</v>
      </c>
      <c r="CE123" s="30" t="n">
        <f aca="false">MAX(0,MIN(BV123,CB123+CC123-CD123))</f>
        <v>0</v>
      </c>
      <c r="CF123" s="29" t="n">
        <f aca="false">BV123-CE123</f>
        <v>690</v>
      </c>
      <c r="CG123" s="30" t="n">
        <f aca="false">CB123+CC123-CD123-CE123</f>
        <v>0</v>
      </c>
      <c r="CH123" s="30" t="n">
        <f aca="false">CK122</f>
        <v>0</v>
      </c>
      <c r="CI123" s="30" t="n">
        <f aca="false">CH123*$CB$5/12</f>
        <v>0</v>
      </c>
      <c r="CJ123" s="30" t="n">
        <f aca="false">MIN($CB$6,CH123+CI123)</f>
        <v>0</v>
      </c>
      <c r="CK123" s="30" t="n">
        <f aca="false">CH123+CI123-CJ123</f>
        <v>0</v>
      </c>
    </row>
    <row r="124" customFormat="false" ht="15" hidden="false" customHeight="false" outlineLevel="0" collapsed="false">
      <c r="A124" s="0" t="n">
        <v>116</v>
      </c>
      <c r="B124" s="29" t="n">
        <f aca="false">'1 Your debts'!$B$16-(L124+V124+AF124+AP124+AZ124+BJ124+BT124+CD124)</f>
        <v>690</v>
      </c>
      <c r="C124" s="34" t="n">
        <f aca="false">O124+Y124+AI124+AS124+BC124+BM124+BW124+CG124</f>
        <v>0</v>
      </c>
      <c r="D124" s="34" t="n">
        <f aca="false">K124+U124+AE124+AO124+AY124+BI124+BS124+CC124</f>
        <v>0</v>
      </c>
      <c r="F124" s="34" t="n">
        <f aca="false">S124+AC124+AM124+AW124+BG124+BQ124+CA124+CK124</f>
        <v>550.357819651412</v>
      </c>
      <c r="G124" s="34" t="n">
        <f aca="false">Q124+AA124+AK124+AU124+BE124+BO124+BY124+CI124</f>
        <v>3.10407964171113</v>
      </c>
      <c r="J124" s="34" t="n">
        <f aca="false">O123</f>
        <v>0</v>
      </c>
      <c r="K124" s="34" t="n">
        <f aca="false">J124*$J$5/12</f>
        <v>0</v>
      </c>
      <c r="L124" s="29" t="n">
        <f aca="false">MIN($J$6,J124+K124)</f>
        <v>0</v>
      </c>
      <c r="M124" s="30" t="n">
        <f aca="false">MAX(0,MIN($B124,J124+K124-L124))</f>
        <v>0</v>
      </c>
      <c r="N124" s="29" t="n">
        <f aca="false">$B124-M124</f>
        <v>690</v>
      </c>
      <c r="O124" s="34" t="n">
        <f aca="false">J124+K124-L124-M124</f>
        <v>0</v>
      </c>
      <c r="P124" s="34" t="n">
        <f aca="false">S123</f>
        <v>0</v>
      </c>
      <c r="Q124" s="34" t="n">
        <f aca="false">P124*$J$5/12</f>
        <v>0</v>
      </c>
      <c r="R124" s="29" t="n">
        <f aca="false">MIN($J$6,P124+Q124)</f>
        <v>0</v>
      </c>
      <c r="S124" s="34" t="n">
        <f aca="false">P124+Q124-R124</f>
        <v>0</v>
      </c>
      <c r="T124" s="34" t="n">
        <f aca="false">Y123</f>
        <v>0</v>
      </c>
      <c r="U124" s="34" t="n">
        <f aca="false">T124*$T$5/12</f>
        <v>0</v>
      </c>
      <c r="V124" s="29" t="n">
        <f aca="false">MIN($T$6,T124+U124)</f>
        <v>0</v>
      </c>
      <c r="W124" s="30" t="n">
        <f aca="false">MAX(0,MIN(N124,T124+U124-V124))</f>
        <v>0</v>
      </c>
      <c r="X124" s="29" t="n">
        <f aca="false">N124-W124</f>
        <v>690</v>
      </c>
      <c r="Y124" s="34" t="n">
        <f aca="false">T124+U124-V124-W124</f>
        <v>0</v>
      </c>
      <c r="Z124" s="34" t="n">
        <f aca="false">AC123</f>
        <v>0</v>
      </c>
      <c r="AA124" s="34" t="n">
        <f aca="false">Z124*$T$5/12</f>
        <v>0</v>
      </c>
      <c r="AB124" s="29" t="n">
        <f aca="false">MIN($T$6,Z124+AA124)</f>
        <v>0</v>
      </c>
      <c r="AC124" s="34" t="n">
        <f aca="false">Z124+AA124-AB124</f>
        <v>0</v>
      </c>
      <c r="AD124" s="34" t="n">
        <f aca="false">AI123</f>
        <v>0</v>
      </c>
      <c r="AE124" s="34" t="n">
        <f aca="false">AD124*$AD$5/12</f>
        <v>0</v>
      </c>
      <c r="AF124" s="29" t="n">
        <f aca="false">MIN($AD$6,AD124+AE124)</f>
        <v>0</v>
      </c>
      <c r="AG124" s="30" t="n">
        <f aca="false">MAX(0,MIN(X124,AD124+AE124-AF124))</f>
        <v>0</v>
      </c>
      <c r="AH124" s="29" t="n">
        <f aca="false">X124-AG124</f>
        <v>690</v>
      </c>
      <c r="AI124" s="34" t="n">
        <f aca="false">AD124+AE124-AF124-AG124</f>
        <v>0</v>
      </c>
      <c r="AJ124" s="34" t="n">
        <f aca="false">AM123</f>
        <v>0</v>
      </c>
      <c r="AK124" s="34" t="n">
        <f aca="false">AJ124*$AD$5/12</f>
        <v>0</v>
      </c>
      <c r="AL124" s="29" t="n">
        <f aca="false">MIN($AD$6,AJ124+AK124)</f>
        <v>0</v>
      </c>
      <c r="AM124" s="34" t="n">
        <f aca="false">AJ124+AK124-AL124</f>
        <v>0</v>
      </c>
      <c r="AN124" s="34" t="n">
        <f aca="false">AS123</f>
        <v>0</v>
      </c>
      <c r="AO124" s="34" t="n">
        <f aca="false">AN124*$AN$5/12</f>
        <v>0</v>
      </c>
      <c r="AP124" s="29" t="n">
        <f aca="false">MIN($AN$6,AN124+AO124)</f>
        <v>0</v>
      </c>
      <c r="AQ124" s="30" t="n">
        <f aca="false">MAX(0,MIN(AH124,AN124+AO124-AP124))</f>
        <v>0</v>
      </c>
      <c r="AR124" s="29" t="n">
        <f aca="false">AH124-AQ124</f>
        <v>690</v>
      </c>
      <c r="AS124" s="34" t="n">
        <f aca="false">AN124+AO124-AP124-AQ124</f>
        <v>0</v>
      </c>
      <c r="AT124" s="34" t="n">
        <f aca="false">AW123</f>
        <v>677.253740009701</v>
      </c>
      <c r="AU124" s="34" t="n">
        <f aca="false">AT124*$AN$5/12</f>
        <v>3.10407964171113</v>
      </c>
      <c r="AV124" s="29" t="n">
        <f aca="false">MIN($AN$6,AT124+AU124)</f>
        <v>130</v>
      </c>
      <c r="AW124" s="34" t="n">
        <f aca="false">AT124+AU124-AV124</f>
        <v>550.357819651412</v>
      </c>
      <c r="AX124" s="30" t="n">
        <f aca="false">BC123</f>
        <v>0</v>
      </c>
      <c r="AY124" s="30" t="n">
        <f aca="false">AX124*$AX$5/12</f>
        <v>0</v>
      </c>
      <c r="AZ124" s="30" t="n">
        <f aca="false">MIN($AX$6,AX124+AY124)</f>
        <v>0</v>
      </c>
      <c r="BA124" s="30" t="n">
        <f aca="false">MAX(0,MIN(AR124,AX124+AY124-AZ124))</f>
        <v>0</v>
      </c>
      <c r="BB124" s="29" t="n">
        <f aca="false">AR124-BA124</f>
        <v>690</v>
      </c>
      <c r="BC124" s="30" t="n">
        <f aca="false">AX124+AY124-AZ124-BA124</f>
        <v>0</v>
      </c>
      <c r="BD124" s="30" t="n">
        <f aca="false">BG123</f>
        <v>0</v>
      </c>
      <c r="BE124" s="30" t="n">
        <f aca="false">BD124*$AX$5/12</f>
        <v>0</v>
      </c>
      <c r="BF124" s="30" t="n">
        <f aca="false">MIN($AX$6,BD124+BE124)</f>
        <v>0</v>
      </c>
      <c r="BG124" s="30" t="n">
        <f aca="false">BD124+BE124-BF124</f>
        <v>0</v>
      </c>
      <c r="BH124" s="30" t="n">
        <f aca="false">BM123</f>
        <v>0</v>
      </c>
      <c r="BI124" s="30" t="n">
        <f aca="false">BH124*$BH$5/12</f>
        <v>0</v>
      </c>
      <c r="BJ124" s="30" t="n">
        <f aca="false">MIN($BH$6,BH124+BI124)</f>
        <v>0</v>
      </c>
      <c r="BK124" s="30" t="n">
        <f aca="false">MAX(0,MIN(BB124,BH124+BI124-BJ124))</f>
        <v>0</v>
      </c>
      <c r="BL124" s="29" t="n">
        <f aca="false">BB124-BK124</f>
        <v>690</v>
      </c>
      <c r="BM124" s="30" t="n">
        <f aca="false">BH124+BI124-BJ124-BK124</f>
        <v>0</v>
      </c>
      <c r="BN124" s="30" t="n">
        <f aca="false">BQ123</f>
        <v>0</v>
      </c>
      <c r="BO124" s="30" t="n">
        <f aca="false">BN124*$BH$5/12</f>
        <v>0</v>
      </c>
      <c r="BP124" s="30" t="n">
        <f aca="false">MIN($BH$6,BN124+BO124)</f>
        <v>0</v>
      </c>
      <c r="BQ124" s="30" t="n">
        <f aca="false">BN124+BO124-BP124</f>
        <v>0</v>
      </c>
      <c r="BR124" s="30" t="n">
        <f aca="false">BW123</f>
        <v>0</v>
      </c>
      <c r="BS124" s="30" t="n">
        <f aca="false">BR124*$BR$5/12</f>
        <v>0</v>
      </c>
      <c r="BT124" s="30" t="n">
        <f aca="false">MIN($BR$6,BR124+BS124)</f>
        <v>0</v>
      </c>
      <c r="BU124" s="30" t="n">
        <f aca="false">MAX(0,MIN(BL124,BR124+BS124-BT124))</f>
        <v>0</v>
      </c>
      <c r="BV124" s="29" t="n">
        <f aca="false">BL124-BU124</f>
        <v>690</v>
      </c>
      <c r="BW124" s="30" t="n">
        <f aca="false">BR124+BS124-BT124-BU124</f>
        <v>0</v>
      </c>
      <c r="BX124" s="30" t="n">
        <f aca="false">CA123</f>
        <v>0</v>
      </c>
      <c r="BY124" s="30" t="n">
        <f aca="false">BX124*$BR$5/12</f>
        <v>0</v>
      </c>
      <c r="BZ124" s="30" t="n">
        <f aca="false">MIN($BR$6,BX124+BY124)</f>
        <v>0</v>
      </c>
      <c r="CA124" s="30" t="n">
        <f aca="false">BX124+BY124-BZ124</f>
        <v>0</v>
      </c>
      <c r="CB124" s="30" t="n">
        <f aca="false">CG123</f>
        <v>0</v>
      </c>
      <c r="CC124" s="30" t="n">
        <f aca="false">CB124*$CB$5/12</f>
        <v>0</v>
      </c>
      <c r="CD124" s="30" t="n">
        <f aca="false">MIN($CB$6,CB124+CC124)</f>
        <v>0</v>
      </c>
      <c r="CE124" s="30" t="n">
        <f aca="false">MAX(0,MIN(BV124,CB124+CC124-CD124))</f>
        <v>0</v>
      </c>
      <c r="CF124" s="29" t="n">
        <f aca="false">BV124-CE124</f>
        <v>690</v>
      </c>
      <c r="CG124" s="30" t="n">
        <f aca="false">CB124+CC124-CD124-CE124</f>
        <v>0</v>
      </c>
      <c r="CH124" s="30" t="n">
        <f aca="false">CK123</f>
        <v>0</v>
      </c>
      <c r="CI124" s="30" t="n">
        <f aca="false">CH124*$CB$5/12</f>
        <v>0</v>
      </c>
      <c r="CJ124" s="30" t="n">
        <f aca="false">MIN($CB$6,CH124+CI124)</f>
        <v>0</v>
      </c>
      <c r="CK124" s="30" t="n">
        <f aca="false">CH124+CI124-CJ124</f>
        <v>0</v>
      </c>
    </row>
    <row r="125" customFormat="false" ht="15" hidden="false" customHeight="false" outlineLevel="0" collapsed="false">
      <c r="A125" s="0" t="n">
        <v>117</v>
      </c>
      <c r="B125" s="29" t="n">
        <f aca="false">'1 Your debts'!$B$16-(L125+V125+AF125+AP125+AZ125+BJ125+BT125+CD125)</f>
        <v>690</v>
      </c>
      <c r="C125" s="34" t="n">
        <f aca="false">O125+Y125+AI125+AS125+BC125+BM125+BW125+CG125</f>
        <v>0</v>
      </c>
      <c r="D125" s="34" t="n">
        <f aca="false">K125+U125+AE125+AO125+AY125+BI125+BS125+CC125</f>
        <v>0</v>
      </c>
      <c r="F125" s="34" t="n">
        <f aca="false">S125+AC125+AM125+AW125+BG125+BQ125+CA125+CK125</f>
        <v>422.880292991481</v>
      </c>
      <c r="G125" s="34" t="n">
        <f aca="false">Q125+AA125+AK125+AU125+BE125+BO125+BY125+CI125</f>
        <v>2.52247334006897</v>
      </c>
      <c r="J125" s="34" t="n">
        <f aca="false">O124</f>
        <v>0</v>
      </c>
      <c r="K125" s="34" t="n">
        <f aca="false">J125*$J$5/12</f>
        <v>0</v>
      </c>
      <c r="L125" s="29" t="n">
        <f aca="false">MIN($J$6,J125+K125)</f>
        <v>0</v>
      </c>
      <c r="M125" s="30" t="n">
        <f aca="false">MAX(0,MIN($B125,J125+K125-L125))</f>
        <v>0</v>
      </c>
      <c r="N125" s="29" t="n">
        <f aca="false">$B125-M125</f>
        <v>690</v>
      </c>
      <c r="O125" s="34" t="n">
        <f aca="false">J125+K125-L125-M125</f>
        <v>0</v>
      </c>
      <c r="P125" s="34" t="n">
        <f aca="false">S124</f>
        <v>0</v>
      </c>
      <c r="Q125" s="34" t="n">
        <f aca="false">P125*$J$5/12</f>
        <v>0</v>
      </c>
      <c r="R125" s="29" t="n">
        <f aca="false">MIN($J$6,P125+Q125)</f>
        <v>0</v>
      </c>
      <c r="S125" s="34" t="n">
        <f aca="false">P125+Q125-R125</f>
        <v>0</v>
      </c>
      <c r="T125" s="34" t="n">
        <f aca="false">Y124</f>
        <v>0</v>
      </c>
      <c r="U125" s="34" t="n">
        <f aca="false">T125*$T$5/12</f>
        <v>0</v>
      </c>
      <c r="V125" s="29" t="n">
        <f aca="false">MIN($T$6,T125+U125)</f>
        <v>0</v>
      </c>
      <c r="W125" s="30" t="n">
        <f aca="false">MAX(0,MIN(N125,T125+U125-V125))</f>
        <v>0</v>
      </c>
      <c r="X125" s="29" t="n">
        <f aca="false">N125-W125</f>
        <v>690</v>
      </c>
      <c r="Y125" s="34" t="n">
        <f aca="false">T125+U125-V125-W125</f>
        <v>0</v>
      </c>
      <c r="Z125" s="34" t="n">
        <f aca="false">AC124</f>
        <v>0</v>
      </c>
      <c r="AA125" s="34" t="n">
        <f aca="false">Z125*$T$5/12</f>
        <v>0</v>
      </c>
      <c r="AB125" s="29" t="n">
        <f aca="false">MIN($T$6,Z125+AA125)</f>
        <v>0</v>
      </c>
      <c r="AC125" s="34" t="n">
        <f aca="false">Z125+AA125-AB125</f>
        <v>0</v>
      </c>
      <c r="AD125" s="34" t="n">
        <f aca="false">AI124</f>
        <v>0</v>
      </c>
      <c r="AE125" s="34" t="n">
        <f aca="false">AD125*$AD$5/12</f>
        <v>0</v>
      </c>
      <c r="AF125" s="29" t="n">
        <f aca="false">MIN($AD$6,AD125+AE125)</f>
        <v>0</v>
      </c>
      <c r="AG125" s="30" t="n">
        <f aca="false">MAX(0,MIN(X125,AD125+AE125-AF125))</f>
        <v>0</v>
      </c>
      <c r="AH125" s="29" t="n">
        <f aca="false">X125-AG125</f>
        <v>690</v>
      </c>
      <c r="AI125" s="34" t="n">
        <f aca="false">AD125+AE125-AF125-AG125</f>
        <v>0</v>
      </c>
      <c r="AJ125" s="34" t="n">
        <f aca="false">AM124</f>
        <v>0</v>
      </c>
      <c r="AK125" s="34" t="n">
        <f aca="false">AJ125*$AD$5/12</f>
        <v>0</v>
      </c>
      <c r="AL125" s="29" t="n">
        <f aca="false">MIN($AD$6,AJ125+AK125)</f>
        <v>0</v>
      </c>
      <c r="AM125" s="34" t="n">
        <f aca="false">AJ125+AK125-AL125</f>
        <v>0</v>
      </c>
      <c r="AN125" s="34" t="n">
        <f aca="false">AS124</f>
        <v>0</v>
      </c>
      <c r="AO125" s="34" t="n">
        <f aca="false">AN125*$AN$5/12</f>
        <v>0</v>
      </c>
      <c r="AP125" s="29" t="n">
        <f aca="false">MIN($AN$6,AN125+AO125)</f>
        <v>0</v>
      </c>
      <c r="AQ125" s="30" t="n">
        <f aca="false">MAX(0,MIN(AH125,AN125+AO125-AP125))</f>
        <v>0</v>
      </c>
      <c r="AR125" s="29" t="n">
        <f aca="false">AH125-AQ125</f>
        <v>690</v>
      </c>
      <c r="AS125" s="34" t="n">
        <f aca="false">AN125+AO125-AP125-AQ125</f>
        <v>0</v>
      </c>
      <c r="AT125" s="34" t="n">
        <f aca="false">AW124</f>
        <v>550.357819651412</v>
      </c>
      <c r="AU125" s="34" t="n">
        <f aca="false">AT125*$AN$5/12</f>
        <v>2.52247334006897</v>
      </c>
      <c r="AV125" s="29" t="n">
        <f aca="false">MIN($AN$6,AT125+AU125)</f>
        <v>130</v>
      </c>
      <c r="AW125" s="34" t="n">
        <f aca="false">AT125+AU125-AV125</f>
        <v>422.880292991481</v>
      </c>
      <c r="AX125" s="30" t="n">
        <f aca="false">BC124</f>
        <v>0</v>
      </c>
      <c r="AY125" s="30" t="n">
        <f aca="false">AX125*$AX$5/12</f>
        <v>0</v>
      </c>
      <c r="AZ125" s="30" t="n">
        <f aca="false">MIN($AX$6,AX125+AY125)</f>
        <v>0</v>
      </c>
      <c r="BA125" s="30" t="n">
        <f aca="false">MAX(0,MIN(AR125,AX125+AY125-AZ125))</f>
        <v>0</v>
      </c>
      <c r="BB125" s="29" t="n">
        <f aca="false">AR125-BA125</f>
        <v>690</v>
      </c>
      <c r="BC125" s="30" t="n">
        <f aca="false">AX125+AY125-AZ125-BA125</f>
        <v>0</v>
      </c>
      <c r="BD125" s="30" t="n">
        <f aca="false">BG124</f>
        <v>0</v>
      </c>
      <c r="BE125" s="30" t="n">
        <f aca="false">BD125*$AX$5/12</f>
        <v>0</v>
      </c>
      <c r="BF125" s="30" t="n">
        <f aca="false">MIN($AX$6,BD125+BE125)</f>
        <v>0</v>
      </c>
      <c r="BG125" s="30" t="n">
        <f aca="false">BD125+BE125-BF125</f>
        <v>0</v>
      </c>
      <c r="BH125" s="30" t="n">
        <f aca="false">BM124</f>
        <v>0</v>
      </c>
      <c r="BI125" s="30" t="n">
        <f aca="false">BH125*$BH$5/12</f>
        <v>0</v>
      </c>
      <c r="BJ125" s="30" t="n">
        <f aca="false">MIN($BH$6,BH125+BI125)</f>
        <v>0</v>
      </c>
      <c r="BK125" s="30" t="n">
        <f aca="false">MAX(0,MIN(BB125,BH125+BI125-BJ125))</f>
        <v>0</v>
      </c>
      <c r="BL125" s="29" t="n">
        <f aca="false">BB125-BK125</f>
        <v>690</v>
      </c>
      <c r="BM125" s="30" t="n">
        <f aca="false">BH125+BI125-BJ125-BK125</f>
        <v>0</v>
      </c>
      <c r="BN125" s="30" t="n">
        <f aca="false">BQ124</f>
        <v>0</v>
      </c>
      <c r="BO125" s="30" t="n">
        <f aca="false">BN125*$BH$5/12</f>
        <v>0</v>
      </c>
      <c r="BP125" s="30" t="n">
        <f aca="false">MIN($BH$6,BN125+BO125)</f>
        <v>0</v>
      </c>
      <c r="BQ125" s="30" t="n">
        <f aca="false">BN125+BO125-BP125</f>
        <v>0</v>
      </c>
      <c r="BR125" s="30" t="n">
        <f aca="false">BW124</f>
        <v>0</v>
      </c>
      <c r="BS125" s="30" t="n">
        <f aca="false">BR125*$BR$5/12</f>
        <v>0</v>
      </c>
      <c r="BT125" s="30" t="n">
        <f aca="false">MIN($BR$6,BR125+BS125)</f>
        <v>0</v>
      </c>
      <c r="BU125" s="30" t="n">
        <f aca="false">MAX(0,MIN(BL125,BR125+BS125-BT125))</f>
        <v>0</v>
      </c>
      <c r="BV125" s="29" t="n">
        <f aca="false">BL125-BU125</f>
        <v>690</v>
      </c>
      <c r="BW125" s="30" t="n">
        <f aca="false">BR125+BS125-BT125-BU125</f>
        <v>0</v>
      </c>
      <c r="BX125" s="30" t="n">
        <f aca="false">CA124</f>
        <v>0</v>
      </c>
      <c r="BY125" s="30" t="n">
        <f aca="false">BX125*$BR$5/12</f>
        <v>0</v>
      </c>
      <c r="BZ125" s="30" t="n">
        <f aca="false">MIN($BR$6,BX125+BY125)</f>
        <v>0</v>
      </c>
      <c r="CA125" s="30" t="n">
        <f aca="false">BX125+BY125-BZ125</f>
        <v>0</v>
      </c>
      <c r="CB125" s="30" t="n">
        <f aca="false">CG124</f>
        <v>0</v>
      </c>
      <c r="CC125" s="30" t="n">
        <f aca="false">CB125*$CB$5/12</f>
        <v>0</v>
      </c>
      <c r="CD125" s="30" t="n">
        <f aca="false">MIN($CB$6,CB125+CC125)</f>
        <v>0</v>
      </c>
      <c r="CE125" s="30" t="n">
        <f aca="false">MAX(0,MIN(BV125,CB125+CC125-CD125))</f>
        <v>0</v>
      </c>
      <c r="CF125" s="29" t="n">
        <f aca="false">BV125-CE125</f>
        <v>690</v>
      </c>
      <c r="CG125" s="30" t="n">
        <f aca="false">CB125+CC125-CD125-CE125</f>
        <v>0</v>
      </c>
      <c r="CH125" s="30" t="n">
        <f aca="false">CK124</f>
        <v>0</v>
      </c>
      <c r="CI125" s="30" t="n">
        <f aca="false">CH125*$CB$5/12</f>
        <v>0</v>
      </c>
      <c r="CJ125" s="30" t="n">
        <f aca="false">MIN($CB$6,CH125+CI125)</f>
        <v>0</v>
      </c>
      <c r="CK125" s="30" t="n">
        <f aca="false">CH125+CI125-CJ125</f>
        <v>0</v>
      </c>
    </row>
    <row r="126" customFormat="false" ht="15" hidden="false" customHeight="false" outlineLevel="0" collapsed="false">
      <c r="A126" s="0" t="n">
        <v>118</v>
      </c>
      <c r="B126" s="29" t="n">
        <f aca="false">'1 Your debts'!$B$16-(L126+V126+AF126+AP126+AZ126+BJ126+BT126+CD126)</f>
        <v>690</v>
      </c>
      <c r="C126" s="34" t="n">
        <f aca="false">O126+Y126+AI126+AS126+BC126+BM126+BW126+CG126</f>
        <v>0</v>
      </c>
      <c r="D126" s="34" t="n">
        <f aca="false">K126+U126+AE126+AO126+AY126+BI126+BS126+CC126</f>
        <v>0</v>
      </c>
      <c r="F126" s="34" t="n">
        <f aca="false">S126+AC126+AM126+AW126+BG126+BQ126+CA126+CK126</f>
        <v>294.818494334359</v>
      </c>
      <c r="G126" s="34" t="n">
        <f aca="false">Q126+AA126+AK126+AU126+BE126+BO126+BY126+CI126</f>
        <v>1.93820134287762</v>
      </c>
      <c r="J126" s="34" t="n">
        <f aca="false">O125</f>
        <v>0</v>
      </c>
      <c r="K126" s="34" t="n">
        <f aca="false">J126*$J$5/12</f>
        <v>0</v>
      </c>
      <c r="L126" s="29" t="n">
        <f aca="false">MIN($J$6,J126+K126)</f>
        <v>0</v>
      </c>
      <c r="M126" s="30" t="n">
        <f aca="false">MAX(0,MIN($B126,J126+K126-L126))</f>
        <v>0</v>
      </c>
      <c r="N126" s="29" t="n">
        <f aca="false">$B126-M126</f>
        <v>690</v>
      </c>
      <c r="O126" s="34" t="n">
        <f aca="false">J126+K126-L126-M126</f>
        <v>0</v>
      </c>
      <c r="P126" s="34" t="n">
        <f aca="false">S125</f>
        <v>0</v>
      </c>
      <c r="Q126" s="34" t="n">
        <f aca="false">P126*$J$5/12</f>
        <v>0</v>
      </c>
      <c r="R126" s="29" t="n">
        <f aca="false">MIN($J$6,P126+Q126)</f>
        <v>0</v>
      </c>
      <c r="S126" s="34" t="n">
        <f aca="false">P126+Q126-R126</f>
        <v>0</v>
      </c>
      <c r="T126" s="34" t="n">
        <f aca="false">Y125</f>
        <v>0</v>
      </c>
      <c r="U126" s="34" t="n">
        <f aca="false">T126*$T$5/12</f>
        <v>0</v>
      </c>
      <c r="V126" s="29" t="n">
        <f aca="false">MIN($T$6,T126+U126)</f>
        <v>0</v>
      </c>
      <c r="W126" s="30" t="n">
        <f aca="false">MAX(0,MIN(N126,T126+U126-V126))</f>
        <v>0</v>
      </c>
      <c r="X126" s="29" t="n">
        <f aca="false">N126-W126</f>
        <v>690</v>
      </c>
      <c r="Y126" s="34" t="n">
        <f aca="false">T126+U126-V126-W126</f>
        <v>0</v>
      </c>
      <c r="Z126" s="34" t="n">
        <f aca="false">AC125</f>
        <v>0</v>
      </c>
      <c r="AA126" s="34" t="n">
        <f aca="false">Z126*$T$5/12</f>
        <v>0</v>
      </c>
      <c r="AB126" s="29" t="n">
        <f aca="false">MIN($T$6,Z126+AA126)</f>
        <v>0</v>
      </c>
      <c r="AC126" s="34" t="n">
        <f aca="false">Z126+AA126-AB126</f>
        <v>0</v>
      </c>
      <c r="AD126" s="34" t="n">
        <f aca="false">AI125</f>
        <v>0</v>
      </c>
      <c r="AE126" s="34" t="n">
        <f aca="false">AD126*$AD$5/12</f>
        <v>0</v>
      </c>
      <c r="AF126" s="29" t="n">
        <f aca="false">MIN($AD$6,AD126+AE126)</f>
        <v>0</v>
      </c>
      <c r="AG126" s="30" t="n">
        <f aca="false">MAX(0,MIN(X126,AD126+AE126-AF126))</f>
        <v>0</v>
      </c>
      <c r="AH126" s="29" t="n">
        <f aca="false">X126-AG126</f>
        <v>690</v>
      </c>
      <c r="AI126" s="34" t="n">
        <f aca="false">AD126+AE126-AF126-AG126</f>
        <v>0</v>
      </c>
      <c r="AJ126" s="34" t="n">
        <f aca="false">AM125</f>
        <v>0</v>
      </c>
      <c r="AK126" s="34" t="n">
        <f aca="false">AJ126*$AD$5/12</f>
        <v>0</v>
      </c>
      <c r="AL126" s="29" t="n">
        <f aca="false">MIN($AD$6,AJ126+AK126)</f>
        <v>0</v>
      </c>
      <c r="AM126" s="34" t="n">
        <f aca="false">AJ126+AK126-AL126</f>
        <v>0</v>
      </c>
      <c r="AN126" s="34" t="n">
        <f aca="false">AS125</f>
        <v>0</v>
      </c>
      <c r="AO126" s="34" t="n">
        <f aca="false">AN126*$AN$5/12</f>
        <v>0</v>
      </c>
      <c r="AP126" s="29" t="n">
        <f aca="false">MIN($AN$6,AN126+AO126)</f>
        <v>0</v>
      </c>
      <c r="AQ126" s="30" t="n">
        <f aca="false">MAX(0,MIN(AH126,AN126+AO126-AP126))</f>
        <v>0</v>
      </c>
      <c r="AR126" s="29" t="n">
        <f aca="false">AH126-AQ126</f>
        <v>690</v>
      </c>
      <c r="AS126" s="34" t="n">
        <f aca="false">AN126+AO126-AP126-AQ126</f>
        <v>0</v>
      </c>
      <c r="AT126" s="34" t="n">
        <f aca="false">AW125</f>
        <v>422.880292991481</v>
      </c>
      <c r="AU126" s="34" t="n">
        <f aca="false">AT126*$AN$5/12</f>
        <v>1.93820134287762</v>
      </c>
      <c r="AV126" s="29" t="n">
        <f aca="false">MIN($AN$6,AT126+AU126)</f>
        <v>130</v>
      </c>
      <c r="AW126" s="34" t="n">
        <f aca="false">AT126+AU126-AV126</f>
        <v>294.818494334359</v>
      </c>
      <c r="AX126" s="30" t="n">
        <f aca="false">BC125</f>
        <v>0</v>
      </c>
      <c r="AY126" s="30" t="n">
        <f aca="false">AX126*$AX$5/12</f>
        <v>0</v>
      </c>
      <c r="AZ126" s="30" t="n">
        <f aca="false">MIN($AX$6,AX126+AY126)</f>
        <v>0</v>
      </c>
      <c r="BA126" s="30" t="n">
        <f aca="false">MAX(0,MIN(AR126,AX126+AY126-AZ126))</f>
        <v>0</v>
      </c>
      <c r="BB126" s="29" t="n">
        <f aca="false">AR126-BA126</f>
        <v>690</v>
      </c>
      <c r="BC126" s="30" t="n">
        <f aca="false">AX126+AY126-AZ126-BA126</f>
        <v>0</v>
      </c>
      <c r="BD126" s="30" t="n">
        <f aca="false">BG125</f>
        <v>0</v>
      </c>
      <c r="BE126" s="30" t="n">
        <f aca="false">BD126*$AX$5/12</f>
        <v>0</v>
      </c>
      <c r="BF126" s="30" t="n">
        <f aca="false">MIN($AX$6,BD126+BE126)</f>
        <v>0</v>
      </c>
      <c r="BG126" s="30" t="n">
        <f aca="false">BD126+BE126-BF126</f>
        <v>0</v>
      </c>
      <c r="BH126" s="30" t="n">
        <f aca="false">BM125</f>
        <v>0</v>
      </c>
      <c r="BI126" s="30" t="n">
        <f aca="false">BH126*$BH$5/12</f>
        <v>0</v>
      </c>
      <c r="BJ126" s="30" t="n">
        <f aca="false">MIN($BH$6,BH126+BI126)</f>
        <v>0</v>
      </c>
      <c r="BK126" s="30" t="n">
        <f aca="false">MAX(0,MIN(BB126,BH126+BI126-BJ126))</f>
        <v>0</v>
      </c>
      <c r="BL126" s="29" t="n">
        <f aca="false">BB126-BK126</f>
        <v>690</v>
      </c>
      <c r="BM126" s="30" t="n">
        <f aca="false">BH126+BI126-BJ126-BK126</f>
        <v>0</v>
      </c>
      <c r="BN126" s="30" t="n">
        <f aca="false">BQ125</f>
        <v>0</v>
      </c>
      <c r="BO126" s="30" t="n">
        <f aca="false">BN126*$BH$5/12</f>
        <v>0</v>
      </c>
      <c r="BP126" s="30" t="n">
        <f aca="false">MIN($BH$6,BN126+BO126)</f>
        <v>0</v>
      </c>
      <c r="BQ126" s="30" t="n">
        <f aca="false">BN126+BO126-BP126</f>
        <v>0</v>
      </c>
      <c r="BR126" s="30" t="n">
        <f aca="false">BW125</f>
        <v>0</v>
      </c>
      <c r="BS126" s="30" t="n">
        <f aca="false">BR126*$BR$5/12</f>
        <v>0</v>
      </c>
      <c r="BT126" s="30" t="n">
        <f aca="false">MIN($BR$6,BR126+BS126)</f>
        <v>0</v>
      </c>
      <c r="BU126" s="30" t="n">
        <f aca="false">MAX(0,MIN(BL126,BR126+BS126-BT126))</f>
        <v>0</v>
      </c>
      <c r="BV126" s="29" t="n">
        <f aca="false">BL126-BU126</f>
        <v>690</v>
      </c>
      <c r="BW126" s="30" t="n">
        <f aca="false">BR126+BS126-BT126-BU126</f>
        <v>0</v>
      </c>
      <c r="BX126" s="30" t="n">
        <f aca="false">CA125</f>
        <v>0</v>
      </c>
      <c r="BY126" s="30" t="n">
        <f aca="false">BX126*$BR$5/12</f>
        <v>0</v>
      </c>
      <c r="BZ126" s="30" t="n">
        <f aca="false">MIN($BR$6,BX126+BY126)</f>
        <v>0</v>
      </c>
      <c r="CA126" s="30" t="n">
        <f aca="false">BX126+BY126-BZ126</f>
        <v>0</v>
      </c>
      <c r="CB126" s="30" t="n">
        <f aca="false">CG125</f>
        <v>0</v>
      </c>
      <c r="CC126" s="30" t="n">
        <f aca="false">CB126*$CB$5/12</f>
        <v>0</v>
      </c>
      <c r="CD126" s="30" t="n">
        <f aca="false">MIN($CB$6,CB126+CC126)</f>
        <v>0</v>
      </c>
      <c r="CE126" s="30" t="n">
        <f aca="false">MAX(0,MIN(BV126,CB126+CC126-CD126))</f>
        <v>0</v>
      </c>
      <c r="CF126" s="29" t="n">
        <f aca="false">BV126-CE126</f>
        <v>690</v>
      </c>
      <c r="CG126" s="30" t="n">
        <f aca="false">CB126+CC126-CD126-CE126</f>
        <v>0</v>
      </c>
      <c r="CH126" s="30" t="n">
        <f aca="false">CK125</f>
        <v>0</v>
      </c>
      <c r="CI126" s="30" t="n">
        <f aca="false">CH126*$CB$5/12</f>
        <v>0</v>
      </c>
      <c r="CJ126" s="30" t="n">
        <f aca="false">MIN($CB$6,CH126+CI126)</f>
        <v>0</v>
      </c>
      <c r="CK126" s="30" t="n">
        <f aca="false">CH126+CI126-CJ126</f>
        <v>0</v>
      </c>
    </row>
    <row r="127" customFormat="false" ht="15" hidden="false" customHeight="false" outlineLevel="0" collapsed="false">
      <c r="A127" s="0" t="n">
        <v>119</v>
      </c>
      <c r="B127" s="29" t="n">
        <f aca="false">'1 Your debts'!$B$16-(L127+V127+AF127+AP127+AZ127+BJ127+BT127+CD127)</f>
        <v>690</v>
      </c>
      <c r="C127" s="34" t="n">
        <f aca="false">O127+Y127+AI127+AS127+BC127+BM127+BW127+CG127</f>
        <v>0</v>
      </c>
      <c r="D127" s="34" t="n">
        <f aca="false">K127+U127+AE127+AO127+AY127+BI127+BS127+CC127</f>
        <v>0</v>
      </c>
      <c r="F127" s="34" t="n">
        <f aca="false">S127+AC127+AM127+AW127+BG127+BQ127+CA127+CK127</f>
        <v>166.169745766725</v>
      </c>
      <c r="G127" s="34" t="n">
        <f aca="false">Q127+AA127+AK127+AU127+BE127+BO127+BY127+CI127</f>
        <v>1.35125143236581</v>
      </c>
      <c r="J127" s="34" t="n">
        <f aca="false">O126</f>
        <v>0</v>
      </c>
      <c r="K127" s="34" t="n">
        <f aca="false">J127*$J$5/12</f>
        <v>0</v>
      </c>
      <c r="L127" s="29" t="n">
        <f aca="false">MIN($J$6,J127+K127)</f>
        <v>0</v>
      </c>
      <c r="M127" s="30" t="n">
        <f aca="false">MAX(0,MIN($B127,J127+K127-L127))</f>
        <v>0</v>
      </c>
      <c r="N127" s="29" t="n">
        <f aca="false">$B127-M127</f>
        <v>690</v>
      </c>
      <c r="O127" s="34" t="n">
        <f aca="false">J127+K127-L127-M127</f>
        <v>0</v>
      </c>
      <c r="P127" s="34" t="n">
        <f aca="false">S126</f>
        <v>0</v>
      </c>
      <c r="Q127" s="34" t="n">
        <f aca="false">P127*$J$5/12</f>
        <v>0</v>
      </c>
      <c r="R127" s="29" t="n">
        <f aca="false">MIN($J$6,P127+Q127)</f>
        <v>0</v>
      </c>
      <c r="S127" s="34" t="n">
        <f aca="false">P127+Q127-R127</f>
        <v>0</v>
      </c>
      <c r="T127" s="34" t="n">
        <f aca="false">Y126</f>
        <v>0</v>
      </c>
      <c r="U127" s="34" t="n">
        <f aca="false">T127*$T$5/12</f>
        <v>0</v>
      </c>
      <c r="V127" s="29" t="n">
        <f aca="false">MIN($T$6,T127+U127)</f>
        <v>0</v>
      </c>
      <c r="W127" s="30" t="n">
        <f aca="false">MAX(0,MIN(N127,T127+U127-V127))</f>
        <v>0</v>
      </c>
      <c r="X127" s="29" t="n">
        <f aca="false">N127-W127</f>
        <v>690</v>
      </c>
      <c r="Y127" s="34" t="n">
        <f aca="false">T127+U127-V127-W127</f>
        <v>0</v>
      </c>
      <c r="Z127" s="34" t="n">
        <f aca="false">AC126</f>
        <v>0</v>
      </c>
      <c r="AA127" s="34" t="n">
        <f aca="false">Z127*$T$5/12</f>
        <v>0</v>
      </c>
      <c r="AB127" s="29" t="n">
        <f aca="false">MIN($T$6,Z127+AA127)</f>
        <v>0</v>
      </c>
      <c r="AC127" s="34" t="n">
        <f aca="false">Z127+AA127-AB127</f>
        <v>0</v>
      </c>
      <c r="AD127" s="34" t="n">
        <f aca="false">AI126</f>
        <v>0</v>
      </c>
      <c r="AE127" s="34" t="n">
        <f aca="false">AD127*$AD$5/12</f>
        <v>0</v>
      </c>
      <c r="AF127" s="29" t="n">
        <f aca="false">MIN($AD$6,AD127+AE127)</f>
        <v>0</v>
      </c>
      <c r="AG127" s="30" t="n">
        <f aca="false">MAX(0,MIN(X127,AD127+AE127-AF127))</f>
        <v>0</v>
      </c>
      <c r="AH127" s="29" t="n">
        <f aca="false">X127-AG127</f>
        <v>690</v>
      </c>
      <c r="AI127" s="34" t="n">
        <f aca="false">AD127+AE127-AF127-AG127</f>
        <v>0</v>
      </c>
      <c r="AJ127" s="34" t="n">
        <f aca="false">AM126</f>
        <v>0</v>
      </c>
      <c r="AK127" s="34" t="n">
        <f aca="false">AJ127*$AD$5/12</f>
        <v>0</v>
      </c>
      <c r="AL127" s="29" t="n">
        <f aca="false">MIN($AD$6,AJ127+AK127)</f>
        <v>0</v>
      </c>
      <c r="AM127" s="34" t="n">
        <f aca="false">AJ127+AK127-AL127</f>
        <v>0</v>
      </c>
      <c r="AN127" s="34" t="n">
        <f aca="false">AS126</f>
        <v>0</v>
      </c>
      <c r="AO127" s="34" t="n">
        <f aca="false">AN127*$AN$5/12</f>
        <v>0</v>
      </c>
      <c r="AP127" s="29" t="n">
        <f aca="false">MIN($AN$6,AN127+AO127)</f>
        <v>0</v>
      </c>
      <c r="AQ127" s="30" t="n">
        <f aca="false">MAX(0,MIN(AH127,AN127+AO127-AP127))</f>
        <v>0</v>
      </c>
      <c r="AR127" s="29" t="n">
        <f aca="false">AH127-AQ127</f>
        <v>690</v>
      </c>
      <c r="AS127" s="34" t="n">
        <f aca="false">AN127+AO127-AP127-AQ127</f>
        <v>0</v>
      </c>
      <c r="AT127" s="34" t="n">
        <f aca="false">AW126</f>
        <v>294.818494334359</v>
      </c>
      <c r="AU127" s="34" t="n">
        <f aca="false">AT127*$AN$5/12</f>
        <v>1.35125143236581</v>
      </c>
      <c r="AV127" s="29" t="n">
        <f aca="false">MIN($AN$6,AT127+AU127)</f>
        <v>130</v>
      </c>
      <c r="AW127" s="34" t="n">
        <f aca="false">AT127+AU127-AV127</f>
        <v>166.169745766725</v>
      </c>
      <c r="AX127" s="30" t="n">
        <f aca="false">BC126</f>
        <v>0</v>
      </c>
      <c r="AY127" s="30" t="n">
        <f aca="false">AX127*$AX$5/12</f>
        <v>0</v>
      </c>
      <c r="AZ127" s="30" t="n">
        <f aca="false">MIN($AX$6,AX127+AY127)</f>
        <v>0</v>
      </c>
      <c r="BA127" s="30" t="n">
        <f aca="false">MAX(0,MIN(AR127,AX127+AY127-AZ127))</f>
        <v>0</v>
      </c>
      <c r="BB127" s="29" t="n">
        <f aca="false">AR127-BA127</f>
        <v>690</v>
      </c>
      <c r="BC127" s="30" t="n">
        <f aca="false">AX127+AY127-AZ127-BA127</f>
        <v>0</v>
      </c>
      <c r="BD127" s="30" t="n">
        <f aca="false">BG126</f>
        <v>0</v>
      </c>
      <c r="BE127" s="30" t="n">
        <f aca="false">BD127*$AX$5/12</f>
        <v>0</v>
      </c>
      <c r="BF127" s="30" t="n">
        <f aca="false">MIN($AX$6,BD127+BE127)</f>
        <v>0</v>
      </c>
      <c r="BG127" s="30" t="n">
        <f aca="false">BD127+BE127-BF127</f>
        <v>0</v>
      </c>
      <c r="BH127" s="30" t="n">
        <f aca="false">BM126</f>
        <v>0</v>
      </c>
      <c r="BI127" s="30" t="n">
        <f aca="false">BH127*$BH$5/12</f>
        <v>0</v>
      </c>
      <c r="BJ127" s="30" t="n">
        <f aca="false">MIN($BH$6,BH127+BI127)</f>
        <v>0</v>
      </c>
      <c r="BK127" s="30" t="n">
        <f aca="false">MAX(0,MIN(BB127,BH127+BI127-BJ127))</f>
        <v>0</v>
      </c>
      <c r="BL127" s="29" t="n">
        <f aca="false">BB127-BK127</f>
        <v>690</v>
      </c>
      <c r="BM127" s="30" t="n">
        <f aca="false">BH127+BI127-BJ127-BK127</f>
        <v>0</v>
      </c>
      <c r="BN127" s="30" t="n">
        <f aca="false">BQ126</f>
        <v>0</v>
      </c>
      <c r="BO127" s="30" t="n">
        <f aca="false">BN127*$BH$5/12</f>
        <v>0</v>
      </c>
      <c r="BP127" s="30" t="n">
        <f aca="false">MIN($BH$6,BN127+BO127)</f>
        <v>0</v>
      </c>
      <c r="BQ127" s="30" t="n">
        <f aca="false">BN127+BO127-BP127</f>
        <v>0</v>
      </c>
      <c r="BR127" s="30" t="n">
        <f aca="false">BW126</f>
        <v>0</v>
      </c>
      <c r="BS127" s="30" t="n">
        <f aca="false">BR127*$BR$5/12</f>
        <v>0</v>
      </c>
      <c r="BT127" s="30" t="n">
        <f aca="false">MIN($BR$6,BR127+BS127)</f>
        <v>0</v>
      </c>
      <c r="BU127" s="30" t="n">
        <f aca="false">MAX(0,MIN(BL127,BR127+BS127-BT127))</f>
        <v>0</v>
      </c>
      <c r="BV127" s="29" t="n">
        <f aca="false">BL127-BU127</f>
        <v>690</v>
      </c>
      <c r="BW127" s="30" t="n">
        <f aca="false">BR127+BS127-BT127-BU127</f>
        <v>0</v>
      </c>
      <c r="BX127" s="30" t="n">
        <f aca="false">CA126</f>
        <v>0</v>
      </c>
      <c r="BY127" s="30" t="n">
        <f aca="false">BX127*$BR$5/12</f>
        <v>0</v>
      </c>
      <c r="BZ127" s="30" t="n">
        <f aca="false">MIN($BR$6,BX127+BY127)</f>
        <v>0</v>
      </c>
      <c r="CA127" s="30" t="n">
        <f aca="false">BX127+BY127-BZ127</f>
        <v>0</v>
      </c>
      <c r="CB127" s="30" t="n">
        <f aca="false">CG126</f>
        <v>0</v>
      </c>
      <c r="CC127" s="30" t="n">
        <f aca="false">CB127*$CB$5/12</f>
        <v>0</v>
      </c>
      <c r="CD127" s="30" t="n">
        <f aca="false">MIN($CB$6,CB127+CC127)</f>
        <v>0</v>
      </c>
      <c r="CE127" s="30" t="n">
        <f aca="false">MAX(0,MIN(BV127,CB127+CC127-CD127))</f>
        <v>0</v>
      </c>
      <c r="CF127" s="29" t="n">
        <f aca="false">BV127-CE127</f>
        <v>690</v>
      </c>
      <c r="CG127" s="30" t="n">
        <f aca="false">CB127+CC127-CD127-CE127</f>
        <v>0</v>
      </c>
      <c r="CH127" s="30" t="n">
        <f aca="false">CK126</f>
        <v>0</v>
      </c>
      <c r="CI127" s="30" t="n">
        <f aca="false">CH127*$CB$5/12</f>
        <v>0</v>
      </c>
      <c r="CJ127" s="30" t="n">
        <f aca="false">MIN($CB$6,CH127+CI127)</f>
        <v>0</v>
      </c>
      <c r="CK127" s="30" t="n">
        <f aca="false">CH127+CI127-CJ127</f>
        <v>0</v>
      </c>
    </row>
    <row r="128" customFormat="false" ht="15" hidden="false" customHeight="false" outlineLevel="0" collapsed="false">
      <c r="A128" s="0" t="n">
        <v>120</v>
      </c>
      <c r="B128" s="29" t="n">
        <f aca="false">'1 Your debts'!$B$16-(L128+V128+AF128+AP128+AZ128+BJ128+BT128+CD128)</f>
        <v>690</v>
      </c>
      <c r="C128" s="34" t="n">
        <f aca="false">O128+Y128+AI128+AS128+BC128+BM128+BW128+CG128</f>
        <v>0</v>
      </c>
      <c r="D128" s="34" t="n">
        <f aca="false">K128+U128+AE128+AO128+AY128+BI128+BS128+CC128</f>
        <v>0</v>
      </c>
      <c r="F128" s="34" t="n">
        <f aca="false">S128+AC128+AM128+AW128+BG128+BQ128+CA128+CK128</f>
        <v>36.9313571014887</v>
      </c>
      <c r="G128" s="34" t="n">
        <f aca="false">Q128+AA128+AK128+AU128+BE128+BO128+BY128+CI128</f>
        <v>0.761611334764154</v>
      </c>
      <c r="J128" s="34" t="n">
        <f aca="false">O127</f>
        <v>0</v>
      </c>
      <c r="K128" s="34" t="n">
        <f aca="false">J128*$J$5/12</f>
        <v>0</v>
      </c>
      <c r="L128" s="29" t="n">
        <f aca="false">MIN($J$6,J128+K128)</f>
        <v>0</v>
      </c>
      <c r="M128" s="30" t="n">
        <f aca="false">MAX(0,MIN($B128,J128+K128-L128))</f>
        <v>0</v>
      </c>
      <c r="N128" s="29" t="n">
        <f aca="false">$B128-M128</f>
        <v>690</v>
      </c>
      <c r="O128" s="34" t="n">
        <f aca="false">J128+K128-L128-M128</f>
        <v>0</v>
      </c>
      <c r="P128" s="34" t="n">
        <f aca="false">S127</f>
        <v>0</v>
      </c>
      <c r="Q128" s="34" t="n">
        <f aca="false">P128*$J$5/12</f>
        <v>0</v>
      </c>
      <c r="R128" s="29" t="n">
        <f aca="false">MIN($J$6,P128+Q128)</f>
        <v>0</v>
      </c>
      <c r="S128" s="34" t="n">
        <f aca="false">P128+Q128-R128</f>
        <v>0</v>
      </c>
      <c r="T128" s="34" t="n">
        <f aca="false">Y127</f>
        <v>0</v>
      </c>
      <c r="U128" s="34" t="n">
        <f aca="false">T128*$T$5/12</f>
        <v>0</v>
      </c>
      <c r="V128" s="29" t="n">
        <f aca="false">MIN($T$6,T128+U128)</f>
        <v>0</v>
      </c>
      <c r="W128" s="30" t="n">
        <f aca="false">MAX(0,MIN(N128,T128+U128-V128))</f>
        <v>0</v>
      </c>
      <c r="X128" s="29" t="n">
        <f aca="false">N128-W128</f>
        <v>690</v>
      </c>
      <c r="Y128" s="34" t="n">
        <f aca="false">T128+U128-V128-W128</f>
        <v>0</v>
      </c>
      <c r="Z128" s="34" t="n">
        <f aca="false">AC127</f>
        <v>0</v>
      </c>
      <c r="AA128" s="34" t="n">
        <f aca="false">Z128*$T$5/12</f>
        <v>0</v>
      </c>
      <c r="AB128" s="29" t="n">
        <f aca="false">MIN($T$6,Z128+AA128)</f>
        <v>0</v>
      </c>
      <c r="AC128" s="34" t="n">
        <f aca="false">Z128+AA128-AB128</f>
        <v>0</v>
      </c>
      <c r="AD128" s="34" t="n">
        <f aca="false">AI127</f>
        <v>0</v>
      </c>
      <c r="AE128" s="34" t="n">
        <f aca="false">AD128*$AD$5/12</f>
        <v>0</v>
      </c>
      <c r="AF128" s="29" t="n">
        <f aca="false">MIN($AD$6,AD128+AE128)</f>
        <v>0</v>
      </c>
      <c r="AG128" s="30" t="n">
        <f aca="false">MAX(0,MIN(X128,AD128+AE128-AF128))</f>
        <v>0</v>
      </c>
      <c r="AH128" s="29" t="n">
        <f aca="false">X128-AG128</f>
        <v>690</v>
      </c>
      <c r="AI128" s="34" t="n">
        <f aca="false">AD128+AE128-AF128-AG128</f>
        <v>0</v>
      </c>
      <c r="AJ128" s="34" t="n">
        <f aca="false">AM127</f>
        <v>0</v>
      </c>
      <c r="AK128" s="34" t="n">
        <f aca="false">AJ128*$AD$5/12</f>
        <v>0</v>
      </c>
      <c r="AL128" s="29" t="n">
        <f aca="false">MIN($AD$6,AJ128+AK128)</f>
        <v>0</v>
      </c>
      <c r="AM128" s="34" t="n">
        <f aca="false">AJ128+AK128-AL128</f>
        <v>0</v>
      </c>
      <c r="AN128" s="34" t="n">
        <f aca="false">AS127</f>
        <v>0</v>
      </c>
      <c r="AO128" s="34" t="n">
        <f aca="false">AN128*$AN$5/12</f>
        <v>0</v>
      </c>
      <c r="AP128" s="29" t="n">
        <f aca="false">MIN($AN$6,AN128+AO128)</f>
        <v>0</v>
      </c>
      <c r="AQ128" s="30" t="n">
        <f aca="false">MAX(0,MIN(AH128,AN128+AO128-AP128))</f>
        <v>0</v>
      </c>
      <c r="AR128" s="29" t="n">
        <f aca="false">AH128-AQ128</f>
        <v>690</v>
      </c>
      <c r="AS128" s="34" t="n">
        <f aca="false">AN128+AO128-AP128-AQ128</f>
        <v>0</v>
      </c>
      <c r="AT128" s="34" t="n">
        <f aca="false">AW127</f>
        <v>166.169745766725</v>
      </c>
      <c r="AU128" s="34" t="n">
        <f aca="false">AT128*$AN$5/12</f>
        <v>0.761611334764154</v>
      </c>
      <c r="AV128" s="29" t="n">
        <f aca="false">MIN($AN$6,AT128+AU128)</f>
        <v>130</v>
      </c>
      <c r="AW128" s="34" t="n">
        <f aca="false">AT128+AU128-AV128</f>
        <v>36.9313571014887</v>
      </c>
      <c r="AX128" s="30" t="n">
        <f aca="false">BC127</f>
        <v>0</v>
      </c>
      <c r="AY128" s="30" t="n">
        <f aca="false">AX128*$AX$5/12</f>
        <v>0</v>
      </c>
      <c r="AZ128" s="30" t="n">
        <f aca="false">MIN($AX$6,AX128+AY128)</f>
        <v>0</v>
      </c>
      <c r="BA128" s="30" t="n">
        <f aca="false">MAX(0,MIN(AR128,AX128+AY128-AZ128))</f>
        <v>0</v>
      </c>
      <c r="BB128" s="29" t="n">
        <f aca="false">AR128-BA128</f>
        <v>690</v>
      </c>
      <c r="BC128" s="30" t="n">
        <f aca="false">AX128+AY128-AZ128-BA128</f>
        <v>0</v>
      </c>
      <c r="BD128" s="30" t="n">
        <f aca="false">BG127</f>
        <v>0</v>
      </c>
      <c r="BE128" s="30" t="n">
        <f aca="false">BD128*$AX$5/12</f>
        <v>0</v>
      </c>
      <c r="BF128" s="30" t="n">
        <f aca="false">MIN($AX$6,BD128+BE128)</f>
        <v>0</v>
      </c>
      <c r="BG128" s="30" t="n">
        <f aca="false">BD128+BE128-BF128</f>
        <v>0</v>
      </c>
      <c r="BH128" s="30" t="n">
        <f aca="false">BM127</f>
        <v>0</v>
      </c>
      <c r="BI128" s="30" t="n">
        <f aca="false">BH128*$BH$5/12</f>
        <v>0</v>
      </c>
      <c r="BJ128" s="30" t="n">
        <f aca="false">MIN($BH$6,BH128+BI128)</f>
        <v>0</v>
      </c>
      <c r="BK128" s="30" t="n">
        <f aca="false">MAX(0,MIN(BB128,BH128+BI128-BJ128))</f>
        <v>0</v>
      </c>
      <c r="BL128" s="29" t="n">
        <f aca="false">BB128-BK128</f>
        <v>690</v>
      </c>
      <c r="BM128" s="30" t="n">
        <f aca="false">BH128+BI128-BJ128-BK128</f>
        <v>0</v>
      </c>
      <c r="BN128" s="30" t="n">
        <f aca="false">BQ127</f>
        <v>0</v>
      </c>
      <c r="BO128" s="30" t="n">
        <f aca="false">BN128*$BH$5/12</f>
        <v>0</v>
      </c>
      <c r="BP128" s="30" t="n">
        <f aca="false">MIN($BH$6,BN128+BO128)</f>
        <v>0</v>
      </c>
      <c r="BQ128" s="30" t="n">
        <f aca="false">BN128+BO128-BP128</f>
        <v>0</v>
      </c>
      <c r="BR128" s="30" t="n">
        <f aca="false">BW127</f>
        <v>0</v>
      </c>
      <c r="BS128" s="30" t="n">
        <f aca="false">BR128*$BR$5/12</f>
        <v>0</v>
      </c>
      <c r="BT128" s="30" t="n">
        <f aca="false">MIN($BR$6,BR128+BS128)</f>
        <v>0</v>
      </c>
      <c r="BU128" s="30" t="n">
        <f aca="false">MAX(0,MIN(BL128,BR128+BS128-BT128))</f>
        <v>0</v>
      </c>
      <c r="BV128" s="29" t="n">
        <f aca="false">BL128-BU128</f>
        <v>690</v>
      </c>
      <c r="BW128" s="30" t="n">
        <f aca="false">BR128+BS128-BT128-BU128</f>
        <v>0</v>
      </c>
      <c r="BX128" s="30" t="n">
        <f aca="false">CA127</f>
        <v>0</v>
      </c>
      <c r="BY128" s="30" t="n">
        <f aca="false">BX128*$BR$5/12</f>
        <v>0</v>
      </c>
      <c r="BZ128" s="30" t="n">
        <f aca="false">MIN($BR$6,BX128+BY128)</f>
        <v>0</v>
      </c>
      <c r="CA128" s="30" t="n">
        <f aca="false">BX128+BY128-BZ128</f>
        <v>0</v>
      </c>
      <c r="CB128" s="30" t="n">
        <f aca="false">CG127</f>
        <v>0</v>
      </c>
      <c r="CC128" s="30" t="n">
        <f aca="false">CB128*$CB$5/12</f>
        <v>0</v>
      </c>
      <c r="CD128" s="30" t="n">
        <f aca="false">MIN($CB$6,CB128+CC128)</f>
        <v>0</v>
      </c>
      <c r="CE128" s="30" t="n">
        <f aca="false">MAX(0,MIN(BV128,CB128+CC128-CD128))</f>
        <v>0</v>
      </c>
      <c r="CF128" s="29" t="n">
        <f aca="false">BV128-CE128</f>
        <v>690</v>
      </c>
      <c r="CG128" s="30" t="n">
        <f aca="false">CB128+CC128-CD128-CE128</f>
        <v>0</v>
      </c>
      <c r="CH128" s="30" t="n">
        <f aca="false">CK127</f>
        <v>0</v>
      </c>
      <c r="CI128" s="30" t="n">
        <f aca="false">CH128*$CB$5/12</f>
        <v>0</v>
      </c>
      <c r="CJ128" s="30" t="n">
        <f aca="false">MIN($CB$6,CH128+CI128)</f>
        <v>0</v>
      </c>
      <c r="CK128" s="30" t="n">
        <f aca="false">CH128+CI128-CJ128</f>
        <v>0</v>
      </c>
    </row>
    <row r="129" customFormat="false" ht="15" hidden="false" customHeight="false" outlineLevel="0" collapsed="false">
      <c r="A129" s="0" t="n">
        <v>121</v>
      </c>
      <c r="B129" s="29" t="n">
        <f aca="false">'1 Your debts'!$B$16-(L129+V129+AF129+AP129+AZ129+BJ129+BT129+CD129)</f>
        <v>690</v>
      </c>
      <c r="C129" s="34" t="n">
        <f aca="false">O129+Y129+AI129+AS129+BC129+BM129+BW129+CG129</f>
        <v>0</v>
      </c>
      <c r="D129" s="34" t="n">
        <f aca="false">K129+U129+AE129+AO129+AY129+BI129+BS129+CC129</f>
        <v>0</v>
      </c>
      <c r="F129" s="34" t="n">
        <f aca="false">S129+AC129+AM129+AW129+BG129+BQ129+CA129+CK129</f>
        <v>0</v>
      </c>
      <c r="G129" s="34" t="n">
        <f aca="false">Q129+AA129+AK129+AU129+BE129+BO129+BY129+CI129</f>
        <v>0.16926872004849</v>
      </c>
      <c r="J129" s="34" t="n">
        <f aca="false">O128</f>
        <v>0</v>
      </c>
      <c r="K129" s="34" t="n">
        <f aca="false">J129*$J$5/12</f>
        <v>0</v>
      </c>
      <c r="L129" s="29" t="n">
        <f aca="false">MIN($J$6,J129+K129)</f>
        <v>0</v>
      </c>
      <c r="M129" s="30" t="n">
        <f aca="false">MAX(0,MIN($B129,J129+K129-L129))</f>
        <v>0</v>
      </c>
      <c r="N129" s="29" t="n">
        <f aca="false">$B129-M129</f>
        <v>690</v>
      </c>
      <c r="O129" s="34" t="n">
        <f aca="false">J129+K129-L129-M129</f>
        <v>0</v>
      </c>
      <c r="P129" s="34" t="n">
        <f aca="false">S128</f>
        <v>0</v>
      </c>
      <c r="Q129" s="34" t="n">
        <f aca="false">P129*$J$5/12</f>
        <v>0</v>
      </c>
      <c r="R129" s="29" t="n">
        <f aca="false">MIN($J$6,P129+Q129)</f>
        <v>0</v>
      </c>
      <c r="S129" s="34" t="n">
        <f aca="false">P129+Q129-R129</f>
        <v>0</v>
      </c>
      <c r="T129" s="34" t="n">
        <f aca="false">Y128</f>
        <v>0</v>
      </c>
      <c r="U129" s="34" t="n">
        <f aca="false">T129*$T$5/12</f>
        <v>0</v>
      </c>
      <c r="V129" s="29" t="n">
        <f aca="false">MIN($T$6,T129+U129)</f>
        <v>0</v>
      </c>
      <c r="W129" s="30" t="n">
        <f aca="false">MAX(0,MIN(N129,T129+U129-V129))</f>
        <v>0</v>
      </c>
      <c r="X129" s="29" t="n">
        <f aca="false">N129-W129</f>
        <v>690</v>
      </c>
      <c r="Y129" s="34" t="n">
        <f aca="false">T129+U129-V129-W129</f>
        <v>0</v>
      </c>
      <c r="Z129" s="34" t="n">
        <f aca="false">AC128</f>
        <v>0</v>
      </c>
      <c r="AA129" s="34" t="n">
        <f aca="false">Z129*$T$5/12</f>
        <v>0</v>
      </c>
      <c r="AB129" s="29" t="n">
        <f aca="false">MIN($T$6,Z129+AA129)</f>
        <v>0</v>
      </c>
      <c r="AC129" s="34" t="n">
        <f aca="false">Z129+AA129-AB129</f>
        <v>0</v>
      </c>
      <c r="AD129" s="34" t="n">
        <f aca="false">AI128</f>
        <v>0</v>
      </c>
      <c r="AE129" s="34" t="n">
        <f aca="false">AD129*$AD$5/12</f>
        <v>0</v>
      </c>
      <c r="AF129" s="29" t="n">
        <f aca="false">MIN($AD$6,AD129+AE129)</f>
        <v>0</v>
      </c>
      <c r="AG129" s="30" t="n">
        <f aca="false">MAX(0,MIN(X129,AD129+AE129-AF129))</f>
        <v>0</v>
      </c>
      <c r="AH129" s="29" t="n">
        <f aca="false">X129-AG129</f>
        <v>690</v>
      </c>
      <c r="AI129" s="34" t="n">
        <f aca="false">AD129+AE129-AF129-AG129</f>
        <v>0</v>
      </c>
      <c r="AJ129" s="34" t="n">
        <f aca="false">AM128</f>
        <v>0</v>
      </c>
      <c r="AK129" s="34" t="n">
        <f aca="false">AJ129*$AD$5/12</f>
        <v>0</v>
      </c>
      <c r="AL129" s="29" t="n">
        <f aca="false">MIN($AD$6,AJ129+AK129)</f>
        <v>0</v>
      </c>
      <c r="AM129" s="34" t="n">
        <f aca="false">AJ129+AK129-AL129</f>
        <v>0</v>
      </c>
      <c r="AN129" s="34" t="n">
        <f aca="false">AS128</f>
        <v>0</v>
      </c>
      <c r="AO129" s="34" t="n">
        <f aca="false">AN129*$AN$5/12</f>
        <v>0</v>
      </c>
      <c r="AP129" s="29" t="n">
        <f aca="false">MIN($AN$6,AN129+AO129)</f>
        <v>0</v>
      </c>
      <c r="AQ129" s="30" t="n">
        <f aca="false">MAX(0,MIN(AH129,AN129+AO129-AP129))</f>
        <v>0</v>
      </c>
      <c r="AR129" s="29" t="n">
        <f aca="false">AH129-AQ129</f>
        <v>690</v>
      </c>
      <c r="AS129" s="34" t="n">
        <f aca="false">AN129+AO129-AP129-AQ129</f>
        <v>0</v>
      </c>
      <c r="AT129" s="34" t="n">
        <f aca="false">AW128</f>
        <v>36.9313571014887</v>
      </c>
      <c r="AU129" s="34" t="n">
        <f aca="false">AT129*$AN$5/12</f>
        <v>0.16926872004849</v>
      </c>
      <c r="AV129" s="29" t="n">
        <f aca="false">MIN($AN$6,AT129+AU129)</f>
        <v>37.1006258215372</v>
      </c>
      <c r="AW129" s="34" t="n">
        <f aca="false">AT129+AU129-AV129</f>
        <v>0</v>
      </c>
      <c r="AX129" s="30" t="n">
        <f aca="false">BC128</f>
        <v>0</v>
      </c>
      <c r="AY129" s="30" t="n">
        <f aca="false">AX129*$AX$5/12</f>
        <v>0</v>
      </c>
      <c r="AZ129" s="30" t="n">
        <f aca="false">MIN($AX$6,AX129+AY129)</f>
        <v>0</v>
      </c>
      <c r="BA129" s="30" t="n">
        <f aca="false">MAX(0,MIN(AR129,AX129+AY129-AZ129))</f>
        <v>0</v>
      </c>
      <c r="BB129" s="29" t="n">
        <f aca="false">AR129-BA129</f>
        <v>690</v>
      </c>
      <c r="BC129" s="30" t="n">
        <f aca="false">AX129+AY129-AZ129-BA129</f>
        <v>0</v>
      </c>
      <c r="BD129" s="30" t="n">
        <f aca="false">BG128</f>
        <v>0</v>
      </c>
      <c r="BE129" s="30" t="n">
        <f aca="false">BD129*$AX$5/12</f>
        <v>0</v>
      </c>
      <c r="BF129" s="30" t="n">
        <f aca="false">MIN($AX$6,BD129+BE129)</f>
        <v>0</v>
      </c>
      <c r="BG129" s="30" t="n">
        <f aca="false">BD129+BE129-BF129</f>
        <v>0</v>
      </c>
      <c r="BH129" s="30" t="n">
        <f aca="false">BM128</f>
        <v>0</v>
      </c>
      <c r="BI129" s="30" t="n">
        <f aca="false">BH129*$BH$5/12</f>
        <v>0</v>
      </c>
      <c r="BJ129" s="30" t="n">
        <f aca="false">MIN($BH$6,BH129+BI129)</f>
        <v>0</v>
      </c>
      <c r="BK129" s="30" t="n">
        <f aca="false">MAX(0,MIN(BB129,BH129+BI129-BJ129))</f>
        <v>0</v>
      </c>
      <c r="BL129" s="29" t="n">
        <f aca="false">BB129-BK129</f>
        <v>690</v>
      </c>
      <c r="BM129" s="30" t="n">
        <f aca="false">BH129+BI129-BJ129-BK129</f>
        <v>0</v>
      </c>
      <c r="BN129" s="30" t="n">
        <f aca="false">BQ128</f>
        <v>0</v>
      </c>
      <c r="BO129" s="30" t="n">
        <f aca="false">BN129*$BH$5/12</f>
        <v>0</v>
      </c>
      <c r="BP129" s="30" t="n">
        <f aca="false">MIN($BH$6,BN129+BO129)</f>
        <v>0</v>
      </c>
      <c r="BQ129" s="30" t="n">
        <f aca="false">BN129+BO129-BP129</f>
        <v>0</v>
      </c>
      <c r="BR129" s="30" t="n">
        <f aca="false">BW128</f>
        <v>0</v>
      </c>
      <c r="BS129" s="30" t="n">
        <f aca="false">BR129*$BR$5/12</f>
        <v>0</v>
      </c>
      <c r="BT129" s="30" t="n">
        <f aca="false">MIN($BR$6,BR129+BS129)</f>
        <v>0</v>
      </c>
      <c r="BU129" s="30" t="n">
        <f aca="false">MAX(0,MIN(BL129,BR129+BS129-BT129))</f>
        <v>0</v>
      </c>
      <c r="BV129" s="29" t="n">
        <f aca="false">BL129-BU129</f>
        <v>690</v>
      </c>
      <c r="BW129" s="30" t="n">
        <f aca="false">BR129+BS129-BT129-BU129</f>
        <v>0</v>
      </c>
      <c r="BX129" s="30" t="n">
        <f aca="false">CA128</f>
        <v>0</v>
      </c>
      <c r="BY129" s="30" t="n">
        <f aca="false">BX129*$BR$5/12</f>
        <v>0</v>
      </c>
      <c r="BZ129" s="30" t="n">
        <f aca="false">MIN($BR$6,BX129+BY129)</f>
        <v>0</v>
      </c>
      <c r="CA129" s="30" t="n">
        <f aca="false">BX129+BY129-BZ129</f>
        <v>0</v>
      </c>
      <c r="CB129" s="30" t="n">
        <f aca="false">CG128</f>
        <v>0</v>
      </c>
      <c r="CC129" s="30" t="n">
        <f aca="false">CB129*$CB$5/12</f>
        <v>0</v>
      </c>
      <c r="CD129" s="30" t="n">
        <f aca="false">MIN($CB$6,CB129+CC129)</f>
        <v>0</v>
      </c>
      <c r="CE129" s="30" t="n">
        <f aca="false">MAX(0,MIN(BV129,CB129+CC129-CD129))</f>
        <v>0</v>
      </c>
      <c r="CF129" s="29" t="n">
        <f aca="false">BV129-CE129</f>
        <v>690</v>
      </c>
      <c r="CG129" s="30" t="n">
        <f aca="false">CB129+CC129-CD129-CE129</f>
        <v>0</v>
      </c>
      <c r="CH129" s="30" t="n">
        <f aca="false">CK128</f>
        <v>0</v>
      </c>
      <c r="CI129" s="30" t="n">
        <f aca="false">CH129*$CB$5/12</f>
        <v>0</v>
      </c>
      <c r="CJ129" s="30" t="n">
        <f aca="false">MIN($CB$6,CH129+CI129)</f>
        <v>0</v>
      </c>
      <c r="CK129" s="30" t="n">
        <f aca="false">CH129+CI129-CJ129</f>
        <v>0</v>
      </c>
    </row>
    <row r="130" customFormat="false" ht="15" hidden="false" customHeight="false" outlineLevel="0" collapsed="false">
      <c r="A130" s="0" t="n">
        <v>122</v>
      </c>
      <c r="B130" s="29" t="n">
        <f aca="false">'1 Your debts'!$B$16-(L130+V130+AF130+AP130+AZ130+BJ130+BT130+CD130)</f>
        <v>690</v>
      </c>
      <c r="C130" s="34" t="n">
        <f aca="false">O130+Y130+AI130+AS130+BC130+BM130+BW130+CG130</f>
        <v>0</v>
      </c>
      <c r="D130" s="34" t="n">
        <f aca="false">K130+U130+AE130+AO130+AY130+BI130+BS130+CC130</f>
        <v>0</v>
      </c>
      <c r="F130" s="34" t="n">
        <f aca="false">S130+AC130+AM130+AW130+BG130+BQ130+CA130+CK130</f>
        <v>0</v>
      </c>
      <c r="G130" s="34" t="n">
        <f aca="false">Q130+AA130+AK130+AU130+BE130+BO130+BY130+CI130</f>
        <v>0</v>
      </c>
      <c r="J130" s="34" t="n">
        <f aca="false">O129</f>
        <v>0</v>
      </c>
      <c r="K130" s="34" t="n">
        <f aca="false">J130*$J$5/12</f>
        <v>0</v>
      </c>
      <c r="L130" s="29" t="n">
        <f aca="false">MIN($J$6,J130+K130)</f>
        <v>0</v>
      </c>
      <c r="M130" s="30" t="n">
        <f aca="false">MAX(0,MIN($B130,J130+K130-L130))</f>
        <v>0</v>
      </c>
      <c r="N130" s="29" t="n">
        <f aca="false">$B130-M130</f>
        <v>690</v>
      </c>
      <c r="O130" s="34" t="n">
        <f aca="false">J130+K130-L130-M130</f>
        <v>0</v>
      </c>
      <c r="P130" s="34" t="n">
        <f aca="false">S129</f>
        <v>0</v>
      </c>
      <c r="Q130" s="34" t="n">
        <f aca="false">P130*$J$5/12</f>
        <v>0</v>
      </c>
      <c r="R130" s="29" t="n">
        <f aca="false">MIN($J$6,P130+Q130)</f>
        <v>0</v>
      </c>
      <c r="S130" s="34" t="n">
        <f aca="false">P130+Q130-R130</f>
        <v>0</v>
      </c>
      <c r="T130" s="34" t="n">
        <f aca="false">Y129</f>
        <v>0</v>
      </c>
      <c r="U130" s="34" t="n">
        <f aca="false">T130*$T$5/12</f>
        <v>0</v>
      </c>
      <c r="V130" s="29" t="n">
        <f aca="false">MIN($T$6,T130+U130)</f>
        <v>0</v>
      </c>
      <c r="W130" s="30" t="n">
        <f aca="false">MAX(0,MIN(N130,T130+U130-V130))</f>
        <v>0</v>
      </c>
      <c r="X130" s="29" t="n">
        <f aca="false">N130-W130</f>
        <v>690</v>
      </c>
      <c r="Y130" s="34" t="n">
        <f aca="false">T130+U130-V130-W130</f>
        <v>0</v>
      </c>
      <c r="Z130" s="34" t="n">
        <f aca="false">AC129</f>
        <v>0</v>
      </c>
      <c r="AA130" s="34" t="n">
        <f aca="false">Z130*$T$5/12</f>
        <v>0</v>
      </c>
      <c r="AB130" s="29" t="n">
        <f aca="false">MIN($T$6,Z130+AA130)</f>
        <v>0</v>
      </c>
      <c r="AC130" s="34" t="n">
        <f aca="false">Z130+AA130-AB130</f>
        <v>0</v>
      </c>
      <c r="AD130" s="34" t="n">
        <f aca="false">AI129</f>
        <v>0</v>
      </c>
      <c r="AE130" s="34" t="n">
        <f aca="false">AD130*$AD$5/12</f>
        <v>0</v>
      </c>
      <c r="AF130" s="29" t="n">
        <f aca="false">MIN($AD$6,AD130+AE130)</f>
        <v>0</v>
      </c>
      <c r="AG130" s="30" t="n">
        <f aca="false">MAX(0,MIN(X130,AD130+AE130-AF130))</f>
        <v>0</v>
      </c>
      <c r="AH130" s="29" t="n">
        <f aca="false">X130-AG130</f>
        <v>690</v>
      </c>
      <c r="AI130" s="34" t="n">
        <f aca="false">AD130+AE130-AF130-AG130</f>
        <v>0</v>
      </c>
      <c r="AJ130" s="34" t="n">
        <f aca="false">AM129</f>
        <v>0</v>
      </c>
      <c r="AK130" s="34" t="n">
        <f aca="false">AJ130*$AD$5/12</f>
        <v>0</v>
      </c>
      <c r="AL130" s="29" t="n">
        <f aca="false">MIN($AD$6,AJ130+AK130)</f>
        <v>0</v>
      </c>
      <c r="AM130" s="34" t="n">
        <f aca="false">AJ130+AK130-AL130</f>
        <v>0</v>
      </c>
      <c r="AN130" s="34" t="n">
        <f aca="false">AS129</f>
        <v>0</v>
      </c>
      <c r="AO130" s="34" t="n">
        <f aca="false">AN130*$AN$5/12</f>
        <v>0</v>
      </c>
      <c r="AP130" s="29" t="n">
        <f aca="false">MIN($AN$6,AN130+AO130)</f>
        <v>0</v>
      </c>
      <c r="AQ130" s="30" t="n">
        <f aca="false">MAX(0,MIN(AH130,AN130+AO130-AP130))</f>
        <v>0</v>
      </c>
      <c r="AR130" s="29" t="n">
        <f aca="false">AH130-AQ130</f>
        <v>690</v>
      </c>
      <c r="AS130" s="34" t="n">
        <f aca="false">AN130+AO130-AP130-AQ130</f>
        <v>0</v>
      </c>
      <c r="AT130" s="34" t="n">
        <f aca="false">AW129</f>
        <v>0</v>
      </c>
      <c r="AU130" s="34" t="n">
        <f aca="false">AT130*$AN$5/12</f>
        <v>0</v>
      </c>
      <c r="AV130" s="29" t="n">
        <f aca="false">MIN($AN$6,AT130+AU130)</f>
        <v>0</v>
      </c>
      <c r="AW130" s="34" t="n">
        <f aca="false">AT130+AU130-AV130</f>
        <v>0</v>
      </c>
      <c r="AX130" s="30" t="n">
        <f aca="false">BC129</f>
        <v>0</v>
      </c>
      <c r="AY130" s="30" t="n">
        <f aca="false">AX130*$AX$5/12</f>
        <v>0</v>
      </c>
      <c r="AZ130" s="30" t="n">
        <f aca="false">MIN($AX$6,AX130+AY130)</f>
        <v>0</v>
      </c>
      <c r="BA130" s="30" t="n">
        <f aca="false">MAX(0,MIN(AR130,AX130+AY130-AZ130))</f>
        <v>0</v>
      </c>
      <c r="BB130" s="29" t="n">
        <f aca="false">AR130-BA130</f>
        <v>690</v>
      </c>
      <c r="BC130" s="30" t="n">
        <f aca="false">AX130+AY130-AZ130-BA130</f>
        <v>0</v>
      </c>
      <c r="BD130" s="30" t="n">
        <f aca="false">BG129</f>
        <v>0</v>
      </c>
      <c r="BE130" s="30" t="n">
        <f aca="false">BD130*$AX$5/12</f>
        <v>0</v>
      </c>
      <c r="BF130" s="30" t="n">
        <f aca="false">MIN($AX$6,BD130+BE130)</f>
        <v>0</v>
      </c>
      <c r="BG130" s="30" t="n">
        <f aca="false">BD130+BE130-BF130</f>
        <v>0</v>
      </c>
      <c r="BH130" s="30" t="n">
        <f aca="false">BM129</f>
        <v>0</v>
      </c>
      <c r="BI130" s="30" t="n">
        <f aca="false">BH130*$BH$5/12</f>
        <v>0</v>
      </c>
      <c r="BJ130" s="30" t="n">
        <f aca="false">MIN($BH$6,BH130+BI130)</f>
        <v>0</v>
      </c>
      <c r="BK130" s="30" t="n">
        <f aca="false">MAX(0,MIN(BB130,BH130+BI130-BJ130))</f>
        <v>0</v>
      </c>
      <c r="BL130" s="29" t="n">
        <f aca="false">BB130-BK130</f>
        <v>690</v>
      </c>
      <c r="BM130" s="30" t="n">
        <f aca="false">BH130+BI130-BJ130-BK130</f>
        <v>0</v>
      </c>
      <c r="BN130" s="30" t="n">
        <f aca="false">BQ129</f>
        <v>0</v>
      </c>
      <c r="BO130" s="30" t="n">
        <f aca="false">BN130*$BH$5/12</f>
        <v>0</v>
      </c>
      <c r="BP130" s="30" t="n">
        <f aca="false">MIN($BH$6,BN130+BO130)</f>
        <v>0</v>
      </c>
      <c r="BQ130" s="30" t="n">
        <f aca="false">BN130+BO130-BP130</f>
        <v>0</v>
      </c>
      <c r="BR130" s="30" t="n">
        <f aca="false">BW129</f>
        <v>0</v>
      </c>
      <c r="BS130" s="30" t="n">
        <f aca="false">BR130*$BR$5/12</f>
        <v>0</v>
      </c>
      <c r="BT130" s="30" t="n">
        <f aca="false">MIN($BR$6,BR130+BS130)</f>
        <v>0</v>
      </c>
      <c r="BU130" s="30" t="n">
        <f aca="false">MAX(0,MIN(BL130,BR130+BS130-BT130))</f>
        <v>0</v>
      </c>
      <c r="BV130" s="29" t="n">
        <f aca="false">BL130-BU130</f>
        <v>690</v>
      </c>
      <c r="BW130" s="30" t="n">
        <f aca="false">BR130+BS130-BT130-BU130</f>
        <v>0</v>
      </c>
      <c r="BX130" s="30" t="n">
        <f aca="false">CA129</f>
        <v>0</v>
      </c>
      <c r="BY130" s="30" t="n">
        <f aca="false">BX130*$BR$5/12</f>
        <v>0</v>
      </c>
      <c r="BZ130" s="30" t="n">
        <f aca="false">MIN($BR$6,BX130+BY130)</f>
        <v>0</v>
      </c>
      <c r="CA130" s="30" t="n">
        <f aca="false">BX130+BY130-BZ130</f>
        <v>0</v>
      </c>
      <c r="CB130" s="30" t="n">
        <f aca="false">CG129</f>
        <v>0</v>
      </c>
      <c r="CC130" s="30" t="n">
        <f aca="false">CB130*$CB$5/12</f>
        <v>0</v>
      </c>
      <c r="CD130" s="30" t="n">
        <f aca="false">MIN($CB$6,CB130+CC130)</f>
        <v>0</v>
      </c>
      <c r="CE130" s="30" t="n">
        <f aca="false">MAX(0,MIN(BV130,CB130+CC130-CD130))</f>
        <v>0</v>
      </c>
      <c r="CF130" s="29" t="n">
        <f aca="false">BV130-CE130</f>
        <v>690</v>
      </c>
      <c r="CG130" s="30" t="n">
        <f aca="false">CB130+CC130-CD130-CE130</f>
        <v>0</v>
      </c>
      <c r="CH130" s="30" t="n">
        <f aca="false">CK129</f>
        <v>0</v>
      </c>
      <c r="CI130" s="30" t="n">
        <f aca="false">CH130*$CB$5/12</f>
        <v>0</v>
      </c>
      <c r="CJ130" s="30" t="n">
        <f aca="false">MIN($CB$6,CH130+CI130)</f>
        <v>0</v>
      </c>
      <c r="CK130" s="30" t="n">
        <f aca="false">CH130+CI130-CJ130</f>
        <v>0</v>
      </c>
    </row>
    <row r="131" customFormat="false" ht="15" hidden="false" customHeight="false" outlineLevel="0" collapsed="false">
      <c r="A131" s="0" t="n">
        <v>123</v>
      </c>
      <c r="B131" s="29" t="n">
        <f aca="false">'1 Your debts'!$B$16-(L131+V131+AF131+AP131+AZ131+BJ131+BT131+CD131)</f>
        <v>690</v>
      </c>
      <c r="C131" s="34" t="n">
        <f aca="false">O131+Y131+AI131+AS131+BC131+BM131+BW131+CG131</f>
        <v>0</v>
      </c>
      <c r="D131" s="34" t="n">
        <f aca="false">K131+U131+AE131+AO131+AY131+BI131+BS131+CC131</f>
        <v>0</v>
      </c>
      <c r="F131" s="34" t="n">
        <f aca="false">S131+AC131+AM131+AW131+BG131+BQ131+CA131+CK131</f>
        <v>0</v>
      </c>
      <c r="G131" s="34" t="n">
        <f aca="false">Q131+AA131+AK131+AU131+BE131+BO131+BY131+CI131</f>
        <v>0</v>
      </c>
      <c r="J131" s="34" t="n">
        <f aca="false">O130</f>
        <v>0</v>
      </c>
      <c r="K131" s="34" t="n">
        <f aca="false">J131*$J$5/12</f>
        <v>0</v>
      </c>
      <c r="L131" s="29" t="n">
        <f aca="false">MIN($J$6,J131+K131)</f>
        <v>0</v>
      </c>
      <c r="M131" s="30" t="n">
        <f aca="false">MAX(0,MIN($B131,J131+K131-L131))</f>
        <v>0</v>
      </c>
      <c r="N131" s="29" t="n">
        <f aca="false">$B131-M131</f>
        <v>690</v>
      </c>
      <c r="O131" s="34" t="n">
        <f aca="false">J131+K131-L131-M131</f>
        <v>0</v>
      </c>
      <c r="P131" s="34" t="n">
        <f aca="false">S130</f>
        <v>0</v>
      </c>
      <c r="Q131" s="34" t="n">
        <f aca="false">P131*$J$5/12</f>
        <v>0</v>
      </c>
      <c r="R131" s="29" t="n">
        <f aca="false">MIN($J$6,P131+Q131)</f>
        <v>0</v>
      </c>
      <c r="S131" s="34" t="n">
        <f aca="false">P131+Q131-R131</f>
        <v>0</v>
      </c>
      <c r="T131" s="34" t="n">
        <f aca="false">Y130</f>
        <v>0</v>
      </c>
      <c r="U131" s="34" t="n">
        <f aca="false">T131*$T$5/12</f>
        <v>0</v>
      </c>
      <c r="V131" s="29" t="n">
        <f aca="false">MIN($T$6,T131+U131)</f>
        <v>0</v>
      </c>
      <c r="W131" s="30" t="n">
        <f aca="false">MAX(0,MIN(N131,T131+U131-V131))</f>
        <v>0</v>
      </c>
      <c r="X131" s="29" t="n">
        <f aca="false">N131-W131</f>
        <v>690</v>
      </c>
      <c r="Y131" s="34" t="n">
        <f aca="false">T131+U131-V131-W131</f>
        <v>0</v>
      </c>
      <c r="Z131" s="34" t="n">
        <f aca="false">AC130</f>
        <v>0</v>
      </c>
      <c r="AA131" s="34" t="n">
        <f aca="false">Z131*$T$5/12</f>
        <v>0</v>
      </c>
      <c r="AB131" s="29" t="n">
        <f aca="false">MIN($T$6,Z131+AA131)</f>
        <v>0</v>
      </c>
      <c r="AC131" s="34" t="n">
        <f aca="false">Z131+AA131-AB131</f>
        <v>0</v>
      </c>
      <c r="AD131" s="34" t="n">
        <f aca="false">AI130</f>
        <v>0</v>
      </c>
      <c r="AE131" s="34" t="n">
        <f aca="false">AD131*$AD$5/12</f>
        <v>0</v>
      </c>
      <c r="AF131" s="29" t="n">
        <f aca="false">MIN($AD$6,AD131+AE131)</f>
        <v>0</v>
      </c>
      <c r="AG131" s="30" t="n">
        <f aca="false">MAX(0,MIN(X131,AD131+AE131-AF131))</f>
        <v>0</v>
      </c>
      <c r="AH131" s="29" t="n">
        <f aca="false">X131-AG131</f>
        <v>690</v>
      </c>
      <c r="AI131" s="34" t="n">
        <f aca="false">AD131+AE131-AF131-AG131</f>
        <v>0</v>
      </c>
      <c r="AJ131" s="34" t="n">
        <f aca="false">AM130</f>
        <v>0</v>
      </c>
      <c r="AK131" s="34" t="n">
        <f aca="false">AJ131*$AD$5/12</f>
        <v>0</v>
      </c>
      <c r="AL131" s="29" t="n">
        <f aca="false">MIN($AD$6,AJ131+AK131)</f>
        <v>0</v>
      </c>
      <c r="AM131" s="34" t="n">
        <f aca="false">AJ131+AK131-AL131</f>
        <v>0</v>
      </c>
      <c r="AN131" s="34" t="n">
        <f aca="false">AS130</f>
        <v>0</v>
      </c>
      <c r="AO131" s="34" t="n">
        <f aca="false">AN131*$AN$5/12</f>
        <v>0</v>
      </c>
      <c r="AP131" s="29" t="n">
        <f aca="false">MIN($AN$6,AN131+AO131)</f>
        <v>0</v>
      </c>
      <c r="AQ131" s="30" t="n">
        <f aca="false">MAX(0,MIN(AH131,AN131+AO131-AP131))</f>
        <v>0</v>
      </c>
      <c r="AR131" s="29" t="n">
        <f aca="false">AH131-AQ131</f>
        <v>690</v>
      </c>
      <c r="AS131" s="34" t="n">
        <f aca="false">AN131+AO131-AP131-AQ131</f>
        <v>0</v>
      </c>
      <c r="AT131" s="34" t="n">
        <f aca="false">AW130</f>
        <v>0</v>
      </c>
      <c r="AU131" s="34" t="n">
        <f aca="false">AT131*$AN$5/12</f>
        <v>0</v>
      </c>
      <c r="AV131" s="29" t="n">
        <f aca="false">MIN($AN$6,AT131+AU131)</f>
        <v>0</v>
      </c>
      <c r="AW131" s="34" t="n">
        <f aca="false">AT131+AU131-AV131</f>
        <v>0</v>
      </c>
      <c r="AX131" s="30" t="n">
        <f aca="false">BC130</f>
        <v>0</v>
      </c>
      <c r="AY131" s="30" t="n">
        <f aca="false">AX131*$AX$5/12</f>
        <v>0</v>
      </c>
      <c r="AZ131" s="30" t="n">
        <f aca="false">MIN($AX$6,AX131+AY131)</f>
        <v>0</v>
      </c>
      <c r="BA131" s="30" t="n">
        <f aca="false">MAX(0,MIN(AR131,AX131+AY131-AZ131))</f>
        <v>0</v>
      </c>
      <c r="BB131" s="29" t="n">
        <f aca="false">AR131-BA131</f>
        <v>690</v>
      </c>
      <c r="BC131" s="30" t="n">
        <f aca="false">AX131+AY131-AZ131-BA131</f>
        <v>0</v>
      </c>
      <c r="BD131" s="30" t="n">
        <f aca="false">BG130</f>
        <v>0</v>
      </c>
      <c r="BE131" s="30" t="n">
        <f aca="false">BD131*$AX$5/12</f>
        <v>0</v>
      </c>
      <c r="BF131" s="30" t="n">
        <f aca="false">MIN($AX$6,BD131+BE131)</f>
        <v>0</v>
      </c>
      <c r="BG131" s="30" t="n">
        <f aca="false">BD131+BE131-BF131</f>
        <v>0</v>
      </c>
      <c r="BH131" s="30" t="n">
        <f aca="false">BM130</f>
        <v>0</v>
      </c>
      <c r="BI131" s="30" t="n">
        <f aca="false">BH131*$BH$5/12</f>
        <v>0</v>
      </c>
      <c r="BJ131" s="30" t="n">
        <f aca="false">MIN($BH$6,BH131+BI131)</f>
        <v>0</v>
      </c>
      <c r="BK131" s="30" t="n">
        <f aca="false">MAX(0,MIN(BB131,BH131+BI131-BJ131))</f>
        <v>0</v>
      </c>
      <c r="BL131" s="29" t="n">
        <f aca="false">BB131-BK131</f>
        <v>690</v>
      </c>
      <c r="BM131" s="30" t="n">
        <f aca="false">BH131+BI131-BJ131-BK131</f>
        <v>0</v>
      </c>
      <c r="BN131" s="30" t="n">
        <f aca="false">BQ130</f>
        <v>0</v>
      </c>
      <c r="BO131" s="30" t="n">
        <f aca="false">BN131*$BH$5/12</f>
        <v>0</v>
      </c>
      <c r="BP131" s="30" t="n">
        <f aca="false">MIN($BH$6,BN131+BO131)</f>
        <v>0</v>
      </c>
      <c r="BQ131" s="30" t="n">
        <f aca="false">BN131+BO131-BP131</f>
        <v>0</v>
      </c>
      <c r="BR131" s="30" t="n">
        <f aca="false">BW130</f>
        <v>0</v>
      </c>
      <c r="BS131" s="30" t="n">
        <f aca="false">BR131*$BR$5/12</f>
        <v>0</v>
      </c>
      <c r="BT131" s="30" t="n">
        <f aca="false">MIN($BR$6,BR131+BS131)</f>
        <v>0</v>
      </c>
      <c r="BU131" s="30" t="n">
        <f aca="false">MAX(0,MIN(BL131,BR131+BS131-BT131))</f>
        <v>0</v>
      </c>
      <c r="BV131" s="29" t="n">
        <f aca="false">BL131-BU131</f>
        <v>690</v>
      </c>
      <c r="BW131" s="30" t="n">
        <f aca="false">BR131+BS131-BT131-BU131</f>
        <v>0</v>
      </c>
      <c r="BX131" s="30" t="n">
        <f aca="false">CA130</f>
        <v>0</v>
      </c>
      <c r="BY131" s="30" t="n">
        <f aca="false">BX131*$BR$5/12</f>
        <v>0</v>
      </c>
      <c r="BZ131" s="30" t="n">
        <f aca="false">MIN($BR$6,BX131+BY131)</f>
        <v>0</v>
      </c>
      <c r="CA131" s="30" t="n">
        <f aca="false">BX131+BY131-BZ131</f>
        <v>0</v>
      </c>
      <c r="CB131" s="30" t="n">
        <f aca="false">CG130</f>
        <v>0</v>
      </c>
      <c r="CC131" s="30" t="n">
        <f aca="false">CB131*$CB$5/12</f>
        <v>0</v>
      </c>
      <c r="CD131" s="30" t="n">
        <f aca="false">MIN($CB$6,CB131+CC131)</f>
        <v>0</v>
      </c>
      <c r="CE131" s="30" t="n">
        <f aca="false">MAX(0,MIN(BV131,CB131+CC131-CD131))</f>
        <v>0</v>
      </c>
      <c r="CF131" s="29" t="n">
        <f aca="false">BV131-CE131</f>
        <v>690</v>
      </c>
      <c r="CG131" s="30" t="n">
        <f aca="false">CB131+CC131-CD131-CE131</f>
        <v>0</v>
      </c>
      <c r="CH131" s="30" t="n">
        <f aca="false">CK130</f>
        <v>0</v>
      </c>
      <c r="CI131" s="30" t="n">
        <f aca="false">CH131*$CB$5/12</f>
        <v>0</v>
      </c>
      <c r="CJ131" s="30" t="n">
        <f aca="false">MIN($CB$6,CH131+CI131)</f>
        <v>0</v>
      </c>
      <c r="CK131" s="30" t="n">
        <f aca="false">CH131+CI131-CJ131</f>
        <v>0</v>
      </c>
    </row>
    <row r="132" customFormat="false" ht="15" hidden="false" customHeight="false" outlineLevel="0" collapsed="false">
      <c r="A132" s="0" t="n">
        <v>124</v>
      </c>
      <c r="B132" s="29" t="n">
        <f aca="false">'1 Your debts'!$B$16-(L132+V132+AF132+AP132+AZ132+BJ132+BT132+CD132)</f>
        <v>690</v>
      </c>
      <c r="C132" s="34" t="n">
        <f aca="false">O132+Y132+AI132+AS132+BC132+BM132+BW132+CG132</f>
        <v>0</v>
      </c>
      <c r="D132" s="34" t="n">
        <f aca="false">K132+U132+AE132+AO132+AY132+BI132+BS132+CC132</f>
        <v>0</v>
      </c>
      <c r="F132" s="34" t="n">
        <f aca="false">S132+AC132+AM132+AW132+BG132+BQ132+CA132+CK132</f>
        <v>0</v>
      </c>
      <c r="G132" s="34" t="n">
        <f aca="false">Q132+AA132+AK132+AU132+BE132+BO132+BY132+CI132</f>
        <v>0</v>
      </c>
      <c r="J132" s="34" t="n">
        <f aca="false">O131</f>
        <v>0</v>
      </c>
      <c r="K132" s="34" t="n">
        <f aca="false">J132*$J$5/12</f>
        <v>0</v>
      </c>
      <c r="L132" s="29" t="n">
        <f aca="false">MIN($J$6,J132+K132)</f>
        <v>0</v>
      </c>
      <c r="M132" s="30" t="n">
        <f aca="false">MAX(0,MIN($B132,J132+K132-L132))</f>
        <v>0</v>
      </c>
      <c r="N132" s="29" t="n">
        <f aca="false">$B132-M132</f>
        <v>690</v>
      </c>
      <c r="O132" s="34" t="n">
        <f aca="false">J132+K132-L132-M132</f>
        <v>0</v>
      </c>
      <c r="P132" s="34" t="n">
        <f aca="false">S131</f>
        <v>0</v>
      </c>
      <c r="Q132" s="34" t="n">
        <f aca="false">P132*$J$5/12</f>
        <v>0</v>
      </c>
      <c r="R132" s="29" t="n">
        <f aca="false">MIN($J$6,P132+Q132)</f>
        <v>0</v>
      </c>
      <c r="S132" s="34" t="n">
        <f aca="false">P132+Q132-R132</f>
        <v>0</v>
      </c>
      <c r="T132" s="34" t="n">
        <f aca="false">Y131</f>
        <v>0</v>
      </c>
      <c r="U132" s="34" t="n">
        <f aca="false">T132*$T$5/12</f>
        <v>0</v>
      </c>
      <c r="V132" s="29" t="n">
        <f aca="false">MIN($T$6,T132+U132)</f>
        <v>0</v>
      </c>
      <c r="W132" s="30" t="n">
        <f aca="false">MAX(0,MIN(N132,T132+U132-V132))</f>
        <v>0</v>
      </c>
      <c r="X132" s="29" t="n">
        <f aca="false">N132-W132</f>
        <v>690</v>
      </c>
      <c r="Y132" s="34" t="n">
        <f aca="false">T132+U132-V132-W132</f>
        <v>0</v>
      </c>
      <c r="Z132" s="34" t="n">
        <f aca="false">AC131</f>
        <v>0</v>
      </c>
      <c r="AA132" s="34" t="n">
        <f aca="false">Z132*$T$5/12</f>
        <v>0</v>
      </c>
      <c r="AB132" s="29" t="n">
        <f aca="false">MIN($T$6,Z132+AA132)</f>
        <v>0</v>
      </c>
      <c r="AC132" s="34" t="n">
        <f aca="false">Z132+AA132-AB132</f>
        <v>0</v>
      </c>
      <c r="AD132" s="34" t="n">
        <f aca="false">AI131</f>
        <v>0</v>
      </c>
      <c r="AE132" s="34" t="n">
        <f aca="false">AD132*$AD$5/12</f>
        <v>0</v>
      </c>
      <c r="AF132" s="29" t="n">
        <f aca="false">MIN($AD$6,AD132+AE132)</f>
        <v>0</v>
      </c>
      <c r="AG132" s="30" t="n">
        <f aca="false">MAX(0,MIN(X132,AD132+AE132-AF132))</f>
        <v>0</v>
      </c>
      <c r="AH132" s="29" t="n">
        <f aca="false">X132-AG132</f>
        <v>690</v>
      </c>
      <c r="AI132" s="34" t="n">
        <f aca="false">AD132+AE132-AF132-AG132</f>
        <v>0</v>
      </c>
      <c r="AJ132" s="34" t="n">
        <f aca="false">AM131</f>
        <v>0</v>
      </c>
      <c r="AK132" s="34" t="n">
        <f aca="false">AJ132*$AD$5/12</f>
        <v>0</v>
      </c>
      <c r="AL132" s="29" t="n">
        <f aca="false">MIN($AD$6,AJ132+AK132)</f>
        <v>0</v>
      </c>
      <c r="AM132" s="34" t="n">
        <f aca="false">AJ132+AK132-AL132</f>
        <v>0</v>
      </c>
      <c r="AN132" s="34" t="n">
        <f aca="false">AS131</f>
        <v>0</v>
      </c>
      <c r="AO132" s="34" t="n">
        <f aca="false">AN132*$AN$5/12</f>
        <v>0</v>
      </c>
      <c r="AP132" s="29" t="n">
        <f aca="false">MIN($AN$6,AN132+AO132)</f>
        <v>0</v>
      </c>
      <c r="AQ132" s="30" t="n">
        <f aca="false">MAX(0,MIN(AH132,AN132+AO132-AP132))</f>
        <v>0</v>
      </c>
      <c r="AR132" s="29" t="n">
        <f aca="false">AH132-AQ132</f>
        <v>690</v>
      </c>
      <c r="AS132" s="34" t="n">
        <f aca="false">AN132+AO132-AP132-AQ132</f>
        <v>0</v>
      </c>
      <c r="AT132" s="34" t="n">
        <f aca="false">AW131</f>
        <v>0</v>
      </c>
      <c r="AU132" s="34" t="n">
        <f aca="false">AT132*$AN$5/12</f>
        <v>0</v>
      </c>
      <c r="AV132" s="29" t="n">
        <f aca="false">MIN($AN$6,AT132+AU132)</f>
        <v>0</v>
      </c>
      <c r="AW132" s="34" t="n">
        <f aca="false">AT132+AU132-AV132</f>
        <v>0</v>
      </c>
      <c r="AX132" s="30" t="n">
        <f aca="false">BC131</f>
        <v>0</v>
      </c>
      <c r="AY132" s="30" t="n">
        <f aca="false">AX132*$AX$5/12</f>
        <v>0</v>
      </c>
      <c r="AZ132" s="30" t="n">
        <f aca="false">MIN($AX$6,AX132+AY132)</f>
        <v>0</v>
      </c>
      <c r="BA132" s="30" t="n">
        <f aca="false">MAX(0,MIN(AR132,AX132+AY132-AZ132))</f>
        <v>0</v>
      </c>
      <c r="BB132" s="29" t="n">
        <f aca="false">AR132-BA132</f>
        <v>690</v>
      </c>
      <c r="BC132" s="30" t="n">
        <f aca="false">AX132+AY132-AZ132-BA132</f>
        <v>0</v>
      </c>
      <c r="BD132" s="30" t="n">
        <f aca="false">BG131</f>
        <v>0</v>
      </c>
      <c r="BE132" s="30" t="n">
        <f aca="false">BD132*$AX$5/12</f>
        <v>0</v>
      </c>
      <c r="BF132" s="30" t="n">
        <f aca="false">MIN($AX$6,BD132+BE132)</f>
        <v>0</v>
      </c>
      <c r="BG132" s="30" t="n">
        <f aca="false">BD132+BE132-BF132</f>
        <v>0</v>
      </c>
      <c r="BH132" s="30" t="n">
        <f aca="false">BM131</f>
        <v>0</v>
      </c>
      <c r="BI132" s="30" t="n">
        <f aca="false">BH132*$BH$5/12</f>
        <v>0</v>
      </c>
      <c r="BJ132" s="30" t="n">
        <f aca="false">MIN($BH$6,BH132+BI132)</f>
        <v>0</v>
      </c>
      <c r="BK132" s="30" t="n">
        <f aca="false">MAX(0,MIN(BB132,BH132+BI132-BJ132))</f>
        <v>0</v>
      </c>
      <c r="BL132" s="29" t="n">
        <f aca="false">BB132-BK132</f>
        <v>690</v>
      </c>
      <c r="BM132" s="30" t="n">
        <f aca="false">BH132+BI132-BJ132-BK132</f>
        <v>0</v>
      </c>
      <c r="BN132" s="30" t="n">
        <f aca="false">BQ131</f>
        <v>0</v>
      </c>
      <c r="BO132" s="30" t="n">
        <f aca="false">BN132*$BH$5/12</f>
        <v>0</v>
      </c>
      <c r="BP132" s="30" t="n">
        <f aca="false">MIN($BH$6,BN132+BO132)</f>
        <v>0</v>
      </c>
      <c r="BQ132" s="30" t="n">
        <f aca="false">BN132+BO132-BP132</f>
        <v>0</v>
      </c>
      <c r="BR132" s="30" t="n">
        <f aca="false">BW131</f>
        <v>0</v>
      </c>
      <c r="BS132" s="30" t="n">
        <f aca="false">BR132*$BR$5/12</f>
        <v>0</v>
      </c>
      <c r="BT132" s="30" t="n">
        <f aca="false">MIN($BR$6,BR132+BS132)</f>
        <v>0</v>
      </c>
      <c r="BU132" s="30" t="n">
        <f aca="false">MAX(0,MIN(BL132,BR132+BS132-BT132))</f>
        <v>0</v>
      </c>
      <c r="BV132" s="29" t="n">
        <f aca="false">BL132-BU132</f>
        <v>690</v>
      </c>
      <c r="BW132" s="30" t="n">
        <f aca="false">BR132+BS132-BT132-BU132</f>
        <v>0</v>
      </c>
      <c r="BX132" s="30" t="n">
        <f aca="false">CA131</f>
        <v>0</v>
      </c>
      <c r="BY132" s="30" t="n">
        <f aca="false">BX132*$BR$5/12</f>
        <v>0</v>
      </c>
      <c r="BZ132" s="30" t="n">
        <f aca="false">MIN($BR$6,BX132+BY132)</f>
        <v>0</v>
      </c>
      <c r="CA132" s="30" t="n">
        <f aca="false">BX132+BY132-BZ132</f>
        <v>0</v>
      </c>
      <c r="CB132" s="30" t="n">
        <f aca="false">CG131</f>
        <v>0</v>
      </c>
      <c r="CC132" s="30" t="n">
        <f aca="false">CB132*$CB$5/12</f>
        <v>0</v>
      </c>
      <c r="CD132" s="30" t="n">
        <f aca="false">MIN($CB$6,CB132+CC132)</f>
        <v>0</v>
      </c>
      <c r="CE132" s="30" t="n">
        <f aca="false">MAX(0,MIN(BV132,CB132+CC132-CD132))</f>
        <v>0</v>
      </c>
      <c r="CF132" s="29" t="n">
        <f aca="false">BV132-CE132</f>
        <v>690</v>
      </c>
      <c r="CG132" s="30" t="n">
        <f aca="false">CB132+CC132-CD132-CE132</f>
        <v>0</v>
      </c>
      <c r="CH132" s="30" t="n">
        <f aca="false">CK131</f>
        <v>0</v>
      </c>
      <c r="CI132" s="30" t="n">
        <f aca="false">CH132*$CB$5/12</f>
        <v>0</v>
      </c>
      <c r="CJ132" s="30" t="n">
        <f aca="false">MIN($CB$6,CH132+CI132)</f>
        <v>0</v>
      </c>
      <c r="CK132" s="30" t="n">
        <f aca="false">CH132+CI132-CJ132</f>
        <v>0</v>
      </c>
    </row>
    <row r="133" customFormat="false" ht="15" hidden="false" customHeight="false" outlineLevel="0" collapsed="false">
      <c r="A133" s="0" t="n">
        <v>125</v>
      </c>
      <c r="B133" s="29" t="n">
        <f aca="false">'1 Your debts'!$B$16-(L133+V133+AF133+AP133+AZ133+BJ133+BT133+CD133)</f>
        <v>690</v>
      </c>
      <c r="C133" s="34" t="n">
        <f aca="false">O133+Y133+AI133+AS133+BC133+BM133+BW133+CG133</f>
        <v>0</v>
      </c>
      <c r="D133" s="34" t="n">
        <f aca="false">K133+U133+AE133+AO133+AY133+BI133+BS133+CC133</f>
        <v>0</v>
      </c>
      <c r="F133" s="34" t="n">
        <f aca="false">S133+AC133+AM133+AW133+BG133+BQ133+CA133+CK133</f>
        <v>0</v>
      </c>
      <c r="G133" s="34" t="n">
        <f aca="false">Q133+AA133+AK133+AU133+BE133+BO133+BY133+CI133</f>
        <v>0</v>
      </c>
      <c r="J133" s="34" t="n">
        <f aca="false">O132</f>
        <v>0</v>
      </c>
      <c r="K133" s="34" t="n">
        <f aca="false">J133*$J$5/12</f>
        <v>0</v>
      </c>
      <c r="L133" s="29" t="n">
        <f aca="false">MIN($J$6,J133+K133)</f>
        <v>0</v>
      </c>
      <c r="M133" s="30" t="n">
        <f aca="false">MAX(0,MIN($B133,J133+K133-L133))</f>
        <v>0</v>
      </c>
      <c r="N133" s="29" t="n">
        <f aca="false">$B133-M133</f>
        <v>690</v>
      </c>
      <c r="O133" s="34" t="n">
        <f aca="false">J133+K133-L133-M133</f>
        <v>0</v>
      </c>
      <c r="P133" s="34" t="n">
        <f aca="false">S132</f>
        <v>0</v>
      </c>
      <c r="Q133" s="34" t="n">
        <f aca="false">P133*$J$5/12</f>
        <v>0</v>
      </c>
      <c r="R133" s="29" t="n">
        <f aca="false">MIN($J$6,P133+Q133)</f>
        <v>0</v>
      </c>
      <c r="S133" s="34" t="n">
        <f aca="false">P133+Q133-R133</f>
        <v>0</v>
      </c>
      <c r="T133" s="34" t="n">
        <f aca="false">Y132</f>
        <v>0</v>
      </c>
      <c r="U133" s="34" t="n">
        <f aca="false">T133*$T$5/12</f>
        <v>0</v>
      </c>
      <c r="V133" s="29" t="n">
        <f aca="false">MIN($T$6,T133+U133)</f>
        <v>0</v>
      </c>
      <c r="W133" s="30" t="n">
        <f aca="false">MAX(0,MIN(N133,T133+U133-V133))</f>
        <v>0</v>
      </c>
      <c r="X133" s="29" t="n">
        <f aca="false">N133-W133</f>
        <v>690</v>
      </c>
      <c r="Y133" s="34" t="n">
        <f aca="false">T133+U133-V133-W133</f>
        <v>0</v>
      </c>
      <c r="Z133" s="34" t="n">
        <f aca="false">AC132</f>
        <v>0</v>
      </c>
      <c r="AA133" s="34" t="n">
        <f aca="false">Z133*$T$5/12</f>
        <v>0</v>
      </c>
      <c r="AB133" s="29" t="n">
        <f aca="false">MIN($T$6,Z133+AA133)</f>
        <v>0</v>
      </c>
      <c r="AC133" s="34" t="n">
        <f aca="false">Z133+AA133-AB133</f>
        <v>0</v>
      </c>
      <c r="AD133" s="34" t="n">
        <f aca="false">AI132</f>
        <v>0</v>
      </c>
      <c r="AE133" s="34" t="n">
        <f aca="false">AD133*$AD$5/12</f>
        <v>0</v>
      </c>
      <c r="AF133" s="29" t="n">
        <f aca="false">MIN($AD$6,AD133+AE133)</f>
        <v>0</v>
      </c>
      <c r="AG133" s="30" t="n">
        <f aca="false">MAX(0,MIN(X133,AD133+AE133-AF133))</f>
        <v>0</v>
      </c>
      <c r="AH133" s="29" t="n">
        <f aca="false">X133-AG133</f>
        <v>690</v>
      </c>
      <c r="AI133" s="34" t="n">
        <f aca="false">AD133+AE133-AF133-AG133</f>
        <v>0</v>
      </c>
      <c r="AJ133" s="34" t="n">
        <f aca="false">AM132</f>
        <v>0</v>
      </c>
      <c r="AK133" s="34" t="n">
        <f aca="false">AJ133*$AD$5/12</f>
        <v>0</v>
      </c>
      <c r="AL133" s="29" t="n">
        <f aca="false">MIN($AD$6,AJ133+AK133)</f>
        <v>0</v>
      </c>
      <c r="AM133" s="34" t="n">
        <f aca="false">AJ133+AK133-AL133</f>
        <v>0</v>
      </c>
      <c r="AN133" s="34" t="n">
        <f aca="false">AS132</f>
        <v>0</v>
      </c>
      <c r="AO133" s="34" t="n">
        <f aca="false">AN133*$AN$5/12</f>
        <v>0</v>
      </c>
      <c r="AP133" s="29" t="n">
        <f aca="false">MIN($AN$6,AN133+AO133)</f>
        <v>0</v>
      </c>
      <c r="AQ133" s="30" t="n">
        <f aca="false">MAX(0,MIN(AH133,AN133+AO133-AP133))</f>
        <v>0</v>
      </c>
      <c r="AR133" s="29" t="n">
        <f aca="false">AH133-AQ133</f>
        <v>690</v>
      </c>
      <c r="AS133" s="34" t="n">
        <f aca="false">AN133+AO133-AP133-AQ133</f>
        <v>0</v>
      </c>
      <c r="AT133" s="34" t="n">
        <f aca="false">AW132</f>
        <v>0</v>
      </c>
      <c r="AU133" s="34" t="n">
        <f aca="false">AT133*$AN$5/12</f>
        <v>0</v>
      </c>
      <c r="AV133" s="29" t="n">
        <f aca="false">MIN($AN$6,AT133+AU133)</f>
        <v>0</v>
      </c>
      <c r="AW133" s="34" t="n">
        <f aca="false">AT133+AU133-AV133</f>
        <v>0</v>
      </c>
      <c r="AX133" s="30" t="n">
        <f aca="false">BC132</f>
        <v>0</v>
      </c>
      <c r="AY133" s="30" t="n">
        <f aca="false">AX133*$AX$5/12</f>
        <v>0</v>
      </c>
      <c r="AZ133" s="30" t="n">
        <f aca="false">MIN($AX$6,AX133+AY133)</f>
        <v>0</v>
      </c>
      <c r="BA133" s="30" t="n">
        <f aca="false">MAX(0,MIN(AR133,AX133+AY133-AZ133))</f>
        <v>0</v>
      </c>
      <c r="BB133" s="29" t="n">
        <f aca="false">AR133-BA133</f>
        <v>690</v>
      </c>
      <c r="BC133" s="30" t="n">
        <f aca="false">AX133+AY133-AZ133-BA133</f>
        <v>0</v>
      </c>
      <c r="BD133" s="30" t="n">
        <f aca="false">BG132</f>
        <v>0</v>
      </c>
      <c r="BE133" s="30" t="n">
        <f aca="false">BD133*$AX$5/12</f>
        <v>0</v>
      </c>
      <c r="BF133" s="30" t="n">
        <f aca="false">MIN($AX$6,BD133+BE133)</f>
        <v>0</v>
      </c>
      <c r="BG133" s="30" t="n">
        <f aca="false">BD133+BE133-BF133</f>
        <v>0</v>
      </c>
      <c r="BH133" s="30" t="n">
        <f aca="false">BM132</f>
        <v>0</v>
      </c>
      <c r="BI133" s="30" t="n">
        <f aca="false">BH133*$BH$5/12</f>
        <v>0</v>
      </c>
      <c r="BJ133" s="30" t="n">
        <f aca="false">MIN($BH$6,BH133+BI133)</f>
        <v>0</v>
      </c>
      <c r="BK133" s="30" t="n">
        <f aca="false">MAX(0,MIN(BB133,BH133+BI133-BJ133))</f>
        <v>0</v>
      </c>
      <c r="BL133" s="29" t="n">
        <f aca="false">BB133-BK133</f>
        <v>690</v>
      </c>
      <c r="BM133" s="30" t="n">
        <f aca="false">BH133+BI133-BJ133-BK133</f>
        <v>0</v>
      </c>
      <c r="BN133" s="30" t="n">
        <f aca="false">BQ132</f>
        <v>0</v>
      </c>
      <c r="BO133" s="30" t="n">
        <f aca="false">BN133*$BH$5/12</f>
        <v>0</v>
      </c>
      <c r="BP133" s="30" t="n">
        <f aca="false">MIN($BH$6,BN133+BO133)</f>
        <v>0</v>
      </c>
      <c r="BQ133" s="30" t="n">
        <f aca="false">BN133+BO133-BP133</f>
        <v>0</v>
      </c>
      <c r="BR133" s="30" t="n">
        <f aca="false">BW132</f>
        <v>0</v>
      </c>
      <c r="BS133" s="30" t="n">
        <f aca="false">BR133*$BR$5/12</f>
        <v>0</v>
      </c>
      <c r="BT133" s="30" t="n">
        <f aca="false">MIN($BR$6,BR133+BS133)</f>
        <v>0</v>
      </c>
      <c r="BU133" s="30" t="n">
        <f aca="false">MAX(0,MIN(BL133,BR133+BS133-BT133))</f>
        <v>0</v>
      </c>
      <c r="BV133" s="29" t="n">
        <f aca="false">BL133-BU133</f>
        <v>690</v>
      </c>
      <c r="BW133" s="30" t="n">
        <f aca="false">BR133+BS133-BT133-BU133</f>
        <v>0</v>
      </c>
      <c r="BX133" s="30" t="n">
        <f aca="false">CA132</f>
        <v>0</v>
      </c>
      <c r="BY133" s="30" t="n">
        <f aca="false">BX133*$BR$5/12</f>
        <v>0</v>
      </c>
      <c r="BZ133" s="30" t="n">
        <f aca="false">MIN($BR$6,BX133+BY133)</f>
        <v>0</v>
      </c>
      <c r="CA133" s="30" t="n">
        <f aca="false">BX133+BY133-BZ133</f>
        <v>0</v>
      </c>
      <c r="CB133" s="30" t="n">
        <f aca="false">CG132</f>
        <v>0</v>
      </c>
      <c r="CC133" s="30" t="n">
        <f aca="false">CB133*$CB$5/12</f>
        <v>0</v>
      </c>
      <c r="CD133" s="30" t="n">
        <f aca="false">MIN($CB$6,CB133+CC133)</f>
        <v>0</v>
      </c>
      <c r="CE133" s="30" t="n">
        <f aca="false">MAX(0,MIN(BV133,CB133+CC133-CD133))</f>
        <v>0</v>
      </c>
      <c r="CF133" s="29" t="n">
        <f aca="false">BV133-CE133</f>
        <v>690</v>
      </c>
      <c r="CG133" s="30" t="n">
        <f aca="false">CB133+CC133-CD133-CE133</f>
        <v>0</v>
      </c>
      <c r="CH133" s="30" t="n">
        <f aca="false">CK132</f>
        <v>0</v>
      </c>
      <c r="CI133" s="30" t="n">
        <f aca="false">CH133*$CB$5/12</f>
        <v>0</v>
      </c>
      <c r="CJ133" s="30" t="n">
        <f aca="false">MIN($CB$6,CH133+CI133)</f>
        <v>0</v>
      </c>
      <c r="CK133" s="30" t="n">
        <f aca="false">CH133+CI133-CJ133</f>
        <v>0</v>
      </c>
    </row>
    <row r="134" customFormat="false" ht="15" hidden="false" customHeight="false" outlineLevel="0" collapsed="false">
      <c r="A134" s="0" t="n">
        <v>126</v>
      </c>
      <c r="B134" s="29" t="n">
        <f aca="false">'1 Your debts'!$B$16-(L134+V134+AF134+AP134+AZ134+BJ134+BT134+CD134)</f>
        <v>690</v>
      </c>
      <c r="C134" s="34" t="n">
        <f aca="false">O134+Y134+AI134+AS134+BC134+BM134+BW134+CG134</f>
        <v>0</v>
      </c>
      <c r="D134" s="34" t="n">
        <f aca="false">K134+U134+AE134+AO134+AY134+BI134+BS134+CC134</f>
        <v>0</v>
      </c>
      <c r="F134" s="34" t="n">
        <f aca="false">S134+AC134+AM134+AW134+BG134+BQ134+CA134+CK134</f>
        <v>0</v>
      </c>
      <c r="G134" s="34" t="n">
        <f aca="false">Q134+AA134+AK134+AU134+BE134+BO134+BY134+CI134</f>
        <v>0</v>
      </c>
      <c r="J134" s="34" t="n">
        <f aca="false">O133</f>
        <v>0</v>
      </c>
      <c r="K134" s="34" t="n">
        <f aca="false">J134*$J$5/12</f>
        <v>0</v>
      </c>
      <c r="L134" s="29" t="n">
        <f aca="false">MIN($J$6,J134+K134)</f>
        <v>0</v>
      </c>
      <c r="M134" s="30" t="n">
        <f aca="false">MAX(0,MIN($B134,J134+K134-L134))</f>
        <v>0</v>
      </c>
      <c r="N134" s="29" t="n">
        <f aca="false">$B134-M134</f>
        <v>690</v>
      </c>
      <c r="O134" s="34" t="n">
        <f aca="false">J134+K134-L134-M134</f>
        <v>0</v>
      </c>
      <c r="P134" s="34" t="n">
        <f aca="false">S133</f>
        <v>0</v>
      </c>
      <c r="Q134" s="34" t="n">
        <f aca="false">P134*$J$5/12</f>
        <v>0</v>
      </c>
      <c r="R134" s="29" t="n">
        <f aca="false">MIN($J$6,P134+Q134)</f>
        <v>0</v>
      </c>
      <c r="S134" s="34" t="n">
        <f aca="false">P134+Q134-R134</f>
        <v>0</v>
      </c>
      <c r="T134" s="34" t="n">
        <f aca="false">Y133</f>
        <v>0</v>
      </c>
      <c r="U134" s="34" t="n">
        <f aca="false">T134*$T$5/12</f>
        <v>0</v>
      </c>
      <c r="V134" s="29" t="n">
        <f aca="false">MIN($T$6,T134+U134)</f>
        <v>0</v>
      </c>
      <c r="W134" s="30" t="n">
        <f aca="false">MAX(0,MIN(N134,T134+U134-V134))</f>
        <v>0</v>
      </c>
      <c r="X134" s="29" t="n">
        <f aca="false">N134-W134</f>
        <v>690</v>
      </c>
      <c r="Y134" s="34" t="n">
        <f aca="false">T134+U134-V134-W134</f>
        <v>0</v>
      </c>
      <c r="Z134" s="34" t="n">
        <f aca="false">AC133</f>
        <v>0</v>
      </c>
      <c r="AA134" s="34" t="n">
        <f aca="false">Z134*$T$5/12</f>
        <v>0</v>
      </c>
      <c r="AB134" s="29" t="n">
        <f aca="false">MIN($T$6,Z134+AA134)</f>
        <v>0</v>
      </c>
      <c r="AC134" s="34" t="n">
        <f aca="false">Z134+AA134-AB134</f>
        <v>0</v>
      </c>
      <c r="AD134" s="34" t="n">
        <f aca="false">AI133</f>
        <v>0</v>
      </c>
      <c r="AE134" s="34" t="n">
        <f aca="false">AD134*$AD$5/12</f>
        <v>0</v>
      </c>
      <c r="AF134" s="29" t="n">
        <f aca="false">MIN($AD$6,AD134+AE134)</f>
        <v>0</v>
      </c>
      <c r="AG134" s="30" t="n">
        <f aca="false">MAX(0,MIN(X134,AD134+AE134-AF134))</f>
        <v>0</v>
      </c>
      <c r="AH134" s="29" t="n">
        <f aca="false">X134-AG134</f>
        <v>690</v>
      </c>
      <c r="AI134" s="34" t="n">
        <f aca="false">AD134+AE134-AF134-AG134</f>
        <v>0</v>
      </c>
      <c r="AJ134" s="34" t="n">
        <f aca="false">AM133</f>
        <v>0</v>
      </c>
      <c r="AK134" s="34" t="n">
        <f aca="false">AJ134*$AD$5/12</f>
        <v>0</v>
      </c>
      <c r="AL134" s="29" t="n">
        <f aca="false">MIN($AD$6,AJ134+AK134)</f>
        <v>0</v>
      </c>
      <c r="AM134" s="34" t="n">
        <f aca="false">AJ134+AK134-AL134</f>
        <v>0</v>
      </c>
      <c r="AN134" s="34" t="n">
        <f aca="false">AS133</f>
        <v>0</v>
      </c>
      <c r="AO134" s="34" t="n">
        <f aca="false">AN134*$AN$5/12</f>
        <v>0</v>
      </c>
      <c r="AP134" s="29" t="n">
        <f aca="false">MIN($AN$6,AN134+AO134)</f>
        <v>0</v>
      </c>
      <c r="AQ134" s="30" t="n">
        <f aca="false">MAX(0,MIN(AH134,AN134+AO134-AP134))</f>
        <v>0</v>
      </c>
      <c r="AR134" s="29" t="n">
        <f aca="false">AH134-AQ134</f>
        <v>690</v>
      </c>
      <c r="AS134" s="34" t="n">
        <f aca="false">AN134+AO134-AP134-AQ134</f>
        <v>0</v>
      </c>
      <c r="AT134" s="34" t="n">
        <f aca="false">AW133</f>
        <v>0</v>
      </c>
      <c r="AU134" s="34" t="n">
        <f aca="false">AT134*$AN$5/12</f>
        <v>0</v>
      </c>
      <c r="AV134" s="29" t="n">
        <f aca="false">MIN($AN$6,AT134+AU134)</f>
        <v>0</v>
      </c>
      <c r="AW134" s="34" t="n">
        <f aca="false">AT134+AU134-AV134</f>
        <v>0</v>
      </c>
      <c r="AX134" s="30" t="n">
        <f aca="false">BC133</f>
        <v>0</v>
      </c>
      <c r="AY134" s="30" t="n">
        <f aca="false">AX134*$AX$5/12</f>
        <v>0</v>
      </c>
      <c r="AZ134" s="30" t="n">
        <f aca="false">MIN($AX$6,AX134+AY134)</f>
        <v>0</v>
      </c>
      <c r="BA134" s="30" t="n">
        <f aca="false">MAX(0,MIN(AR134,AX134+AY134-AZ134))</f>
        <v>0</v>
      </c>
      <c r="BB134" s="29" t="n">
        <f aca="false">AR134-BA134</f>
        <v>690</v>
      </c>
      <c r="BC134" s="30" t="n">
        <f aca="false">AX134+AY134-AZ134-BA134</f>
        <v>0</v>
      </c>
      <c r="BD134" s="30" t="n">
        <f aca="false">BG133</f>
        <v>0</v>
      </c>
      <c r="BE134" s="30" t="n">
        <f aca="false">BD134*$AX$5/12</f>
        <v>0</v>
      </c>
      <c r="BF134" s="30" t="n">
        <f aca="false">MIN($AX$6,BD134+BE134)</f>
        <v>0</v>
      </c>
      <c r="BG134" s="30" t="n">
        <f aca="false">BD134+BE134-BF134</f>
        <v>0</v>
      </c>
      <c r="BH134" s="30" t="n">
        <f aca="false">BM133</f>
        <v>0</v>
      </c>
      <c r="BI134" s="30" t="n">
        <f aca="false">BH134*$BH$5/12</f>
        <v>0</v>
      </c>
      <c r="BJ134" s="30" t="n">
        <f aca="false">MIN($BH$6,BH134+BI134)</f>
        <v>0</v>
      </c>
      <c r="BK134" s="30" t="n">
        <f aca="false">MAX(0,MIN(BB134,BH134+BI134-BJ134))</f>
        <v>0</v>
      </c>
      <c r="BL134" s="29" t="n">
        <f aca="false">BB134-BK134</f>
        <v>690</v>
      </c>
      <c r="BM134" s="30" t="n">
        <f aca="false">BH134+BI134-BJ134-BK134</f>
        <v>0</v>
      </c>
      <c r="BN134" s="30" t="n">
        <f aca="false">BQ133</f>
        <v>0</v>
      </c>
      <c r="BO134" s="30" t="n">
        <f aca="false">BN134*$BH$5/12</f>
        <v>0</v>
      </c>
      <c r="BP134" s="30" t="n">
        <f aca="false">MIN($BH$6,BN134+BO134)</f>
        <v>0</v>
      </c>
      <c r="BQ134" s="30" t="n">
        <f aca="false">BN134+BO134-BP134</f>
        <v>0</v>
      </c>
      <c r="BR134" s="30" t="n">
        <f aca="false">BW133</f>
        <v>0</v>
      </c>
      <c r="BS134" s="30" t="n">
        <f aca="false">BR134*$BR$5/12</f>
        <v>0</v>
      </c>
      <c r="BT134" s="30" t="n">
        <f aca="false">MIN($BR$6,BR134+BS134)</f>
        <v>0</v>
      </c>
      <c r="BU134" s="30" t="n">
        <f aca="false">MAX(0,MIN(BL134,BR134+BS134-BT134))</f>
        <v>0</v>
      </c>
      <c r="BV134" s="29" t="n">
        <f aca="false">BL134-BU134</f>
        <v>690</v>
      </c>
      <c r="BW134" s="30" t="n">
        <f aca="false">BR134+BS134-BT134-BU134</f>
        <v>0</v>
      </c>
      <c r="BX134" s="30" t="n">
        <f aca="false">CA133</f>
        <v>0</v>
      </c>
      <c r="BY134" s="30" t="n">
        <f aca="false">BX134*$BR$5/12</f>
        <v>0</v>
      </c>
      <c r="BZ134" s="30" t="n">
        <f aca="false">MIN($BR$6,BX134+BY134)</f>
        <v>0</v>
      </c>
      <c r="CA134" s="30" t="n">
        <f aca="false">BX134+BY134-BZ134</f>
        <v>0</v>
      </c>
      <c r="CB134" s="30" t="n">
        <f aca="false">CG133</f>
        <v>0</v>
      </c>
      <c r="CC134" s="30" t="n">
        <f aca="false">CB134*$CB$5/12</f>
        <v>0</v>
      </c>
      <c r="CD134" s="30" t="n">
        <f aca="false">MIN($CB$6,CB134+CC134)</f>
        <v>0</v>
      </c>
      <c r="CE134" s="30" t="n">
        <f aca="false">MAX(0,MIN(BV134,CB134+CC134-CD134))</f>
        <v>0</v>
      </c>
      <c r="CF134" s="29" t="n">
        <f aca="false">BV134-CE134</f>
        <v>690</v>
      </c>
      <c r="CG134" s="30" t="n">
        <f aca="false">CB134+CC134-CD134-CE134</f>
        <v>0</v>
      </c>
      <c r="CH134" s="30" t="n">
        <f aca="false">CK133</f>
        <v>0</v>
      </c>
      <c r="CI134" s="30" t="n">
        <f aca="false">CH134*$CB$5/12</f>
        <v>0</v>
      </c>
      <c r="CJ134" s="30" t="n">
        <f aca="false">MIN($CB$6,CH134+CI134)</f>
        <v>0</v>
      </c>
      <c r="CK134" s="30" t="n">
        <f aca="false">CH134+CI134-CJ134</f>
        <v>0</v>
      </c>
    </row>
    <row r="135" customFormat="false" ht="15" hidden="false" customHeight="false" outlineLevel="0" collapsed="false">
      <c r="A135" s="0" t="n">
        <v>127</v>
      </c>
      <c r="B135" s="29" t="n">
        <f aca="false">'1 Your debts'!$B$16-(L135+V135+AF135+AP135+AZ135+BJ135+BT135+CD135)</f>
        <v>690</v>
      </c>
      <c r="C135" s="34" t="n">
        <f aca="false">O135+Y135+AI135+AS135+BC135+BM135+BW135+CG135</f>
        <v>0</v>
      </c>
      <c r="D135" s="34" t="n">
        <f aca="false">K135+U135+AE135+AO135+AY135+BI135+BS135+CC135</f>
        <v>0</v>
      </c>
      <c r="F135" s="34" t="n">
        <f aca="false">S135+AC135+AM135+AW135+BG135+BQ135+CA135+CK135</f>
        <v>0</v>
      </c>
      <c r="G135" s="34" t="n">
        <f aca="false">Q135+AA135+AK135+AU135+BE135+BO135+BY135+CI135</f>
        <v>0</v>
      </c>
      <c r="J135" s="34" t="n">
        <f aca="false">O134</f>
        <v>0</v>
      </c>
      <c r="K135" s="34" t="n">
        <f aca="false">J135*$J$5/12</f>
        <v>0</v>
      </c>
      <c r="L135" s="29" t="n">
        <f aca="false">MIN($J$6,J135+K135)</f>
        <v>0</v>
      </c>
      <c r="M135" s="30" t="n">
        <f aca="false">MAX(0,MIN($B135,J135+K135-L135))</f>
        <v>0</v>
      </c>
      <c r="N135" s="29" t="n">
        <f aca="false">$B135-M135</f>
        <v>690</v>
      </c>
      <c r="O135" s="34" t="n">
        <f aca="false">J135+K135-L135-M135</f>
        <v>0</v>
      </c>
      <c r="P135" s="34" t="n">
        <f aca="false">S134</f>
        <v>0</v>
      </c>
      <c r="Q135" s="34" t="n">
        <f aca="false">P135*$J$5/12</f>
        <v>0</v>
      </c>
      <c r="R135" s="29" t="n">
        <f aca="false">MIN($J$6,P135+Q135)</f>
        <v>0</v>
      </c>
      <c r="S135" s="34" t="n">
        <f aca="false">P135+Q135-R135</f>
        <v>0</v>
      </c>
      <c r="T135" s="34" t="n">
        <f aca="false">Y134</f>
        <v>0</v>
      </c>
      <c r="U135" s="34" t="n">
        <f aca="false">T135*$T$5/12</f>
        <v>0</v>
      </c>
      <c r="V135" s="29" t="n">
        <f aca="false">MIN($T$6,T135+U135)</f>
        <v>0</v>
      </c>
      <c r="W135" s="30" t="n">
        <f aca="false">MAX(0,MIN(N135,T135+U135-V135))</f>
        <v>0</v>
      </c>
      <c r="X135" s="29" t="n">
        <f aca="false">N135-W135</f>
        <v>690</v>
      </c>
      <c r="Y135" s="34" t="n">
        <f aca="false">T135+U135-V135-W135</f>
        <v>0</v>
      </c>
      <c r="Z135" s="34" t="n">
        <f aca="false">AC134</f>
        <v>0</v>
      </c>
      <c r="AA135" s="34" t="n">
        <f aca="false">Z135*$T$5/12</f>
        <v>0</v>
      </c>
      <c r="AB135" s="29" t="n">
        <f aca="false">MIN($T$6,Z135+AA135)</f>
        <v>0</v>
      </c>
      <c r="AC135" s="34" t="n">
        <f aca="false">Z135+AA135-AB135</f>
        <v>0</v>
      </c>
      <c r="AD135" s="34" t="n">
        <f aca="false">AI134</f>
        <v>0</v>
      </c>
      <c r="AE135" s="34" t="n">
        <f aca="false">AD135*$AD$5/12</f>
        <v>0</v>
      </c>
      <c r="AF135" s="29" t="n">
        <f aca="false">MIN($AD$6,AD135+AE135)</f>
        <v>0</v>
      </c>
      <c r="AG135" s="30" t="n">
        <f aca="false">MAX(0,MIN(X135,AD135+AE135-AF135))</f>
        <v>0</v>
      </c>
      <c r="AH135" s="29" t="n">
        <f aca="false">X135-AG135</f>
        <v>690</v>
      </c>
      <c r="AI135" s="34" t="n">
        <f aca="false">AD135+AE135-AF135-AG135</f>
        <v>0</v>
      </c>
      <c r="AJ135" s="34" t="n">
        <f aca="false">AM134</f>
        <v>0</v>
      </c>
      <c r="AK135" s="34" t="n">
        <f aca="false">AJ135*$AD$5/12</f>
        <v>0</v>
      </c>
      <c r="AL135" s="29" t="n">
        <f aca="false">MIN($AD$6,AJ135+AK135)</f>
        <v>0</v>
      </c>
      <c r="AM135" s="34" t="n">
        <f aca="false">AJ135+AK135-AL135</f>
        <v>0</v>
      </c>
      <c r="AN135" s="34" t="n">
        <f aca="false">AS134</f>
        <v>0</v>
      </c>
      <c r="AO135" s="34" t="n">
        <f aca="false">AN135*$AN$5/12</f>
        <v>0</v>
      </c>
      <c r="AP135" s="29" t="n">
        <f aca="false">MIN($AN$6,AN135+AO135)</f>
        <v>0</v>
      </c>
      <c r="AQ135" s="30" t="n">
        <f aca="false">MAX(0,MIN(AH135,AN135+AO135-AP135))</f>
        <v>0</v>
      </c>
      <c r="AR135" s="29" t="n">
        <f aca="false">AH135-AQ135</f>
        <v>690</v>
      </c>
      <c r="AS135" s="34" t="n">
        <f aca="false">AN135+AO135-AP135-AQ135</f>
        <v>0</v>
      </c>
      <c r="AT135" s="34" t="n">
        <f aca="false">AW134</f>
        <v>0</v>
      </c>
      <c r="AU135" s="34" t="n">
        <f aca="false">AT135*$AN$5/12</f>
        <v>0</v>
      </c>
      <c r="AV135" s="29" t="n">
        <f aca="false">MIN($AN$6,AT135+AU135)</f>
        <v>0</v>
      </c>
      <c r="AW135" s="34" t="n">
        <f aca="false">AT135+AU135-AV135</f>
        <v>0</v>
      </c>
      <c r="AX135" s="30" t="n">
        <f aca="false">BC134</f>
        <v>0</v>
      </c>
      <c r="AY135" s="30" t="n">
        <f aca="false">AX135*$AX$5/12</f>
        <v>0</v>
      </c>
      <c r="AZ135" s="30" t="n">
        <f aca="false">MIN($AX$6,AX135+AY135)</f>
        <v>0</v>
      </c>
      <c r="BA135" s="30" t="n">
        <f aca="false">MAX(0,MIN(AR135,AX135+AY135-AZ135))</f>
        <v>0</v>
      </c>
      <c r="BB135" s="29" t="n">
        <f aca="false">AR135-BA135</f>
        <v>690</v>
      </c>
      <c r="BC135" s="30" t="n">
        <f aca="false">AX135+AY135-AZ135-BA135</f>
        <v>0</v>
      </c>
      <c r="BD135" s="30" t="n">
        <f aca="false">BG134</f>
        <v>0</v>
      </c>
      <c r="BE135" s="30" t="n">
        <f aca="false">BD135*$AX$5/12</f>
        <v>0</v>
      </c>
      <c r="BF135" s="30" t="n">
        <f aca="false">MIN($AX$6,BD135+BE135)</f>
        <v>0</v>
      </c>
      <c r="BG135" s="30" t="n">
        <f aca="false">BD135+BE135-BF135</f>
        <v>0</v>
      </c>
      <c r="BH135" s="30" t="n">
        <f aca="false">BM134</f>
        <v>0</v>
      </c>
      <c r="BI135" s="30" t="n">
        <f aca="false">BH135*$BH$5/12</f>
        <v>0</v>
      </c>
      <c r="BJ135" s="30" t="n">
        <f aca="false">MIN($BH$6,BH135+BI135)</f>
        <v>0</v>
      </c>
      <c r="BK135" s="30" t="n">
        <f aca="false">MAX(0,MIN(BB135,BH135+BI135-BJ135))</f>
        <v>0</v>
      </c>
      <c r="BL135" s="29" t="n">
        <f aca="false">BB135-BK135</f>
        <v>690</v>
      </c>
      <c r="BM135" s="30" t="n">
        <f aca="false">BH135+BI135-BJ135-BK135</f>
        <v>0</v>
      </c>
      <c r="BN135" s="30" t="n">
        <f aca="false">BQ134</f>
        <v>0</v>
      </c>
      <c r="BO135" s="30" t="n">
        <f aca="false">BN135*$BH$5/12</f>
        <v>0</v>
      </c>
      <c r="BP135" s="30" t="n">
        <f aca="false">MIN($BH$6,BN135+BO135)</f>
        <v>0</v>
      </c>
      <c r="BQ135" s="30" t="n">
        <f aca="false">BN135+BO135-BP135</f>
        <v>0</v>
      </c>
      <c r="BR135" s="30" t="n">
        <f aca="false">BW134</f>
        <v>0</v>
      </c>
      <c r="BS135" s="30" t="n">
        <f aca="false">BR135*$BR$5/12</f>
        <v>0</v>
      </c>
      <c r="BT135" s="30" t="n">
        <f aca="false">MIN($BR$6,BR135+BS135)</f>
        <v>0</v>
      </c>
      <c r="BU135" s="30" t="n">
        <f aca="false">MAX(0,MIN(BL135,BR135+BS135-BT135))</f>
        <v>0</v>
      </c>
      <c r="BV135" s="29" t="n">
        <f aca="false">BL135-BU135</f>
        <v>690</v>
      </c>
      <c r="BW135" s="30" t="n">
        <f aca="false">BR135+BS135-BT135-BU135</f>
        <v>0</v>
      </c>
      <c r="BX135" s="30" t="n">
        <f aca="false">CA134</f>
        <v>0</v>
      </c>
      <c r="BY135" s="30" t="n">
        <f aca="false">BX135*$BR$5/12</f>
        <v>0</v>
      </c>
      <c r="BZ135" s="30" t="n">
        <f aca="false">MIN($BR$6,BX135+BY135)</f>
        <v>0</v>
      </c>
      <c r="CA135" s="30" t="n">
        <f aca="false">BX135+BY135-BZ135</f>
        <v>0</v>
      </c>
      <c r="CB135" s="30" t="n">
        <f aca="false">CG134</f>
        <v>0</v>
      </c>
      <c r="CC135" s="30" t="n">
        <f aca="false">CB135*$CB$5/12</f>
        <v>0</v>
      </c>
      <c r="CD135" s="30" t="n">
        <f aca="false">MIN($CB$6,CB135+CC135)</f>
        <v>0</v>
      </c>
      <c r="CE135" s="30" t="n">
        <f aca="false">MAX(0,MIN(BV135,CB135+CC135-CD135))</f>
        <v>0</v>
      </c>
      <c r="CF135" s="29" t="n">
        <f aca="false">BV135-CE135</f>
        <v>690</v>
      </c>
      <c r="CG135" s="30" t="n">
        <f aca="false">CB135+CC135-CD135-CE135</f>
        <v>0</v>
      </c>
      <c r="CH135" s="30" t="n">
        <f aca="false">CK134</f>
        <v>0</v>
      </c>
      <c r="CI135" s="30" t="n">
        <f aca="false">CH135*$CB$5/12</f>
        <v>0</v>
      </c>
      <c r="CJ135" s="30" t="n">
        <f aca="false">MIN($CB$6,CH135+CI135)</f>
        <v>0</v>
      </c>
      <c r="CK135" s="30" t="n">
        <f aca="false">CH135+CI135-CJ135</f>
        <v>0</v>
      </c>
    </row>
    <row r="136" customFormat="false" ht="15" hidden="false" customHeight="false" outlineLevel="0" collapsed="false">
      <c r="A136" s="0" t="n">
        <v>128</v>
      </c>
      <c r="B136" s="29" t="n">
        <f aca="false">'1 Your debts'!$B$16-(L136+V136+AF136+AP136+AZ136+BJ136+BT136+CD136)</f>
        <v>690</v>
      </c>
      <c r="C136" s="34" t="n">
        <f aca="false">O136+Y136+AI136+AS136+BC136+BM136+BW136+CG136</f>
        <v>0</v>
      </c>
      <c r="D136" s="34" t="n">
        <f aca="false">K136+U136+AE136+AO136+AY136+BI136+BS136+CC136</f>
        <v>0</v>
      </c>
      <c r="F136" s="34" t="n">
        <f aca="false">S136+AC136+AM136+AW136+BG136+BQ136+CA136+CK136</f>
        <v>0</v>
      </c>
      <c r="G136" s="34" t="n">
        <f aca="false">Q136+AA136+AK136+AU136+BE136+BO136+BY136+CI136</f>
        <v>0</v>
      </c>
      <c r="J136" s="34" t="n">
        <f aca="false">O135</f>
        <v>0</v>
      </c>
      <c r="K136" s="34" t="n">
        <f aca="false">J136*$J$5/12</f>
        <v>0</v>
      </c>
      <c r="L136" s="29" t="n">
        <f aca="false">MIN($J$6,J136+K136)</f>
        <v>0</v>
      </c>
      <c r="M136" s="30" t="n">
        <f aca="false">MAX(0,MIN($B136,J136+K136-L136))</f>
        <v>0</v>
      </c>
      <c r="N136" s="29" t="n">
        <f aca="false">$B136-M136</f>
        <v>690</v>
      </c>
      <c r="O136" s="34" t="n">
        <f aca="false">J136+K136-L136-M136</f>
        <v>0</v>
      </c>
      <c r="P136" s="34" t="n">
        <f aca="false">S135</f>
        <v>0</v>
      </c>
      <c r="Q136" s="34" t="n">
        <f aca="false">P136*$J$5/12</f>
        <v>0</v>
      </c>
      <c r="R136" s="29" t="n">
        <f aca="false">MIN($J$6,P136+Q136)</f>
        <v>0</v>
      </c>
      <c r="S136" s="34" t="n">
        <f aca="false">P136+Q136-R136</f>
        <v>0</v>
      </c>
      <c r="T136" s="34" t="n">
        <f aca="false">Y135</f>
        <v>0</v>
      </c>
      <c r="U136" s="34" t="n">
        <f aca="false">T136*$T$5/12</f>
        <v>0</v>
      </c>
      <c r="V136" s="29" t="n">
        <f aca="false">MIN($T$6,T136+U136)</f>
        <v>0</v>
      </c>
      <c r="W136" s="30" t="n">
        <f aca="false">MAX(0,MIN(N136,T136+U136-V136))</f>
        <v>0</v>
      </c>
      <c r="X136" s="29" t="n">
        <f aca="false">N136-W136</f>
        <v>690</v>
      </c>
      <c r="Y136" s="34" t="n">
        <f aca="false">T136+U136-V136-W136</f>
        <v>0</v>
      </c>
      <c r="Z136" s="34" t="n">
        <f aca="false">AC135</f>
        <v>0</v>
      </c>
      <c r="AA136" s="34" t="n">
        <f aca="false">Z136*$T$5/12</f>
        <v>0</v>
      </c>
      <c r="AB136" s="29" t="n">
        <f aca="false">MIN($T$6,Z136+AA136)</f>
        <v>0</v>
      </c>
      <c r="AC136" s="34" t="n">
        <f aca="false">Z136+AA136-AB136</f>
        <v>0</v>
      </c>
      <c r="AD136" s="34" t="n">
        <f aca="false">AI135</f>
        <v>0</v>
      </c>
      <c r="AE136" s="34" t="n">
        <f aca="false">AD136*$AD$5/12</f>
        <v>0</v>
      </c>
      <c r="AF136" s="29" t="n">
        <f aca="false">MIN($AD$6,AD136+AE136)</f>
        <v>0</v>
      </c>
      <c r="AG136" s="30" t="n">
        <f aca="false">MAX(0,MIN(X136,AD136+AE136-AF136))</f>
        <v>0</v>
      </c>
      <c r="AH136" s="29" t="n">
        <f aca="false">X136-AG136</f>
        <v>690</v>
      </c>
      <c r="AI136" s="34" t="n">
        <f aca="false">AD136+AE136-AF136-AG136</f>
        <v>0</v>
      </c>
      <c r="AJ136" s="34" t="n">
        <f aca="false">AM135</f>
        <v>0</v>
      </c>
      <c r="AK136" s="34" t="n">
        <f aca="false">AJ136*$AD$5/12</f>
        <v>0</v>
      </c>
      <c r="AL136" s="29" t="n">
        <f aca="false">MIN($AD$6,AJ136+AK136)</f>
        <v>0</v>
      </c>
      <c r="AM136" s="34" t="n">
        <f aca="false">AJ136+AK136-AL136</f>
        <v>0</v>
      </c>
      <c r="AN136" s="34" t="n">
        <f aca="false">AS135</f>
        <v>0</v>
      </c>
      <c r="AO136" s="34" t="n">
        <f aca="false">AN136*$AN$5/12</f>
        <v>0</v>
      </c>
      <c r="AP136" s="29" t="n">
        <f aca="false">MIN($AN$6,AN136+AO136)</f>
        <v>0</v>
      </c>
      <c r="AQ136" s="30" t="n">
        <f aca="false">MAX(0,MIN(AH136,AN136+AO136-AP136))</f>
        <v>0</v>
      </c>
      <c r="AR136" s="29" t="n">
        <f aca="false">AH136-AQ136</f>
        <v>690</v>
      </c>
      <c r="AS136" s="34" t="n">
        <f aca="false">AN136+AO136-AP136-AQ136</f>
        <v>0</v>
      </c>
      <c r="AT136" s="34" t="n">
        <f aca="false">AW135</f>
        <v>0</v>
      </c>
      <c r="AU136" s="34" t="n">
        <f aca="false">AT136*$AN$5/12</f>
        <v>0</v>
      </c>
      <c r="AV136" s="29" t="n">
        <f aca="false">MIN($AN$6,AT136+AU136)</f>
        <v>0</v>
      </c>
      <c r="AW136" s="34" t="n">
        <f aca="false">AT136+AU136-AV136</f>
        <v>0</v>
      </c>
      <c r="AX136" s="30" t="n">
        <f aca="false">BC135</f>
        <v>0</v>
      </c>
      <c r="AY136" s="30" t="n">
        <f aca="false">AX136*$AX$5/12</f>
        <v>0</v>
      </c>
      <c r="AZ136" s="30" t="n">
        <f aca="false">MIN($AX$6,AX136+AY136)</f>
        <v>0</v>
      </c>
      <c r="BA136" s="30" t="n">
        <f aca="false">MAX(0,MIN(AR136,AX136+AY136-AZ136))</f>
        <v>0</v>
      </c>
      <c r="BB136" s="29" t="n">
        <f aca="false">AR136-BA136</f>
        <v>690</v>
      </c>
      <c r="BC136" s="30" t="n">
        <f aca="false">AX136+AY136-AZ136-BA136</f>
        <v>0</v>
      </c>
      <c r="BD136" s="30" t="n">
        <f aca="false">BG135</f>
        <v>0</v>
      </c>
      <c r="BE136" s="30" t="n">
        <f aca="false">BD136*$AX$5/12</f>
        <v>0</v>
      </c>
      <c r="BF136" s="30" t="n">
        <f aca="false">MIN($AX$6,BD136+BE136)</f>
        <v>0</v>
      </c>
      <c r="BG136" s="30" t="n">
        <f aca="false">BD136+BE136-BF136</f>
        <v>0</v>
      </c>
      <c r="BH136" s="30" t="n">
        <f aca="false">BM135</f>
        <v>0</v>
      </c>
      <c r="BI136" s="30" t="n">
        <f aca="false">BH136*$BH$5/12</f>
        <v>0</v>
      </c>
      <c r="BJ136" s="30" t="n">
        <f aca="false">MIN($BH$6,BH136+BI136)</f>
        <v>0</v>
      </c>
      <c r="BK136" s="30" t="n">
        <f aca="false">MAX(0,MIN(BB136,BH136+BI136-BJ136))</f>
        <v>0</v>
      </c>
      <c r="BL136" s="29" t="n">
        <f aca="false">BB136-BK136</f>
        <v>690</v>
      </c>
      <c r="BM136" s="30" t="n">
        <f aca="false">BH136+BI136-BJ136-BK136</f>
        <v>0</v>
      </c>
      <c r="BN136" s="30" t="n">
        <f aca="false">BQ135</f>
        <v>0</v>
      </c>
      <c r="BO136" s="30" t="n">
        <f aca="false">BN136*$BH$5/12</f>
        <v>0</v>
      </c>
      <c r="BP136" s="30" t="n">
        <f aca="false">MIN($BH$6,BN136+BO136)</f>
        <v>0</v>
      </c>
      <c r="BQ136" s="30" t="n">
        <f aca="false">BN136+BO136-BP136</f>
        <v>0</v>
      </c>
      <c r="BR136" s="30" t="n">
        <f aca="false">BW135</f>
        <v>0</v>
      </c>
      <c r="BS136" s="30" t="n">
        <f aca="false">BR136*$BR$5/12</f>
        <v>0</v>
      </c>
      <c r="BT136" s="30" t="n">
        <f aca="false">MIN($BR$6,BR136+BS136)</f>
        <v>0</v>
      </c>
      <c r="BU136" s="30" t="n">
        <f aca="false">MAX(0,MIN(BL136,BR136+BS136-BT136))</f>
        <v>0</v>
      </c>
      <c r="BV136" s="29" t="n">
        <f aca="false">BL136-BU136</f>
        <v>690</v>
      </c>
      <c r="BW136" s="30" t="n">
        <f aca="false">BR136+BS136-BT136-BU136</f>
        <v>0</v>
      </c>
      <c r="BX136" s="30" t="n">
        <f aca="false">CA135</f>
        <v>0</v>
      </c>
      <c r="BY136" s="30" t="n">
        <f aca="false">BX136*$BR$5/12</f>
        <v>0</v>
      </c>
      <c r="BZ136" s="30" t="n">
        <f aca="false">MIN($BR$6,BX136+BY136)</f>
        <v>0</v>
      </c>
      <c r="CA136" s="30" t="n">
        <f aca="false">BX136+BY136-BZ136</f>
        <v>0</v>
      </c>
      <c r="CB136" s="30" t="n">
        <f aca="false">CG135</f>
        <v>0</v>
      </c>
      <c r="CC136" s="30" t="n">
        <f aca="false">CB136*$CB$5/12</f>
        <v>0</v>
      </c>
      <c r="CD136" s="30" t="n">
        <f aca="false">MIN($CB$6,CB136+CC136)</f>
        <v>0</v>
      </c>
      <c r="CE136" s="30" t="n">
        <f aca="false">MAX(0,MIN(BV136,CB136+CC136-CD136))</f>
        <v>0</v>
      </c>
      <c r="CF136" s="29" t="n">
        <f aca="false">BV136-CE136</f>
        <v>690</v>
      </c>
      <c r="CG136" s="30" t="n">
        <f aca="false">CB136+CC136-CD136-CE136</f>
        <v>0</v>
      </c>
      <c r="CH136" s="30" t="n">
        <f aca="false">CK135</f>
        <v>0</v>
      </c>
      <c r="CI136" s="30" t="n">
        <f aca="false">CH136*$CB$5/12</f>
        <v>0</v>
      </c>
      <c r="CJ136" s="30" t="n">
        <f aca="false">MIN($CB$6,CH136+CI136)</f>
        <v>0</v>
      </c>
      <c r="CK136" s="30" t="n">
        <f aca="false">CH136+CI136-CJ136</f>
        <v>0</v>
      </c>
    </row>
    <row r="137" customFormat="false" ht="15" hidden="false" customHeight="false" outlineLevel="0" collapsed="false">
      <c r="A137" s="0" t="n">
        <v>129</v>
      </c>
      <c r="B137" s="29" t="n">
        <f aca="false">'1 Your debts'!$B$16-(L137+V137+AF137+AP137+AZ137+BJ137+BT137+CD137)</f>
        <v>690</v>
      </c>
      <c r="C137" s="34" t="n">
        <f aca="false">O137+Y137+AI137+AS137+BC137+BM137+BW137+CG137</f>
        <v>0</v>
      </c>
      <c r="D137" s="34" t="n">
        <f aca="false">K137+U137+AE137+AO137+AY137+BI137+BS137+CC137</f>
        <v>0</v>
      </c>
      <c r="F137" s="34" t="n">
        <f aca="false">S137+AC137+AM137+AW137+BG137+BQ137+CA137+CK137</f>
        <v>0</v>
      </c>
      <c r="G137" s="34" t="n">
        <f aca="false">Q137+AA137+AK137+AU137+BE137+BO137+BY137+CI137</f>
        <v>0</v>
      </c>
      <c r="J137" s="34" t="n">
        <f aca="false">O136</f>
        <v>0</v>
      </c>
      <c r="K137" s="34" t="n">
        <f aca="false">J137*$J$5/12</f>
        <v>0</v>
      </c>
      <c r="L137" s="29" t="n">
        <f aca="false">MIN($J$6,J137+K137)</f>
        <v>0</v>
      </c>
      <c r="M137" s="30" t="n">
        <f aca="false">MAX(0,MIN($B137,J137+K137-L137))</f>
        <v>0</v>
      </c>
      <c r="N137" s="29" t="n">
        <f aca="false">$B137-M137</f>
        <v>690</v>
      </c>
      <c r="O137" s="34" t="n">
        <f aca="false">J137+K137-L137-M137</f>
        <v>0</v>
      </c>
      <c r="P137" s="34" t="n">
        <f aca="false">S136</f>
        <v>0</v>
      </c>
      <c r="Q137" s="34" t="n">
        <f aca="false">P137*$J$5/12</f>
        <v>0</v>
      </c>
      <c r="R137" s="29" t="n">
        <f aca="false">MIN($J$6,P137+Q137)</f>
        <v>0</v>
      </c>
      <c r="S137" s="34" t="n">
        <f aca="false">P137+Q137-R137</f>
        <v>0</v>
      </c>
      <c r="T137" s="34" t="n">
        <f aca="false">Y136</f>
        <v>0</v>
      </c>
      <c r="U137" s="34" t="n">
        <f aca="false">T137*$T$5/12</f>
        <v>0</v>
      </c>
      <c r="V137" s="29" t="n">
        <f aca="false">MIN($T$6,T137+U137)</f>
        <v>0</v>
      </c>
      <c r="W137" s="30" t="n">
        <f aca="false">MAX(0,MIN(N137,T137+U137-V137))</f>
        <v>0</v>
      </c>
      <c r="X137" s="29" t="n">
        <f aca="false">N137-W137</f>
        <v>690</v>
      </c>
      <c r="Y137" s="34" t="n">
        <f aca="false">T137+U137-V137-W137</f>
        <v>0</v>
      </c>
      <c r="Z137" s="34" t="n">
        <f aca="false">AC136</f>
        <v>0</v>
      </c>
      <c r="AA137" s="34" t="n">
        <f aca="false">Z137*$T$5/12</f>
        <v>0</v>
      </c>
      <c r="AB137" s="29" t="n">
        <f aca="false">MIN($T$6,Z137+AA137)</f>
        <v>0</v>
      </c>
      <c r="AC137" s="34" t="n">
        <f aca="false">Z137+AA137-AB137</f>
        <v>0</v>
      </c>
      <c r="AD137" s="34" t="n">
        <f aca="false">AI136</f>
        <v>0</v>
      </c>
      <c r="AE137" s="34" t="n">
        <f aca="false">AD137*$AD$5/12</f>
        <v>0</v>
      </c>
      <c r="AF137" s="29" t="n">
        <f aca="false">MIN($AD$6,AD137+AE137)</f>
        <v>0</v>
      </c>
      <c r="AG137" s="30" t="n">
        <f aca="false">MAX(0,MIN(X137,AD137+AE137-AF137))</f>
        <v>0</v>
      </c>
      <c r="AH137" s="29" t="n">
        <f aca="false">X137-AG137</f>
        <v>690</v>
      </c>
      <c r="AI137" s="34" t="n">
        <f aca="false">AD137+AE137-AF137-AG137</f>
        <v>0</v>
      </c>
      <c r="AJ137" s="34" t="n">
        <f aca="false">AM136</f>
        <v>0</v>
      </c>
      <c r="AK137" s="34" t="n">
        <f aca="false">AJ137*$AD$5/12</f>
        <v>0</v>
      </c>
      <c r="AL137" s="29" t="n">
        <f aca="false">MIN($AD$6,AJ137+AK137)</f>
        <v>0</v>
      </c>
      <c r="AM137" s="34" t="n">
        <f aca="false">AJ137+AK137-AL137</f>
        <v>0</v>
      </c>
      <c r="AN137" s="34" t="n">
        <f aca="false">AS136</f>
        <v>0</v>
      </c>
      <c r="AO137" s="34" t="n">
        <f aca="false">AN137*$AN$5/12</f>
        <v>0</v>
      </c>
      <c r="AP137" s="29" t="n">
        <f aca="false">MIN($AN$6,AN137+AO137)</f>
        <v>0</v>
      </c>
      <c r="AQ137" s="30" t="n">
        <f aca="false">MAX(0,MIN(AH137,AN137+AO137-AP137))</f>
        <v>0</v>
      </c>
      <c r="AR137" s="29" t="n">
        <f aca="false">AH137-AQ137</f>
        <v>690</v>
      </c>
      <c r="AS137" s="34" t="n">
        <f aca="false">AN137+AO137-AP137-AQ137</f>
        <v>0</v>
      </c>
      <c r="AT137" s="34" t="n">
        <f aca="false">AW136</f>
        <v>0</v>
      </c>
      <c r="AU137" s="34" t="n">
        <f aca="false">AT137*$AN$5/12</f>
        <v>0</v>
      </c>
      <c r="AV137" s="29" t="n">
        <f aca="false">MIN($AN$6,AT137+AU137)</f>
        <v>0</v>
      </c>
      <c r="AW137" s="34" t="n">
        <f aca="false">AT137+AU137-AV137</f>
        <v>0</v>
      </c>
      <c r="AX137" s="30" t="n">
        <f aca="false">BC136</f>
        <v>0</v>
      </c>
      <c r="AY137" s="30" t="n">
        <f aca="false">AX137*$AX$5/12</f>
        <v>0</v>
      </c>
      <c r="AZ137" s="30" t="n">
        <f aca="false">MIN($AX$6,AX137+AY137)</f>
        <v>0</v>
      </c>
      <c r="BA137" s="30" t="n">
        <f aca="false">MAX(0,MIN(AR137,AX137+AY137-AZ137))</f>
        <v>0</v>
      </c>
      <c r="BB137" s="29" t="n">
        <f aca="false">AR137-BA137</f>
        <v>690</v>
      </c>
      <c r="BC137" s="30" t="n">
        <f aca="false">AX137+AY137-AZ137-BA137</f>
        <v>0</v>
      </c>
      <c r="BD137" s="30" t="n">
        <f aca="false">BG136</f>
        <v>0</v>
      </c>
      <c r="BE137" s="30" t="n">
        <f aca="false">BD137*$AX$5/12</f>
        <v>0</v>
      </c>
      <c r="BF137" s="30" t="n">
        <f aca="false">MIN($AX$6,BD137+BE137)</f>
        <v>0</v>
      </c>
      <c r="BG137" s="30" t="n">
        <f aca="false">BD137+BE137-BF137</f>
        <v>0</v>
      </c>
      <c r="BH137" s="30" t="n">
        <f aca="false">BM136</f>
        <v>0</v>
      </c>
      <c r="BI137" s="30" t="n">
        <f aca="false">BH137*$BH$5/12</f>
        <v>0</v>
      </c>
      <c r="BJ137" s="30" t="n">
        <f aca="false">MIN($BH$6,BH137+BI137)</f>
        <v>0</v>
      </c>
      <c r="BK137" s="30" t="n">
        <f aca="false">MAX(0,MIN(BB137,BH137+BI137-BJ137))</f>
        <v>0</v>
      </c>
      <c r="BL137" s="29" t="n">
        <f aca="false">BB137-BK137</f>
        <v>690</v>
      </c>
      <c r="BM137" s="30" t="n">
        <f aca="false">BH137+BI137-BJ137-BK137</f>
        <v>0</v>
      </c>
      <c r="BN137" s="30" t="n">
        <f aca="false">BQ136</f>
        <v>0</v>
      </c>
      <c r="BO137" s="30" t="n">
        <f aca="false">BN137*$BH$5/12</f>
        <v>0</v>
      </c>
      <c r="BP137" s="30" t="n">
        <f aca="false">MIN($BH$6,BN137+BO137)</f>
        <v>0</v>
      </c>
      <c r="BQ137" s="30" t="n">
        <f aca="false">BN137+BO137-BP137</f>
        <v>0</v>
      </c>
      <c r="BR137" s="30" t="n">
        <f aca="false">BW136</f>
        <v>0</v>
      </c>
      <c r="BS137" s="30" t="n">
        <f aca="false">BR137*$BR$5/12</f>
        <v>0</v>
      </c>
      <c r="BT137" s="30" t="n">
        <f aca="false">MIN($BR$6,BR137+BS137)</f>
        <v>0</v>
      </c>
      <c r="BU137" s="30" t="n">
        <f aca="false">MAX(0,MIN(BL137,BR137+BS137-BT137))</f>
        <v>0</v>
      </c>
      <c r="BV137" s="29" t="n">
        <f aca="false">BL137-BU137</f>
        <v>690</v>
      </c>
      <c r="BW137" s="30" t="n">
        <f aca="false">BR137+BS137-BT137-BU137</f>
        <v>0</v>
      </c>
      <c r="BX137" s="30" t="n">
        <f aca="false">CA136</f>
        <v>0</v>
      </c>
      <c r="BY137" s="30" t="n">
        <f aca="false">BX137*$BR$5/12</f>
        <v>0</v>
      </c>
      <c r="BZ137" s="30" t="n">
        <f aca="false">MIN($BR$6,BX137+BY137)</f>
        <v>0</v>
      </c>
      <c r="CA137" s="30" t="n">
        <f aca="false">BX137+BY137-BZ137</f>
        <v>0</v>
      </c>
      <c r="CB137" s="30" t="n">
        <f aca="false">CG136</f>
        <v>0</v>
      </c>
      <c r="CC137" s="30" t="n">
        <f aca="false">CB137*$CB$5/12</f>
        <v>0</v>
      </c>
      <c r="CD137" s="30" t="n">
        <f aca="false">MIN($CB$6,CB137+CC137)</f>
        <v>0</v>
      </c>
      <c r="CE137" s="30" t="n">
        <f aca="false">MAX(0,MIN(BV137,CB137+CC137-CD137))</f>
        <v>0</v>
      </c>
      <c r="CF137" s="29" t="n">
        <f aca="false">BV137-CE137</f>
        <v>690</v>
      </c>
      <c r="CG137" s="30" t="n">
        <f aca="false">CB137+CC137-CD137-CE137</f>
        <v>0</v>
      </c>
      <c r="CH137" s="30" t="n">
        <f aca="false">CK136</f>
        <v>0</v>
      </c>
      <c r="CI137" s="30" t="n">
        <f aca="false">CH137*$CB$5/12</f>
        <v>0</v>
      </c>
      <c r="CJ137" s="30" t="n">
        <f aca="false">MIN($CB$6,CH137+CI137)</f>
        <v>0</v>
      </c>
      <c r="CK137" s="30" t="n">
        <f aca="false">CH137+CI137-CJ137</f>
        <v>0</v>
      </c>
    </row>
    <row r="138" customFormat="false" ht="15" hidden="false" customHeight="false" outlineLevel="0" collapsed="false">
      <c r="A138" s="0" t="n">
        <v>130</v>
      </c>
      <c r="B138" s="29" t="n">
        <f aca="false">'1 Your debts'!$B$16-(L138+V138+AF138+AP138+AZ138+BJ138+BT138+CD138)</f>
        <v>690</v>
      </c>
      <c r="C138" s="34" t="n">
        <f aca="false">O138+Y138+AI138+AS138+BC138+BM138+BW138+CG138</f>
        <v>0</v>
      </c>
      <c r="D138" s="34" t="n">
        <f aca="false">K138+U138+AE138+AO138+AY138+BI138+BS138+CC138</f>
        <v>0</v>
      </c>
      <c r="F138" s="34" t="n">
        <f aca="false">S138+AC138+AM138+AW138+BG138+BQ138+CA138+CK138</f>
        <v>0</v>
      </c>
      <c r="G138" s="34" t="n">
        <f aca="false">Q138+AA138+AK138+AU138+BE138+BO138+BY138+CI138</f>
        <v>0</v>
      </c>
      <c r="J138" s="34" t="n">
        <f aca="false">O137</f>
        <v>0</v>
      </c>
      <c r="K138" s="34" t="n">
        <f aca="false">J138*$J$5/12</f>
        <v>0</v>
      </c>
      <c r="L138" s="29" t="n">
        <f aca="false">MIN($J$6,J138+K138)</f>
        <v>0</v>
      </c>
      <c r="M138" s="30" t="n">
        <f aca="false">MAX(0,MIN($B138,J138+K138-L138))</f>
        <v>0</v>
      </c>
      <c r="N138" s="29" t="n">
        <f aca="false">$B138-M138</f>
        <v>690</v>
      </c>
      <c r="O138" s="34" t="n">
        <f aca="false">J138+K138-L138-M138</f>
        <v>0</v>
      </c>
      <c r="P138" s="34" t="n">
        <f aca="false">S137</f>
        <v>0</v>
      </c>
      <c r="Q138" s="34" t="n">
        <f aca="false">P138*$J$5/12</f>
        <v>0</v>
      </c>
      <c r="R138" s="29" t="n">
        <f aca="false">MIN($J$6,P138+Q138)</f>
        <v>0</v>
      </c>
      <c r="S138" s="34" t="n">
        <f aca="false">P138+Q138-R138</f>
        <v>0</v>
      </c>
      <c r="T138" s="34" t="n">
        <f aca="false">Y137</f>
        <v>0</v>
      </c>
      <c r="U138" s="34" t="n">
        <f aca="false">T138*$T$5/12</f>
        <v>0</v>
      </c>
      <c r="V138" s="29" t="n">
        <f aca="false">MIN($T$6,T138+U138)</f>
        <v>0</v>
      </c>
      <c r="W138" s="30" t="n">
        <f aca="false">MAX(0,MIN(N138,T138+U138-V138))</f>
        <v>0</v>
      </c>
      <c r="X138" s="29" t="n">
        <f aca="false">N138-W138</f>
        <v>690</v>
      </c>
      <c r="Y138" s="34" t="n">
        <f aca="false">T138+U138-V138-W138</f>
        <v>0</v>
      </c>
      <c r="Z138" s="34" t="n">
        <f aca="false">AC137</f>
        <v>0</v>
      </c>
      <c r="AA138" s="34" t="n">
        <f aca="false">Z138*$T$5/12</f>
        <v>0</v>
      </c>
      <c r="AB138" s="29" t="n">
        <f aca="false">MIN($T$6,Z138+AA138)</f>
        <v>0</v>
      </c>
      <c r="AC138" s="34" t="n">
        <f aca="false">Z138+AA138-AB138</f>
        <v>0</v>
      </c>
      <c r="AD138" s="34" t="n">
        <f aca="false">AI137</f>
        <v>0</v>
      </c>
      <c r="AE138" s="34" t="n">
        <f aca="false">AD138*$AD$5/12</f>
        <v>0</v>
      </c>
      <c r="AF138" s="29" t="n">
        <f aca="false">MIN($AD$6,AD138+AE138)</f>
        <v>0</v>
      </c>
      <c r="AG138" s="30" t="n">
        <f aca="false">MAX(0,MIN(X138,AD138+AE138-AF138))</f>
        <v>0</v>
      </c>
      <c r="AH138" s="29" t="n">
        <f aca="false">X138-AG138</f>
        <v>690</v>
      </c>
      <c r="AI138" s="34" t="n">
        <f aca="false">AD138+AE138-AF138-AG138</f>
        <v>0</v>
      </c>
      <c r="AJ138" s="34" t="n">
        <f aca="false">AM137</f>
        <v>0</v>
      </c>
      <c r="AK138" s="34" t="n">
        <f aca="false">AJ138*$AD$5/12</f>
        <v>0</v>
      </c>
      <c r="AL138" s="29" t="n">
        <f aca="false">MIN($AD$6,AJ138+AK138)</f>
        <v>0</v>
      </c>
      <c r="AM138" s="34" t="n">
        <f aca="false">AJ138+AK138-AL138</f>
        <v>0</v>
      </c>
      <c r="AN138" s="34" t="n">
        <f aca="false">AS137</f>
        <v>0</v>
      </c>
      <c r="AO138" s="34" t="n">
        <f aca="false">AN138*$AN$5/12</f>
        <v>0</v>
      </c>
      <c r="AP138" s="29" t="n">
        <f aca="false">MIN($AN$6,AN138+AO138)</f>
        <v>0</v>
      </c>
      <c r="AQ138" s="30" t="n">
        <f aca="false">MAX(0,MIN(AH138,AN138+AO138-AP138))</f>
        <v>0</v>
      </c>
      <c r="AR138" s="29" t="n">
        <f aca="false">AH138-AQ138</f>
        <v>690</v>
      </c>
      <c r="AS138" s="34" t="n">
        <f aca="false">AN138+AO138-AP138-AQ138</f>
        <v>0</v>
      </c>
      <c r="AT138" s="34" t="n">
        <f aca="false">AW137</f>
        <v>0</v>
      </c>
      <c r="AU138" s="34" t="n">
        <f aca="false">AT138*$AN$5/12</f>
        <v>0</v>
      </c>
      <c r="AV138" s="29" t="n">
        <f aca="false">MIN($AN$6,AT138+AU138)</f>
        <v>0</v>
      </c>
      <c r="AW138" s="34" t="n">
        <f aca="false">AT138+AU138-AV138</f>
        <v>0</v>
      </c>
      <c r="AX138" s="30" t="n">
        <f aca="false">BC137</f>
        <v>0</v>
      </c>
      <c r="AY138" s="30" t="n">
        <f aca="false">AX138*$AX$5/12</f>
        <v>0</v>
      </c>
      <c r="AZ138" s="30" t="n">
        <f aca="false">MIN($AX$6,AX138+AY138)</f>
        <v>0</v>
      </c>
      <c r="BA138" s="30" t="n">
        <f aca="false">MAX(0,MIN(AR138,AX138+AY138-AZ138))</f>
        <v>0</v>
      </c>
      <c r="BB138" s="29" t="n">
        <f aca="false">AR138-BA138</f>
        <v>690</v>
      </c>
      <c r="BC138" s="30" t="n">
        <f aca="false">AX138+AY138-AZ138-BA138</f>
        <v>0</v>
      </c>
      <c r="BD138" s="30" t="n">
        <f aca="false">BG137</f>
        <v>0</v>
      </c>
      <c r="BE138" s="30" t="n">
        <f aca="false">BD138*$AX$5/12</f>
        <v>0</v>
      </c>
      <c r="BF138" s="30" t="n">
        <f aca="false">MIN($AX$6,BD138+BE138)</f>
        <v>0</v>
      </c>
      <c r="BG138" s="30" t="n">
        <f aca="false">BD138+BE138-BF138</f>
        <v>0</v>
      </c>
      <c r="BH138" s="30" t="n">
        <f aca="false">BM137</f>
        <v>0</v>
      </c>
      <c r="BI138" s="30" t="n">
        <f aca="false">BH138*$BH$5/12</f>
        <v>0</v>
      </c>
      <c r="BJ138" s="30" t="n">
        <f aca="false">MIN($BH$6,BH138+BI138)</f>
        <v>0</v>
      </c>
      <c r="BK138" s="30" t="n">
        <f aca="false">MAX(0,MIN(BB138,BH138+BI138-BJ138))</f>
        <v>0</v>
      </c>
      <c r="BL138" s="29" t="n">
        <f aca="false">BB138-BK138</f>
        <v>690</v>
      </c>
      <c r="BM138" s="30" t="n">
        <f aca="false">BH138+BI138-BJ138-BK138</f>
        <v>0</v>
      </c>
      <c r="BN138" s="30" t="n">
        <f aca="false">BQ137</f>
        <v>0</v>
      </c>
      <c r="BO138" s="30" t="n">
        <f aca="false">BN138*$BH$5/12</f>
        <v>0</v>
      </c>
      <c r="BP138" s="30" t="n">
        <f aca="false">MIN($BH$6,BN138+BO138)</f>
        <v>0</v>
      </c>
      <c r="BQ138" s="30" t="n">
        <f aca="false">BN138+BO138-BP138</f>
        <v>0</v>
      </c>
      <c r="BR138" s="30" t="n">
        <f aca="false">BW137</f>
        <v>0</v>
      </c>
      <c r="BS138" s="30" t="n">
        <f aca="false">BR138*$BR$5/12</f>
        <v>0</v>
      </c>
      <c r="BT138" s="30" t="n">
        <f aca="false">MIN($BR$6,BR138+BS138)</f>
        <v>0</v>
      </c>
      <c r="BU138" s="30" t="n">
        <f aca="false">MAX(0,MIN(BL138,BR138+BS138-BT138))</f>
        <v>0</v>
      </c>
      <c r="BV138" s="29" t="n">
        <f aca="false">BL138-BU138</f>
        <v>690</v>
      </c>
      <c r="BW138" s="30" t="n">
        <f aca="false">BR138+BS138-BT138-BU138</f>
        <v>0</v>
      </c>
      <c r="BX138" s="30" t="n">
        <f aca="false">CA137</f>
        <v>0</v>
      </c>
      <c r="BY138" s="30" t="n">
        <f aca="false">BX138*$BR$5/12</f>
        <v>0</v>
      </c>
      <c r="BZ138" s="30" t="n">
        <f aca="false">MIN($BR$6,BX138+BY138)</f>
        <v>0</v>
      </c>
      <c r="CA138" s="30" t="n">
        <f aca="false">BX138+BY138-BZ138</f>
        <v>0</v>
      </c>
      <c r="CB138" s="30" t="n">
        <f aca="false">CG137</f>
        <v>0</v>
      </c>
      <c r="CC138" s="30" t="n">
        <f aca="false">CB138*$CB$5/12</f>
        <v>0</v>
      </c>
      <c r="CD138" s="30" t="n">
        <f aca="false">MIN($CB$6,CB138+CC138)</f>
        <v>0</v>
      </c>
      <c r="CE138" s="30" t="n">
        <f aca="false">MAX(0,MIN(BV138,CB138+CC138-CD138))</f>
        <v>0</v>
      </c>
      <c r="CF138" s="29" t="n">
        <f aca="false">BV138-CE138</f>
        <v>690</v>
      </c>
      <c r="CG138" s="30" t="n">
        <f aca="false">CB138+CC138-CD138-CE138</f>
        <v>0</v>
      </c>
      <c r="CH138" s="30" t="n">
        <f aca="false">CK137</f>
        <v>0</v>
      </c>
      <c r="CI138" s="30" t="n">
        <f aca="false">CH138*$CB$5/12</f>
        <v>0</v>
      </c>
      <c r="CJ138" s="30" t="n">
        <f aca="false">MIN($CB$6,CH138+CI138)</f>
        <v>0</v>
      </c>
      <c r="CK138" s="30" t="n">
        <f aca="false">CH138+CI138-CJ138</f>
        <v>0</v>
      </c>
    </row>
    <row r="139" customFormat="false" ht="15" hidden="false" customHeight="false" outlineLevel="0" collapsed="false">
      <c r="A139" s="0" t="n">
        <v>131</v>
      </c>
      <c r="B139" s="29" t="n">
        <f aca="false">'1 Your debts'!$B$16-(L139+V139+AF139+AP139+AZ139+BJ139+BT139+CD139)</f>
        <v>690</v>
      </c>
      <c r="C139" s="34" t="n">
        <f aca="false">O139+Y139+AI139+AS139+BC139+BM139+BW139+CG139</f>
        <v>0</v>
      </c>
      <c r="D139" s="34" t="n">
        <f aca="false">K139+U139+AE139+AO139+AY139+BI139+BS139+CC139</f>
        <v>0</v>
      </c>
      <c r="F139" s="34" t="n">
        <f aca="false">S139+AC139+AM139+AW139+BG139+BQ139+CA139+CK139</f>
        <v>0</v>
      </c>
      <c r="G139" s="34" t="n">
        <f aca="false">Q139+AA139+AK139+AU139+BE139+BO139+BY139+CI139</f>
        <v>0</v>
      </c>
      <c r="J139" s="34" t="n">
        <f aca="false">O138</f>
        <v>0</v>
      </c>
      <c r="K139" s="34" t="n">
        <f aca="false">J139*$J$5/12</f>
        <v>0</v>
      </c>
      <c r="L139" s="29" t="n">
        <f aca="false">MIN($J$6,J139+K139)</f>
        <v>0</v>
      </c>
      <c r="M139" s="30" t="n">
        <f aca="false">MAX(0,MIN($B139,J139+K139-L139))</f>
        <v>0</v>
      </c>
      <c r="N139" s="29" t="n">
        <f aca="false">$B139-M139</f>
        <v>690</v>
      </c>
      <c r="O139" s="34" t="n">
        <f aca="false">J139+K139-L139-M139</f>
        <v>0</v>
      </c>
      <c r="P139" s="34" t="n">
        <f aca="false">S138</f>
        <v>0</v>
      </c>
      <c r="Q139" s="34" t="n">
        <f aca="false">P139*$J$5/12</f>
        <v>0</v>
      </c>
      <c r="R139" s="29" t="n">
        <f aca="false">MIN($J$6,P139+Q139)</f>
        <v>0</v>
      </c>
      <c r="S139" s="34" t="n">
        <f aca="false">P139+Q139-R139</f>
        <v>0</v>
      </c>
      <c r="T139" s="34" t="n">
        <f aca="false">Y138</f>
        <v>0</v>
      </c>
      <c r="U139" s="34" t="n">
        <f aca="false">T139*$T$5/12</f>
        <v>0</v>
      </c>
      <c r="V139" s="29" t="n">
        <f aca="false">MIN($T$6,T139+U139)</f>
        <v>0</v>
      </c>
      <c r="W139" s="30" t="n">
        <f aca="false">MAX(0,MIN(N139,T139+U139-V139))</f>
        <v>0</v>
      </c>
      <c r="X139" s="29" t="n">
        <f aca="false">N139-W139</f>
        <v>690</v>
      </c>
      <c r="Y139" s="34" t="n">
        <f aca="false">T139+U139-V139-W139</f>
        <v>0</v>
      </c>
      <c r="Z139" s="34" t="n">
        <f aca="false">AC138</f>
        <v>0</v>
      </c>
      <c r="AA139" s="34" t="n">
        <f aca="false">Z139*$T$5/12</f>
        <v>0</v>
      </c>
      <c r="AB139" s="29" t="n">
        <f aca="false">MIN($T$6,Z139+AA139)</f>
        <v>0</v>
      </c>
      <c r="AC139" s="34" t="n">
        <f aca="false">Z139+AA139-AB139</f>
        <v>0</v>
      </c>
      <c r="AD139" s="34" t="n">
        <f aca="false">AI138</f>
        <v>0</v>
      </c>
      <c r="AE139" s="34" t="n">
        <f aca="false">AD139*$AD$5/12</f>
        <v>0</v>
      </c>
      <c r="AF139" s="29" t="n">
        <f aca="false">MIN($AD$6,AD139+AE139)</f>
        <v>0</v>
      </c>
      <c r="AG139" s="30" t="n">
        <f aca="false">MAX(0,MIN(X139,AD139+AE139-AF139))</f>
        <v>0</v>
      </c>
      <c r="AH139" s="29" t="n">
        <f aca="false">X139-AG139</f>
        <v>690</v>
      </c>
      <c r="AI139" s="34" t="n">
        <f aca="false">AD139+AE139-AF139-AG139</f>
        <v>0</v>
      </c>
      <c r="AJ139" s="34" t="n">
        <f aca="false">AM138</f>
        <v>0</v>
      </c>
      <c r="AK139" s="34" t="n">
        <f aca="false">AJ139*$AD$5/12</f>
        <v>0</v>
      </c>
      <c r="AL139" s="29" t="n">
        <f aca="false">MIN($AD$6,AJ139+AK139)</f>
        <v>0</v>
      </c>
      <c r="AM139" s="34" t="n">
        <f aca="false">AJ139+AK139-AL139</f>
        <v>0</v>
      </c>
      <c r="AN139" s="34" t="n">
        <f aca="false">AS138</f>
        <v>0</v>
      </c>
      <c r="AO139" s="34" t="n">
        <f aca="false">AN139*$AN$5/12</f>
        <v>0</v>
      </c>
      <c r="AP139" s="29" t="n">
        <f aca="false">MIN($AN$6,AN139+AO139)</f>
        <v>0</v>
      </c>
      <c r="AQ139" s="30" t="n">
        <f aca="false">MAX(0,MIN(AH139,AN139+AO139-AP139))</f>
        <v>0</v>
      </c>
      <c r="AR139" s="29" t="n">
        <f aca="false">AH139-AQ139</f>
        <v>690</v>
      </c>
      <c r="AS139" s="34" t="n">
        <f aca="false">AN139+AO139-AP139-AQ139</f>
        <v>0</v>
      </c>
      <c r="AT139" s="34" t="n">
        <f aca="false">AW138</f>
        <v>0</v>
      </c>
      <c r="AU139" s="34" t="n">
        <f aca="false">AT139*$AN$5/12</f>
        <v>0</v>
      </c>
      <c r="AV139" s="29" t="n">
        <f aca="false">MIN($AN$6,AT139+AU139)</f>
        <v>0</v>
      </c>
      <c r="AW139" s="34" t="n">
        <f aca="false">AT139+AU139-AV139</f>
        <v>0</v>
      </c>
      <c r="AX139" s="30" t="n">
        <f aca="false">BC138</f>
        <v>0</v>
      </c>
      <c r="AY139" s="30" t="n">
        <f aca="false">AX139*$AX$5/12</f>
        <v>0</v>
      </c>
      <c r="AZ139" s="30" t="n">
        <f aca="false">MIN($AX$6,AX139+AY139)</f>
        <v>0</v>
      </c>
      <c r="BA139" s="30" t="n">
        <f aca="false">MAX(0,MIN(AR139,AX139+AY139-AZ139))</f>
        <v>0</v>
      </c>
      <c r="BB139" s="29" t="n">
        <f aca="false">AR139-BA139</f>
        <v>690</v>
      </c>
      <c r="BC139" s="30" t="n">
        <f aca="false">AX139+AY139-AZ139-BA139</f>
        <v>0</v>
      </c>
      <c r="BD139" s="30" t="n">
        <f aca="false">BG138</f>
        <v>0</v>
      </c>
      <c r="BE139" s="30" t="n">
        <f aca="false">BD139*$AX$5/12</f>
        <v>0</v>
      </c>
      <c r="BF139" s="30" t="n">
        <f aca="false">MIN($AX$6,BD139+BE139)</f>
        <v>0</v>
      </c>
      <c r="BG139" s="30" t="n">
        <f aca="false">BD139+BE139-BF139</f>
        <v>0</v>
      </c>
      <c r="BH139" s="30" t="n">
        <f aca="false">BM138</f>
        <v>0</v>
      </c>
      <c r="BI139" s="30" t="n">
        <f aca="false">BH139*$BH$5/12</f>
        <v>0</v>
      </c>
      <c r="BJ139" s="30" t="n">
        <f aca="false">MIN($BH$6,BH139+BI139)</f>
        <v>0</v>
      </c>
      <c r="BK139" s="30" t="n">
        <f aca="false">MAX(0,MIN(BB139,BH139+BI139-BJ139))</f>
        <v>0</v>
      </c>
      <c r="BL139" s="29" t="n">
        <f aca="false">BB139-BK139</f>
        <v>690</v>
      </c>
      <c r="BM139" s="30" t="n">
        <f aca="false">BH139+BI139-BJ139-BK139</f>
        <v>0</v>
      </c>
      <c r="BN139" s="30" t="n">
        <f aca="false">BQ138</f>
        <v>0</v>
      </c>
      <c r="BO139" s="30" t="n">
        <f aca="false">BN139*$BH$5/12</f>
        <v>0</v>
      </c>
      <c r="BP139" s="30" t="n">
        <f aca="false">MIN($BH$6,BN139+BO139)</f>
        <v>0</v>
      </c>
      <c r="BQ139" s="30" t="n">
        <f aca="false">BN139+BO139-BP139</f>
        <v>0</v>
      </c>
      <c r="BR139" s="30" t="n">
        <f aca="false">BW138</f>
        <v>0</v>
      </c>
      <c r="BS139" s="30" t="n">
        <f aca="false">BR139*$BR$5/12</f>
        <v>0</v>
      </c>
      <c r="BT139" s="30" t="n">
        <f aca="false">MIN($BR$6,BR139+BS139)</f>
        <v>0</v>
      </c>
      <c r="BU139" s="30" t="n">
        <f aca="false">MAX(0,MIN(BL139,BR139+BS139-BT139))</f>
        <v>0</v>
      </c>
      <c r="BV139" s="29" t="n">
        <f aca="false">BL139-BU139</f>
        <v>690</v>
      </c>
      <c r="BW139" s="30" t="n">
        <f aca="false">BR139+BS139-BT139-BU139</f>
        <v>0</v>
      </c>
      <c r="BX139" s="30" t="n">
        <f aca="false">CA138</f>
        <v>0</v>
      </c>
      <c r="BY139" s="30" t="n">
        <f aca="false">BX139*$BR$5/12</f>
        <v>0</v>
      </c>
      <c r="BZ139" s="30" t="n">
        <f aca="false">MIN($BR$6,BX139+BY139)</f>
        <v>0</v>
      </c>
      <c r="CA139" s="30" t="n">
        <f aca="false">BX139+BY139-BZ139</f>
        <v>0</v>
      </c>
      <c r="CB139" s="30" t="n">
        <f aca="false">CG138</f>
        <v>0</v>
      </c>
      <c r="CC139" s="30" t="n">
        <f aca="false">CB139*$CB$5/12</f>
        <v>0</v>
      </c>
      <c r="CD139" s="30" t="n">
        <f aca="false">MIN($CB$6,CB139+CC139)</f>
        <v>0</v>
      </c>
      <c r="CE139" s="30" t="n">
        <f aca="false">MAX(0,MIN(BV139,CB139+CC139-CD139))</f>
        <v>0</v>
      </c>
      <c r="CF139" s="29" t="n">
        <f aca="false">BV139-CE139</f>
        <v>690</v>
      </c>
      <c r="CG139" s="30" t="n">
        <f aca="false">CB139+CC139-CD139-CE139</f>
        <v>0</v>
      </c>
      <c r="CH139" s="30" t="n">
        <f aca="false">CK138</f>
        <v>0</v>
      </c>
      <c r="CI139" s="30" t="n">
        <f aca="false">CH139*$CB$5/12</f>
        <v>0</v>
      </c>
      <c r="CJ139" s="30" t="n">
        <f aca="false">MIN($CB$6,CH139+CI139)</f>
        <v>0</v>
      </c>
      <c r="CK139" s="30" t="n">
        <f aca="false">CH139+CI139-CJ139</f>
        <v>0</v>
      </c>
    </row>
    <row r="140" customFormat="false" ht="15" hidden="false" customHeight="false" outlineLevel="0" collapsed="false">
      <c r="A140" s="0" t="n">
        <v>132</v>
      </c>
      <c r="B140" s="29" t="n">
        <f aca="false">'1 Your debts'!$B$16-(L140+V140+AF140+AP140+AZ140+BJ140+BT140+CD140)</f>
        <v>690</v>
      </c>
      <c r="C140" s="34" t="n">
        <f aca="false">O140+Y140+AI140+AS140+BC140+BM140+BW140+CG140</f>
        <v>0</v>
      </c>
      <c r="D140" s="34" t="n">
        <f aca="false">K140+U140+AE140+AO140+AY140+BI140+BS140+CC140</f>
        <v>0</v>
      </c>
      <c r="F140" s="34" t="n">
        <f aca="false">S140+AC140+AM140+AW140+BG140+BQ140+CA140+CK140</f>
        <v>0</v>
      </c>
      <c r="G140" s="34" t="n">
        <f aca="false">Q140+AA140+AK140+AU140+BE140+BO140+BY140+CI140</f>
        <v>0</v>
      </c>
      <c r="J140" s="34" t="n">
        <f aca="false">O139</f>
        <v>0</v>
      </c>
      <c r="K140" s="34" t="n">
        <f aca="false">J140*$J$5/12</f>
        <v>0</v>
      </c>
      <c r="L140" s="29" t="n">
        <f aca="false">MIN($J$6,J140+K140)</f>
        <v>0</v>
      </c>
      <c r="M140" s="30" t="n">
        <f aca="false">MAX(0,MIN($B140,J140+K140-L140))</f>
        <v>0</v>
      </c>
      <c r="N140" s="29" t="n">
        <f aca="false">$B140-M140</f>
        <v>690</v>
      </c>
      <c r="O140" s="34" t="n">
        <f aca="false">J140+K140-L140-M140</f>
        <v>0</v>
      </c>
      <c r="P140" s="34" t="n">
        <f aca="false">S139</f>
        <v>0</v>
      </c>
      <c r="Q140" s="34" t="n">
        <f aca="false">P140*$J$5/12</f>
        <v>0</v>
      </c>
      <c r="R140" s="29" t="n">
        <f aca="false">MIN($J$6,P140+Q140)</f>
        <v>0</v>
      </c>
      <c r="S140" s="34" t="n">
        <f aca="false">P140+Q140-R140</f>
        <v>0</v>
      </c>
      <c r="T140" s="34" t="n">
        <f aca="false">Y139</f>
        <v>0</v>
      </c>
      <c r="U140" s="34" t="n">
        <f aca="false">T140*$T$5/12</f>
        <v>0</v>
      </c>
      <c r="V140" s="29" t="n">
        <f aca="false">MIN($T$6,T140+U140)</f>
        <v>0</v>
      </c>
      <c r="W140" s="30" t="n">
        <f aca="false">MAX(0,MIN(N140,T140+U140-V140))</f>
        <v>0</v>
      </c>
      <c r="X140" s="29" t="n">
        <f aca="false">N140-W140</f>
        <v>690</v>
      </c>
      <c r="Y140" s="34" t="n">
        <f aca="false">T140+U140-V140-W140</f>
        <v>0</v>
      </c>
      <c r="Z140" s="34" t="n">
        <f aca="false">AC139</f>
        <v>0</v>
      </c>
      <c r="AA140" s="34" t="n">
        <f aca="false">Z140*$T$5/12</f>
        <v>0</v>
      </c>
      <c r="AB140" s="29" t="n">
        <f aca="false">MIN($T$6,Z140+AA140)</f>
        <v>0</v>
      </c>
      <c r="AC140" s="34" t="n">
        <f aca="false">Z140+AA140-AB140</f>
        <v>0</v>
      </c>
      <c r="AD140" s="34" t="n">
        <f aca="false">AI139</f>
        <v>0</v>
      </c>
      <c r="AE140" s="34" t="n">
        <f aca="false">AD140*$AD$5/12</f>
        <v>0</v>
      </c>
      <c r="AF140" s="29" t="n">
        <f aca="false">MIN($AD$6,AD140+AE140)</f>
        <v>0</v>
      </c>
      <c r="AG140" s="30" t="n">
        <f aca="false">MAX(0,MIN(X140,AD140+AE140-AF140))</f>
        <v>0</v>
      </c>
      <c r="AH140" s="29" t="n">
        <f aca="false">X140-AG140</f>
        <v>690</v>
      </c>
      <c r="AI140" s="34" t="n">
        <f aca="false">AD140+AE140-AF140-AG140</f>
        <v>0</v>
      </c>
      <c r="AJ140" s="34" t="n">
        <f aca="false">AM139</f>
        <v>0</v>
      </c>
      <c r="AK140" s="34" t="n">
        <f aca="false">AJ140*$AD$5/12</f>
        <v>0</v>
      </c>
      <c r="AL140" s="29" t="n">
        <f aca="false">MIN($AD$6,AJ140+AK140)</f>
        <v>0</v>
      </c>
      <c r="AM140" s="34" t="n">
        <f aca="false">AJ140+AK140-AL140</f>
        <v>0</v>
      </c>
      <c r="AN140" s="34" t="n">
        <f aca="false">AS139</f>
        <v>0</v>
      </c>
      <c r="AO140" s="34" t="n">
        <f aca="false">AN140*$AN$5/12</f>
        <v>0</v>
      </c>
      <c r="AP140" s="29" t="n">
        <f aca="false">MIN($AN$6,AN140+AO140)</f>
        <v>0</v>
      </c>
      <c r="AQ140" s="30" t="n">
        <f aca="false">MAX(0,MIN(AH140,AN140+AO140-AP140))</f>
        <v>0</v>
      </c>
      <c r="AR140" s="29" t="n">
        <f aca="false">AH140-AQ140</f>
        <v>690</v>
      </c>
      <c r="AS140" s="34" t="n">
        <f aca="false">AN140+AO140-AP140-AQ140</f>
        <v>0</v>
      </c>
      <c r="AT140" s="34" t="n">
        <f aca="false">AW139</f>
        <v>0</v>
      </c>
      <c r="AU140" s="34" t="n">
        <f aca="false">AT140*$AN$5/12</f>
        <v>0</v>
      </c>
      <c r="AV140" s="29" t="n">
        <f aca="false">MIN($AN$6,AT140+AU140)</f>
        <v>0</v>
      </c>
      <c r="AW140" s="34" t="n">
        <f aca="false">AT140+AU140-AV140</f>
        <v>0</v>
      </c>
      <c r="AX140" s="30" t="n">
        <f aca="false">BC139</f>
        <v>0</v>
      </c>
      <c r="AY140" s="30" t="n">
        <f aca="false">AX140*$AX$5/12</f>
        <v>0</v>
      </c>
      <c r="AZ140" s="30" t="n">
        <f aca="false">MIN($AX$6,AX140+AY140)</f>
        <v>0</v>
      </c>
      <c r="BA140" s="30" t="n">
        <f aca="false">MAX(0,MIN(AR140,AX140+AY140-AZ140))</f>
        <v>0</v>
      </c>
      <c r="BB140" s="29" t="n">
        <f aca="false">AR140-BA140</f>
        <v>690</v>
      </c>
      <c r="BC140" s="30" t="n">
        <f aca="false">AX140+AY140-AZ140-BA140</f>
        <v>0</v>
      </c>
      <c r="BD140" s="30" t="n">
        <f aca="false">BG139</f>
        <v>0</v>
      </c>
      <c r="BE140" s="30" t="n">
        <f aca="false">BD140*$AX$5/12</f>
        <v>0</v>
      </c>
      <c r="BF140" s="30" t="n">
        <f aca="false">MIN($AX$6,BD140+BE140)</f>
        <v>0</v>
      </c>
      <c r="BG140" s="30" t="n">
        <f aca="false">BD140+BE140-BF140</f>
        <v>0</v>
      </c>
      <c r="BH140" s="30" t="n">
        <f aca="false">BM139</f>
        <v>0</v>
      </c>
      <c r="BI140" s="30" t="n">
        <f aca="false">BH140*$BH$5/12</f>
        <v>0</v>
      </c>
      <c r="BJ140" s="30" t="n">
        <f aca="false">MIN($BH$6,BH140+BI140)</f>
        <v>0</v>
      </c>
      <c r="BK140" s="30" t="n">
        <f aca="false">MAX(0,MIN(BB140,BH140+BI140-BJ140))</f>
        <v>0</v>
      </c>
      <c r="BL140" s="29" t="n">
        <f aca="false">BB140-BK140</f>
        <v>690</v>
      </c>
      <c r="BM140" s="30" t="n">
        <f aca="false">BH140+BI140-BJ140-BK140</f>
        <v>0</v>
      </c>
      <c r="BN140" s="30" t="n">
        <f aca="false">BQ139</f>
        <v>0</v>
      </c>
      <c r="BO140" s="30" t="n">
        <f aca="false">BN140*$BH$5/12</f>
        <v>0</v>
      </c>
      <c r="BP140" s="30" t="n">
        <f aca="false">MIN($BH$6,BN140+BO140)</f>
        <v>0</v>
      </c>
      <c r="BQ140" s="30" t="n">
        <f aca="false">BN140+BO140-BP140</f>
        <v>0</v>
      </c>
      <c r="BR140" s="30" t="n">
        <f aca="false">BW139</f>
        <v>0</v>
      </c>
      <c r="BS140" s="30" t="n">
        <f aca="false">BR140*$BR$5/12</f>
        <v>0</v>
      </c>
      <c r="BT140" s="30" t="n">
        <f aca="false">MIN($BR$6,BR140+BS140)</f>
        <v>0</v>
      </c>
      <c r="BU140" s="30" t="n">
        <f aca="false">MAX(0,MIN(BL140,BR140+BS140-BT140))</f>
        <v>0</v>
      </c>
      <c r="BV140" s="29" t="n">
        <f aca="false">BL140-BU140</f>
        <v>690</v>
      </c>
      <c r="BW140" s="30" t="n">
        <f aca="false">BR140+BS140-BT140-BU140</f>
        <v>0</v>
      </c>
      <c r="BX140" s="30" t="n">
        <f aca="false">CA139</f>
        <v>0</v>
      </c>
      <c r="BY140" s="30" t="n">
        <f aca="false">BX140*$BR$5/12</f>
        <v>0</v>
      </c>
      <c r="BZ140" s="30" t="n">
        <f aca="false">MIN($BR$6,BX140+BY140)</f>
        <v>0</v>
      </c>
      <c r="CA140" s="30" t="n">
        <f aca="false">BX140+BY140-BZ140</f>
        <v>0</v>
      </c>
      <c r="CB140" s="30" t="n">
        <f aca="false">CG139</f>
        <v>0</v>
      </c>
      <c r="CC140" s="30" t="n">
        <f aca="false">CB140*$CB$5/12</f>
        <v>0</v>
      </c>
      <c r="CD140" s="30" t="n">
        <f aca="false">MIN($CB$6,CB140+CC140)</f>
        <v>0</v>
      </c>
      <c r="CE140" s="30" t="n">
        <f aca="false">MAX(0,MIN(BV140,CB140+CC140-CD140))</f>
        <v>0</v>
      </c>
      <c r="CF140" s="29" t="n">
        <f aca="false">BV140-CE140</f>
        <v>690</v>
      </c>
      <c r="CG140" s="30" t="n">
        <f aca="false">CB140+CC140-CD140-CE140</f>
        <v>0</v>
      </c>
      <c r="CH140" s="30" t="n">
        <f aca="false">CK139</f>
        <v>0</v>
      </c>
      <c r="CI140" s="30" t="n">
        <f aca="false">CH140*$CB$5/12</f>
        <v>0</v>
      </c>
      <c r="CJ140" s="30" t="n">
        <f aca="false">MIN($CB$6,CH140+CI140)</f>
        <v>0</v>
      </c>
      <c r="CK140" s="30" t="n">
        <f aca="false">CH140+CI140-CJ140</f>
        <v>0</v>
      </c>
    </row>
    <row r="141" customFormat="false" ht="15" hidden="false" customHeight="false" outlineLevel="0" collapsed="false">
      <c r="A141" s="0" t="n">
        <v>133</v>
      </c>
      <c r="B141" s="29" t="n">
        <f aca="false">'1 Your debts'!$B$16-(L141+V141+AF141+AP141+AZ141+BJ141+BT141+CD141)</f>
        <v>690</v>
      </c>
      <c r="C141" s="34" t="n">
        <f aca="false">O141+Y141+AI141+AS141+BC141+BM141+BW141+CG141</f>
        <v>0</v>
      </c>
      <c r="D141" s="34" t="n">
        <f aca="false">K141+U141+AE141+AO141+AY141+BI141+BS141+CC141</f>
        <v>0</v>
      </c>
      <c r="F141" s="34" t="n">
        <f aca="false">S141+AC141+AM141+AW141+BG141+BQ141+CA141+CK141</f>
        <v>0</v>
      </c>
      <c r="G141" s="34" t="n">
        <f aca="false">Q141+AA141+AK141+AU141+BE141+BO141+BY141+CI141</f>
        <v>0</v>
      </c>
      <c r="J141" s="34" t="n">
        <f aca="false">O140</f>
        <v>0</v>
      </c>
      <c r="K141" s="34" t="n">
        <f aca="false">J141*$J$5/12</f>
        <v>0</v>
      </c>
      <c r="L141" s="29" t="n">
        <f aca="false">MIN($J$6,J141+K141)</f>
        <v>0</v>
      </c>
      <c r="M141" s="30" t="n">
        <f aca="false">MAX(0,MIN($B141,J141+K141-L141))</f>
        <v>0</v>
      </c>
      <c r="N141" s="29" t="n">
        <f aca="false">$B141-M141</f>
        <v>690</v>
      </c>
      <c r="O141" s="34" t="n">
        <f aca="false">J141+K141-L141-M141</f>
        <v>0</v>
      </c>
      <c r="P141" s="34" t="n">
        <f aca="false">S140</f>
        <v>0</v>
      </c>
      <c r="Q141" s="34" t="n">
        <f aca="false">P141*$J$5/12</f>
        <v>0</v>
      </c>
      <c r="R141" s="29" t="n">
        <f aca="false">MIN($J$6,P141+Q141)</f>
        <v>0</v>
      </c>
      <c r="S141" s="34" t="n">
        <f aca="false">P141+Q141-R141</f>
        <v>0</v>
      </c>
      <c r="T141" s="34" t="n">
        <f aca="false">Y140</f>
        <v>0</v>
      </c>
      <c r="U141" s="34" t="n">
        <f aca="false">T141*$T$5/12</f>
        <v>0</v>
      </c>
      <c r="V141" s="29" t="n">
        <f aca="false">MIN($T$6,T141+U141)</f>
        <v>0</v>
      </c>
      <c r="W141" s="30" t="n">
        <f aca="false">MAX(0,MIN(N141,T141+U141-V141))</f>
        <v>0</v>
      </c>
      <c r="X141" s="29" t="n">
        <f aca="false">N141-W141</f>
        <v>690</v>
      </c>
      <c r="Y141" s="34" t="n">
        <f aca="false">T141+U141-V141-W141</f>
        <v>0</v>
      </c>
      <c r="Z141" s="34" t="n">
        <f aca="false">AC140</f>
        <v>0</v>
      </c>
      <c r="AA141" s="34" t="n">
        <f aca="false">Z141*$T$5/12</f>
        <v>0</v>
      </c>
      <c r="AB141" s="29" t="n">
        <f aca="false">MIN($T$6,Z141+AA141)</f>
        <v>0</v>
      </c>
      <c r="AC141" s="34" t="n">
        <f aca="false">Z141+AA141-AB141</f>
        <v>0</v>
      </c>
      <c r="AD141" s="34" t="n">
        <f aca="false">AI140</f>
        <v>0</v>
      </c>
      <c r="AE141" s="34" t="n">
        <f aca="false">AD141*$AD$5/12</f>
        <v>0</v>
      </c>
      <c r="AF141" s="29" t="n">
        <f aca="false">MIN($AD$6,AD141+AE141)</f>
        <v>0</v>
      </c>
      <c r="AG141" s="30" t="n">
        <f aca="false">MAX(0,MIN(X141,AD141+AE141-AF141))</f>
        <v>0</v>
      </c>
      <c r="AH141" s="29" t="n">
        <f aca="false">X141-AG141</f>
        <v>690</v>
      </c>
      <c r="AI141" s="34" t="n">
        <f aca="false">AD141+AE141-AF141-AG141</f>
        <v>0</v>
      </c>
      <c r="AJ141" s="34" t="n">
        <f aca="false">AM140</f>
        <v>0</v>
      </c>
      <c r="AK141" s="34" t="n">
        <f aca="false">AJ141*$AD$5/12</f>
        <v>0</v>
      </c>
      <c r="AL141" s="29" t="n">
        <f aca="false">MIN($AD$6,AJ141+AK141)</f>
        <v>0</v>
      </c>
      <c r="AM141" s="34" t="n">
        <f aca="false">AJ141+AK141-AL141</f>
        <v>0</v>
      </c>
      <c r="AN141" s="34" t="n">
        <f aca="false">AS140</f>
        <v>0</v>
      </c>
      <c r="AO141" s="34" t="n">
        <f aca="false">AN141*$AN$5/12</f>
        <v>0</v>
      </c>
      <c r="AP141" s="29" t="n">
        <f aca="false">MIN($AN$6,AN141+AO141)</f>
        <v>0</v>
      </c>
      <c r="AQ141" s="30" t="n">
        <f aca="false">MAX(0,MIN(AH141,AN141+AO141-AP141))</f>
        <v>0</v>
      </c>
      <c r="AR141" s="29" t="n">
        <f aca="false">AH141-AQ141</f>
        <v>690</v>
      </c>
      <c r="AS141" s="34" t="n">
        <f aca="false">AN141+AO141-AP141-AQ141</f>
        <v>0</v>
      </c>
      <c r="AT141" s="34" t="n">
        <f aca="false">AW140</f>
        <v>0</v>
      </c>
      <c r="AU141" s="34" t="n">
        <f aca="false">AT141*$AN$5/12</f>
        <v>0</v>
      </c>
      <c r="AV141" s="29" t="n">
        <f aca="false">MIN($AN$6,AT141+AU141)</f>
        <v>0</v>
      </c>
      <c r="AW141" s="34" t="n">
        <f aca="false">AT141+AU141-AV141</f>
        <v>0</v>
      </c>
      <c r="AX141" s="30" t="n">
        <f aca="false">BC140</f>
        <v>0</v>
      </c>
      <c r="AY141" s="30" t="n">
        <f aca="false">AX141*$AX$5/12</f>
        <v>0</v>
      </c>
      <c r="AZ141" s="30" t="n">
        <f aca="false">MIN($AX$6,AX141+AY141)</f>
        <v>0</v>
      </c>
      <c r="BA141" s="30" t="n">
        <f aca="false">MAX(0,MIN(AR141,AX141+AY141-AZ141))</f>
        <v>0</v>
      </c>
      <c r="BB141" s="29" t="n">
        <f aca="false">AR141-BA141</f>
        <v>690</v>
      </c>
      <c r="BC141" s="30" t="n">
        <f aca="false">AX141+AY141-AZ141-BA141</f>
        <v>0</v>
      </c>
      <c r="BD141" s="30" t="n">
        <f aca="false">BG140</f>
        <v>0</v>
      </c>
      <c r="BE141" s="30" t="n">
        <f aca="false">BD141*$AX$5/12</f>
        <v>0</v>
      </c>
      <c r="BF141" s="30" t="n">
        <f aca="false">MIN($AX$6,BD141+BE141)</f>
        <v>0</v>
      </c>
      <c r="BG141" s="30" t="n">
        <f aca="false">BD141+BE141-BF141</f>
        <v>0</v>
      </c>
      <c r="BH141" s="30" t="n">
        <f aca="false">BM140</f>
        <v>0</v>
      </c>
      <c r="BI141" s="30" t="n">
        <f aca="false">BH141*$BH$5/12</f>
        <v>0</v>
      </c>
      <c r="BJ141" s="30" t="n">
        <f aca="false">MIN($BH$6,BH141+BI141)</f>
        <v>0</v>
      </c>
      <c r="BK141" s="30" t="n">
        <f aca="false">MAX(0,MIN(BB141,BH141+BI141-BJ141))</f>
        <v>0</v>
      </c>
      <c r="BL141" s="29" t="n">
        <f aca="false">BB141-BK141</f>
        <v>690</v>
      </c>
      <c r="BM141" s="30" t="n">
        <f aca="false">BH141+BI141-BJ141-BK141</f>
        <v>0</v>
      </c>
      <c r="BN141" s="30" t="n">
        <f aca="false">BQ140</f>
        <v>0</v>
      </c>
      <c r="BO141" s="30" t="n">
        <f aca="false">BN141*$BH$5/12</f>
        <v>0</v>
      </c>
      <c r="BP141" s="30" t="n">
        <f aca="false">MIN($BH$6,BN141+BO141)</f>
        <v>0</v>
      </c>
      <c r="BQ141" s="30" t="n">
        <f aca="false">BN141+BO141-BP141</f>
        <v>0</v>
      </c>
      <c r="BR141" s="30" t="n">
        <f aca="false">BW140</f>
        <v>0</v>
      </c>
      <c r="BS141" s="30" t="n">
        <f aca="false">BR141*$BR$5/12</f>
        <v>0</v>
      </c>
      <c r="BT141" s="30" t="n">
        <f aca="false">MIN($BR$6,BR141+BS141)</f>
        <v>0</v>
      </c>
      <c r="BU141" s="30" t="n">
        <f aca="false">MAX(0,MIN(BL141,BR141+BS141-BT141))</f>
        <v>0</v>
      </c>
      <c r="BV141" s="29" t="n">
        <f aca="false">BL141-BU141</f>
        <v>690</v>
      </c>
      <c r="BW141" s="30" t="n">
        <f aca="false">BR141+BS141-BT141-BU141</f>
        <v>0</v>
      </c>
      <c r="BX141" s="30" t="n">
        <f aca="false">CA140</f>
        <v>0</v>
      </c>
      <c r="BY141" s="30" t="n">
        <f aca="false">BX141*$BR$5/12</f>
        <v>0</v>
      </c>
      <c r="BZ141" s="30" t="n">
        <f aca="false">MIN($BR$6,BX141+BY141)</f>
        <v>0</v>
      </c>
      <c r="CA141" s="30" t="n">
        <f aca="false">BX141+BY141-BZ141</f>
        <v>0</v>
      </c>
      <c r="CB141" s="30" t="n">
        <f aca="false">CG140</f>
        <v>0</v>
      </c>
      <c r="CC141" s="30" t="n">
        <f aca="false">CB141*$CB$5/12</f>
        <v>0</v>
      </c>
      <c r="CD141" s="30" t="n">
        <f aca="false">MIN($CB$6,CB141+CC141)</f>
        <v>0</v>
      </c>
      <c r="CE141" s="30" t="n">
        <f aca="false">MAX(0,MIN(BV141,CB141+CC141-CD141))</f>
        <v>0</v>
      </c>
      <c r="CF141" s="29" t="n">
        <f aca="false">BV141-CE141</f>
        <v>690</v>
      </c>
      <c r="CG141" s="30" t="n">
        <f aca="false">CB141+CC141-CD141-CE141</f>
        <v>0</v>
      </c>
      <c r="CH141" s="30" t="n">
        <f aca="false">CK140</f>
        <v>0</v>
      </c>
      <c r="CI141" s="30" t="n">
        <f aca="false">CH141*$CB$5/12</f>
        <v>0</v>
      </c>
      <c r="CJ141" s="30" t="n">
        <f aca="false">MIN($CB$6,CH141+CI141)</f>
        <v>0</v>
      </c>
      <c r="CK141" s="30" t="n">
        <f aca="false">CH141+CI141-CJ141</f>
        <v>0</v>
      </c>
    </row>
    <row r="142" customFormat="false" ht="15" hidden="false" customHeight="false" outlineLevel="0" collapsed="false">
      <c r="A142" s="0" t="n">
        <v>134</v>
      </c>
      <c r="B142" s="29" t="n">
        <f aca="false">'1 Your debts'!$B$16-(L142+V142+AF142+AP142+AZ142+BJ142+BT142+CD142)</f>
        <v>690</v>
      </c>
      <c r="C142" s="34" t="n">
        <f aca="false">O142+Y142+AI142+AS142+BC142+BM142+BW142+CG142</f>
        <v>0</v>
      </c>
      <c r="D142" s="34" t="n">
        <f aca="false">K142+U142+AE142+AO142+AY142+BI142+BS142+CC142</f>
        <v>0</v>
      </c>
      <c r="F142" s="34" t="n">
        <f aca="false">S142+AC142+AM142+AW142+BG142+BQ142+CA142+CK142</f>
        <v>0</v>
      </c>
      <c r="G142" s="34" t="n">
        <f aca="false">Q142+AA142+AK142+AU142+BE142+BO142+BY142+CI142</f>
        <v>0</v>
      </c>
      <c r="J142" s="34" t="n">
        <f aca="false">O141</f>
        <v>0</v>
      </c>
      <c r="K142" s="34" t="n">
        <f aca="false">J142*$J$5/12</f>
        <v>0</v>
      </c>
      <c r="L142" s="29" t="n">
        <f aca="false">MIN($J$6,J142+K142)</f>
        <v>0</v>
      </c>
      <c r="M142" s="30" t="n">
        <f aca="false">MAX(0,MIN($B142,J142+K142-L142))</f>
        <v>0</v>
      </c>
      <c r="N142" s="29" t="n">
        <f aca="false">$B142-M142</f>
        <v>690</v>
      </c>
      <c r="O142" s="34" t="n">
        <f aca="false">J142+K142-L142-M142</f>
        <v>0</v>
      </c>
      <c r="P142" s="34" t="n">
        <f aca="false">S141</f>
        <v>0</v>
      </c>
      <c r="Q142" s="34" t="n">
        <f aca="false">P142*$J$5/12</f>
        <v>0</v>
      </c>
      <c r="R142" s="29" t="n">
        <f aca="false">MIN($J$6,P142+Q142)</f>
        <v>0</v>
      </c>
      <c r="S142" s="34" t="n">
        <f aca="false">P142+Q142-R142</f>
        <v>0</v>
      </c>
      <c r="T142" s="34" t="n">
        <f aca="false">Y141</f>
        <v>0</v>
      </c>
      <c r="U142" s="34" t="n">
        <f aca="false">T142*$T$5/12</f>
        <v>0</v>
      </c>
      <c r="V142" s="29" t="n">
        <f aca="false">MIN($T$6,T142+U142)</f>
        <v>0</v>
      </c>
      <c r="W142" s="30" t="n">
        <f aca="false">MAX(0,MIN(N142,T142+U142-V142))</f>
        <v>0</v>
      </c>
      <c r="X142" s="29" t="n">
        <f aca="false">N142-W142</f>
        <v>690</v>
      </c>
      <c r="Y142" s="34" t="n">
        <f aca="false">T142+U142-V142-W142</f>
        <v>0</v>
      </c>
      <c r="Z142" s="34" t="n">
        <f aca="false">AC141</f>
        <v>0</v>
      </c>
      <c r="AA142" s="34" t="n">
        <f aca="false">Z142*$T$5/12</f>
        <v>0</v>
      </c>
      <c r="AB142" s="29" t="n">
        <f aca="false">MIN($T$6,Z142+AA142)</f>
        <v>0</v>
      </c>
      <c r="AC142" s="34" t="n">
        <f aca="false">Z142+AA142-AB142</f>
        <v>0</v>
      </c>
      <c r="AD142" s="34" t="n">
        <f aca="false">AI141</f>
        <v>0</v>
      </c>
      <c r="AE142" s="34" t="n">
        <f aca="false">AD142*$AD$5/12</f>
        <v>0</v>
      </c>
      <c r="AF142" s="29" t="n">
        <f aca="false">MIN($AD$6,AD142+AE142)</f>
        <v>0</v>
      </c>
      <c r="AG142" s="30" t="n">
        <f aca="false">MAX(0,MIN(X142,AD142+AE142-AF142))</f>
        <v>0</v>
      </c>
      <c r="AH142" s="29" t="n">
        <f aca="false">X142-AG142</f>
        <v>690</v>
      </c>
      <c r="AI142" s="34" t="n">
        <f aca="false">AD142+AE142-AF142-AG142</f>
        <v>0</v>
      </c>
      <c r="AJ142" s="34" t="n">
        <f aca="false">AM141</f>
        <v>0</v>
      </c>
      <c r="AK142" s="34" t="n">
        <f aca="false">AJ142*$AD$5/12</f>
        <v>0</v>
      </c>
      <c r="AL142" s="29" t="n">
        <f aca="false">MIN($AD$6,AJ142+AK142)</f>
        <v>0</v>
      </c>
      <c r="AM142" s="34" t="n">
        <f aca="false">AJ142+AK142-AL142</f>
        <v>0</v>
      </c>
      <c r="AN142" s="34" t="n">
        <f aca="false">AS141</f>
        <v>0</v>
      </c>
      <c r="AO142" s="34" t="n">
        <f aca="false">AN142*$AN$5/12</f>
        <v>0</v>
      </c>
      <c r="AP142" s="29" t="n">
        <f aca="false">MIN($AN$6,AN142+AO142)</f>
        <v>0</v>
      </c>
      <c r="AQ142" s="30" t="n">
        <f aca="false">MAX(0,MIN(AH142,AN142+AO142-AP142))</f>
        <v>0</v>
      </c>
      <c r="AR142" s="29" t="n">
        <f aca="false">AH142-AQ142</f>
        <v>690</v>
      </c>
      <c r="AS142" s="34" t="n">
        <f aca="false">AN142+AO142-AP142-AQ142</f>
        <v>0</v>
      </c>
      <c r="AT142" s="34" t="n">
        <f aca="false">AW141</f>
        <v>0</v>
      </c>
      <c r="AU142" s="34" t="n">
        <f aca="false">AT142*$AN$5/12</f>
        <v>0</v>
      </c>
      <c r="AV142" s="29" t="n">
        <f aca="false">MIN($AN$6,AT142+AU142)</f>
        <v>0</v>
      </c>
      <c r="AW142" s="34" t="n">
        <f aca="false">AT142+AU142-AV142</f>
        <v>0</v>
      </c>
      <c r="AX142" s="30" t="n">
        <f aca="false">BC141</f>
        <v>0</v>
      </c>
      <c r="AY142" s="30" t="n">
        <f aca="false">AX142*$AX$5/12</f>
        <v>0</v>
      </c>
      <c r="AZ142" s="30" t="n">
        <f aca="false">MIN($AX$6,AX142+AY142)</f>
        <v>0</v>
      </c>
      <c r="BA142" s="30" t="n">
        <f aca="false">MAX(0,MIN(AR142,AX142+AY142-AZ142))</f>
        <v>0</v>
      </c>
      <c r="BB142" s="29" t="n">
        <f aca="false">AR142-BA142</f>
        <v>690</v>
      </c>
      <c r="BC142" s="30" t="n">
        <f aca="false">AX142+AY142-AZ142-BA142</f>
        <v>0</v>
      </c>
      <c r="BD142" s="30" t="n">
        <f aca="false">BG141</f>
        <v>0</v>
      </c>
      <c r="BE142" s="30" t="n">
        <f aca="false">BD142*$AX$5/12</f>
        <v>0</v>
      </c>
      <c r="BF142" s="30" t="n">
        <f aca="false">MIN($AX$6,BD142+BE142)</f>
        <v>0</v>
      </c>
      <c r="BG142" s="30" t="n">
        <f aca="false">BD142+BE142-BF142</f>
        <v>0</v>
      </c>
      <c r="BH142" s="30" t="n">
        <f aca="false">BM141</f>
        <v>0</v>
      </c>
      <c r="BI142" s="30" t="n">
        <f aca="false">BH142*$BH$5/12</f>
        <v>0</v>
      </c>
      <c r="BJ142" s="30" t="n">
        <f aca="false">MIN($BH$6,BH142+BI142)</f>
        <v>0</v>
      </c>
      <c r="BK142" s="30" t="n">
        <f aca="false">MAX(0,MIN(BB142,BH142+BI142-BJ142))</f>
        <v>0</v>
      </c>
      <c r="BL142" s="29" t="n">
        <f aca="false">BB142-BK142</f>
        <v>690</v>
      </c>
      <c r="BM142" s="30" t="n">
        <f aca="false">BH142+BI142-BJ142-BK142</f>
        <v>0</v>
      </c>
      <c r="BN142" s="30" t="n">
        <f aca="false">BQ141</f>
        <v>0</v>
      </c>
      <c r="BO142" s="30" t="n">
        <f aca="false">BN142*$BH$5/12</f>
        <v>0</v>
      </c>
      <c r="BP142" s="30" t="n">
        <f aca="false">MIN($BH$6,BN142+BO142)</f>
        <v>0</v>
      </c>
      <c r="BQ142" s="30" t="n">
        <f aca="false">BN142+BO142-BP142</f>
        <v>0</v>
      </c>
      <c r="BR142" s="30" t="n">
        <f aca="false">BW141</f>
        <v>0</v>
      </c>
      <c r="BS142" s="30" t="n">
        <f aca="false">BR142*$BR$5/12</f>
        <v>0</v>
      </c>
      <c r="BT142" s="30" t="n">
        <f aca="false">MIN($BR$6,BR142+BS142)</f>
        <v>0</v>
      </c>
      <c r="BU142" s="30" t="n">
        <f aca="false">MAX(0,MIN(BL142,BR142+BS142-BT142))</f>
        <v>0</v>
      </c>
      <c r="BV142" s="29" t="n">
        <f aca="false">BL142-BU142</f>
        <v>690</v>
      </c>
      <c r="BW142" s="30" t="n">
        <f aca="false">BR142+BS142-BT142-BU142</f>
        <v>0</v>
      </c>
      <c r="BX142" s="30" t="n">
        <f aca="false">CA141</f>
        <v>0</v>
      </c>
      <c r="BY142" s="30" t="n">
        <f aca="false">BX142*$BR$5/12</f>
        <v>0</v>
      </c>
      <c r="BZ142" s="30" t="n">
        <f aca="false">MIN($BR$6,BX142+BY142)</f>
        <v>0</v>
      </c>
      <c r="CA142" s="30" t="n">
        <f aca="false">BX142+BY142-BZ142</f>
        <v>0</v>
      </c>
      <c r="CB142" s="30" t="n">
        <f aca="false">CG141</f>
        <v>0</v>
      </c>
      <c r="CC142" s="30" t="n">
        <f aca="false">CB142*$CB$5/12</f>
        <v>0</v>
      </c>
      <c r="CD142" s="30" t="n">
        <f aca="false">MIN($CB$6,CB142+CC142)</f>
        <v>0</v>
      </c>
      <c r="CE142" s="30" t="n">
        <f aca="false">MAX(0,MIN(BV142,CB142+CC142-CD142))</f>
        <v>0</v>
      </c>
      <c r="CF142" s="29" t="n">
        <f aca="false">BV142-CE142</f>
        <v>690</v>
      </c>
      <c r="CG142" s="30" t="n">
        <f aca="false">CB142+CC142-CD142-CE142</f>
        <v>0</v>
      </c>
      <c r="CH142" s="30" t="n">
        <f aca="false">CK141</f>
        <v>0</v>
      </c>
      <c r="CI142" s="30" t="n">
        <f aca="false">CH142*$CB$5/12</f>
        <v>0</v>
      </c>
      <c r="CJ142" s="30" t="n">
        <f aca="false">MIN($CB$6,CH142+CI142)</f>
        <v>0</v>
      </c>
      <c r="CK142" s="30" t="n">
        <f aca="false">CH142+CI142-CJ142</f>
        <v>0</v>
      </c>
    </row>
    <row r="143" customFormat="false" ht="15" hidden="false" customHeight="false" outlineLevel="0" collapsed="false">
      <c r="A143" s="0" t="n">
        <v>135</v>
      </c>
      <c r="B143" s="29" t="n">
        <f aca="false">'1 Your debts'!$B$16-(L143+V143+AF143+AP143+AZ143+BJ143+BT143+CD143)</f>
        <v>690</v>
      </c>
      <c r="C143" s="34" t="n">
        <f aca="false">O143+Y143+AI143+AS143+BC143+BM143+BW143+CG143</f>
        <v>0</v>
      </c>
      <c r="D143" s="34" t="n">
        <f aca="false">K143+U143+AE143+AO143+AY143+BI143+BS143+CC143</f>
        <v>0</v>
      </c>
      <c r="F143" s="34" t="n">
        <f aca="false">S143+AC143+AM143+AW143+BG143+BQ143+CA143+CK143</f>
        <v>0</v>
      </c>
      <c r="G143" s="34" t="n">
        <f aca="false">Q143+AA143+AK143+AU143+BE143+BO143+BY143+CI143</f>
        <v>0</v>
      </c>
      <c r="J143" s="34" t="n">
        <f aca="false">O142</f>
        <v>0</v>
      </c>
      <c r="K143" s="34" t="n">
        <f aca="false">J143*$J$5/12</f>
        <v>0</v>
      </c>
      <c r="L143" s="29" t="n">
        <f aca="false">MIN($J$6,J143+K143)</f>
        <v>0</v>
      </c>
      <c r="M143" s="30" t="n">
        <f aca="false">MAX(0,MIN($B143,J143+K143-L143))</f>
        <v>0</v>
      </c>
      <c r="N143" s="29" t="n">
        <f aca="false">$B143-M143</f>
        <v>690</v>
      </c>
      <c r="O143" s="34" t="n">
        <f aca="false">J143+K143-L143-M143</f>
        <v>0</v>
      </c>
      <c r="P143" s="34" t="n">
        <f aca="false">S142</f>
        <v>0</v>
      </c>
      <c r="Q143" s="34" t="n">
        <f aca="false">P143*$J$5/12</f>
        <v>0</v>
      </c>
      <c r="R143" s="29" t="n">
        <f aca="false">MIN($J$6,P143+Q143)</f>
        <v>0</v>
      </c>
      <c r="S143" s="34" t="n">
        <f aca="false">P143+Q143-R143</f>
        <v>0</v>
      </c>
      <c r="T143" s="34" t="n">
        <f aca="false">Y142</f>
        <v>0</v>
      </c>
      <c r="U143" s="34" t="n">
        <f aca="false">T143*$T$5/12</f>
        <v>0</v>
      </c>
      <c r="V143" s="29" t="n">
        <f aca="false">MIN($T$6,T143+U143)</f>
        <v>0</v>
      </c>
      <c r="W143" s="30" t="n">
        <f aca="false">MAX(0,MIN(N143,T143+U143-V143))</f>
        <v>0</v>
      </c>
      <c r="X143" s="29" t="n">
        <f aca="false">N143-W143</f>
        <v>690</v>
      </c>
      <c r="Y143" s="34" t="n">
        <f aca="false">T143+U143-V143-W143</f>
        <v>0</v>
      </c>
      <c r="Z143" s="34" t="n">
        <f aca="false">AC142</f>
        <v>0</v>
      </c>
      <c r="AA143" s="34" t="n">
        <f aca="false">Z143*$T$5/12</f>
        <v>0</v>
      </c>
      <c r="AB143" s="29" t="n">
        <f aca="false">MIN($T$6,Z143+AA143)</f>
        <v>0</v>
      </c>
      <c r="AC143" s="34" t="n">
        <f aca="false">Z143+AA143-AB143</f>
        <v>0</v>
      </c>
      <c r="AD143" s="34" t="n">
        <f aca="false">AI142</f>
        <v>0</v>
      </c>
      <c r="AE143" s="34" t="n">
        <f aca="false">AD143*$AD$5/12</f>
        <v>0</v>
      </c>
      <c r="AF143" s="29" t="n">
        <f aca="false">MIN($AD$6,AD143+AE143)</f>
        <v>0</v>
      </c>
      <c r="AG143" s="30" t="n">
        <f aca="false">MAX(0,MIN(X143,AD143+AE143-AF143))</f>
        <v>0</v>
      </c>
      <c r="AH143" s="29" t="n">
        <f aca="false">X143-AG143</f>
        <v>690</v>
      </c>
      <c r="AI143" s="34" t="n">
        <f aca="false">AD143+AE143-AF143-AG143</f>
        <v>0</v>
      </c>
      <c r="AJ143" s="34" t="n">
        <f aca="false">AM142</f>
        <v>0</v>
      </c>
      <c r="AK143" s="34" t="n">
        <f aca="false">AJ143*$AD$5/12</f>
        <v>0</v>
      </c>
      <c r="AL143" s="29" t="n">
        <f aca="false">MIN($AD$6,AJ143+AK143)</f>
        <v>0</v>
      </c>
      <c r="AM143" s="34" t="n">
        <f aca="false">AJ143+AK143-AL143</f>
        <v>0</v>
      </c>
      <c r="AN143" s="34" t="n">
        <f aca="false">AS142</f>
        <v>0</v>
      </c>
      <c r="AO143" s="34" t="n">
        <f aca="false">AN143*$AN$5/12</f>
        <v>0</v>
      </c>
      <c r="AP143" s="29" t="n">
        <f aca="false">MIN($AN$6,AN143+AO143)</f>
        <v>0</v>
      </c>
      <c r="AQ143" s="30" t="n">
        <f aca="false">MAX(0,MIN(AH143,AN143+AO143-AP143))</f>
        <v>0</v>
      </c>
      <c r="AR143" s="29" t="n">
        <f aca="false">AH143-AQ143</f>
        <v>690</v>
      </c>
      <c r="AS143" s="34" t="n">
        <f aca="false">AN143+AO143-AP143-AQ143</f>
        <v>0</v>
      </c>
      <c r="AT143" s="34" t="n">
        <f aca="false">AW142</f>
        <v>0</v>
      </c>
      <c r="AU143" s="34" t="n">
        <f aca="false">AT143*$AN$5/12</f>
        <v>0</v>
      </c>
      <c r="AV143" s="29" t="n">
        <f aca="false">MIN($AN$6,AT143+AU143)</f>
        <v>0</v>
      </c>
      <c r="AW143" s="34" t="n">
        <f aca="false">AT143+AU143-AV143</f>
        <v>0</v>
      </c>
      <c r="AX143" s="30" t="n">
        <f aca="false">BC142</f>
        <v>0</v>
      </c>
      <c r="AY143" s="30" t="n">
        <f aca="false">AX143*$AX$5/12</f>
        <v>0</v>
      </c>
      <c r="AZ143" s="30" t="n">
        <f aca="false">MIN($AX$6,AX143+AY143)</f>
        <v>0</v>
      </c>
      <c r="BA143" s="30" t="n">
        <f aca="false">MAX(0,MIN(AR143,AX143+AY143-AZ143))</f>
        <v>0</v>
      </c>
      <c r="BB143" s="29" t="n">
        <f aca="false">AR143-BA143</f>
        <v>690</v>
      </c>
      <c r="BC143" s="30" t="n">
        <f aca="false">AX143+AY143-AZ143-BA143</f>
        <v>0</v>
      </c>
      <c r="BD143" s="30" t="n">
        <f aca="false">BG142</f>
        <v>0</v>
      </c>
      <c r="BE143" s="30" t="n">
        <f aca="false">BD143*$AX$5/12</f>
        <v>0</v>
      </c>
      <c r="BF143" s="30" t="n">
        <f aca="false">MIN($AX$6,BD143+BE143)</f>
        <v>0</v>
      </c>
      <c r="BG143" s="30" t="n">
        <f aca="false">BD143+BE143-BF143</f>
        <v>0</v>
      </c>
      <c r="BH143" s="30" t="n">
        <f aca="false">BM142</f>
        <v>0</v>
      </c>
      <c r="BI143" s="30" t="n">
        <f aca="false">BH143*$BH$5/12</f>
        <v>0</v>
      </c>
      <c r="BJ143" s="30" t="n">
        <f aca="false">MIN($BH$6,BH143+BI143)</f>
        <v>0</v>
      </c>
      <c r="BK143" s="30" t="n">
        <f aca="false">MAX(0,MIN(BB143,BH143+BI143-BJ143))</f>
        <v>0</v>
      </c>
      <c r="BL143" s="29" t="n">
        <f aca="false">BB143-BK143</f>
        <v>690</v>
      </c>
      <c r="BM143" s="30" t="n">
        <f aca="false">BH143+BI143-BJ143-BK143</f>
        <v>0</v>
      </c>
      <c r="BN143" s="30" t="n">
        <f aca="false">BQ142</f>
        <v>0</v>
      </c>
      <c r="BO143" s="30" t="n">
        <f aca="false">BN143*$BH$5/12</f>
        <v>0</v>
      </c>
      <c r="BP143" s="30" t="n">
        <f aca="false">MIN($BH$6,BN143+BO143)</f>
        <v>0</v>
      </c>
      <c r="BQ143" s="30" t="n">
        <f aca="false">BN143+BO143-BP143</f>
        <v>0</v>
      </c>
      <c r="BR143" s="30" t="n">
        <f aca="false">BW142</f>
        <v>0</v>
      </c>
      <c r="BS143" s="30" t="n">
        <f aca="false">BR143*$BR$5/12</f>
        <v>0</v>
      </c>
      <c r="BT143" s="30" t="n">
        <f aca="false">MIN($BR$6,BR143+BS143)</f>
        <v>0</v>
      </c>
      <c r="BU143" s="30" t="n">
        <f aca="false">MAX(0,MIN(BL143,BR143+BS143-BT143))</f>
        <v>0</v>
      </c>
      <c r="BV143" s="29" t="n">
        <f aca="false">BL143-BU143</f>
        <v>690</v>
      </c>
      <c r="BW143" s="30" t="n">
        <f aca="false">BR143+BS143-BT143-BU143</f>
        <v>0</v>
      </c>
      <c r="BX143" s="30" t="n">
        <f aca="false">CA142</f>
        <v>0</v>
      </c>
      <c r="BY143" s="30" t="n">
        <f aca="false">BX143*$BR$5/12</f>
        <v>0</v>
      </c>
      <c r="BZ143" s="30" t="n">
        <f aca="false">MIN($BR$6,BX143+BY143)</f>
        <v>0</v>
      </c>
      <c r="CA143" s="30" t="n">
        <f aca="false">BX143+BY143-BZ143</f>
        <v>0</v>
      </c>
      <c r="CB143" s="30" t="n">
        <f aca="false">CG142</f>
        <v>0</v>
      </c>
      <c r="CC143" s="30" t="n">
        <f aca="false">CB143*$CB$5/12</f>
        <v>0</v>
      </c>
      <c r="CD143" s="30" t="n">
        <f aca="false">MIN($CB$6,CB143+CC143)</f>
        <v>0</v>
      </c>
      <c r="CE143" s="30" t="n">
        <f aca="false">MAX(0,MIN(BV143,CB143+CC143-CD143))</f>
        <v>0</v>
      </c>
      <c r="CF143" s="29" t="n">
        <f aca="false">BV143-CE143</f>
        <v>690</v>
      </c>
      <c r="CG143" s="30" t="n">
        <f aca="false">CB143+CC143-CD143-CE143</f>
        <v>0</v>
      </c>
      <c r="CH143" s="30" t="n">
        <f aca="false">CK142</f>
        <v>0</v>
      </c>
      <c r="CI143" s="30" t="n">
        <f aca="false">CH143*$CB$5/12</f>
        <v>0</v>
      </c>
      <c r="CJ143" s="30" t="n">
        <f aca="false">MIN($CB$6,CH143+CI143)</f>
        <v>0</v>
      </c>
      <c r="CK143" s="30" t="n">
        <f aca="false">CH143+CI143-CJ143</f>
        <v>0</v>
      </c>
    </row>
    <row r="144" customFormat="false" ht="15" hidden="false" customHeight="false" outlineLevel="0" collapsed="false">
      <c r="A144" s="0" t="n">
        <v>136</v>
      </c>
      <c r="B144" s="29" t="n">
        <f aca="false">'1 Your debts'!$B$16-(L144+V144+AF144+AP144+AZ144+BJ144+BT144+CD144)</f>
        <v>690</v>
      </c>
      <c r="C144" s="34" t="n">
        <f aca="false">O144+Y144+AI144+AS144+BC144+BM144+BW144+CG144</f>
        <v>0</v>
      </c>
      <c r="D144" s="34" t="n">
        <f aca="false">K144+U144+AE144+AO144+AY144+BI144+BS144+CC144</f>
        <v>0</v>
      </c>
      <c r="F144" s="34" t="n">
        <f aca="false">S144+AC144+AM144+AW144+BG144+BQ144+CA144+CK144</f>
        <v>0</v>
      </c>
      <c r="G144" s="34" t="n">
        <f aca="false">Q144+AA144+AK144+AU144+BE144+BO144+BY144+CI144</f>
        <v>0</v>
      </c>
      <c r="J144" s="34" t="n">
        <f aca="false">O143</f>
        <v>0</v>
      </c>
      <c r="K144" s="34" t="n">
        <f aca="false">J144*$J$5/12</f>
        <v>0</v>
      </c>
      <c r="L144" s="29" t="n">
        <f aca="false">MIN($J$6,J144+K144)</f>
        <v>0</v>
      </c>
      <c r="M144" s="30" t="n">
        <f aca="false">MAX(0,MIN($B144,J144+K144-L144))</f>
        <v>0</v>
      </c>
      <c r="N144" s="29" t="n">
        <f aca="false">$B144-M144</f>
        <v>690</v>
      </c>
      <c r="O144" s="34" t="n">
        <f aca="false">J144+K144-L144-M144</f>
        <v>0</v>
      </c>
      <c r="P144" s="34" t="n">
        <f aca="false">S143</f>
        <v>0</v>
      </c>
      <c r="Q144" s="34" t="n">
        <f aca="false">P144*$J$5/12</f>
        <v>0</v>
      </c>
      <c r="R144" s="29" t="n">
        <f aca="false">MIN($J$6,P144+Q144)</f>
        <v>0</v>
      </c>
      <c r="S144" s="34" t="n">
        <f aca="false">P144+Q144-R144</f>
        <v>0</v>
      </c>
      <c r="T144" s="34" t="n">
        <f aca="false">Y143</f>
        <v>0</v>
      </c>
      <c r="U144" s="34" t="n">
        <f aca="false">T144*$T$5/12</f>
        <v>0</v>
      </c>
      <c r="V144" s="29" t="n">
        <f aca="false">MIN($T$6,T144+U144)</f>
        <v>0</v>
      </c>
      <c r="W144" s="30" t="n">
        <f aca="false">MAX(0,MIN(N144,T144+U144-V144))</f>
        <v>0</v>
      </c>
      <c r="X144" s="29" t="n">
        <f aca="false">N144-W144</f>
        <v>690</v>
      </c>
      <c r="Y144" s="34" t="n">
        <f aca="false">T144+U144-V144-W144</f>
        <v>0</v>
      </c>
      <c r="Z144" s="34" t="n">
        <f aca="false">AC143</f>
        <v>0</v>
      </c>
      <c r="AA144" s="34" t="n">
        <f aca="false">Z144*$T$5/12</f>
        <v>0</v>
      </c>
      <c r="AB144" s="29" t="n">
        <f aca="false">MIN($T$6,Z144+AA144)</f>
        <v>0</v>
      </c>
      <c r="AC144" s="34" t="n">
        <f aca="false">Z144+AA144-AB144</f>
        <v>0</v>
      </c>
      <c r="AD144" s="34" t="n">
        <f aca="false">AI143</f>
        <v>0</v>
      </c>
      <c r="AE144" s="34" t="n">
        <f aca="false">AD144*$AD$5/12</f>
        <v>0</v>
      </c>
      <c r="AF144" s="29" t="n">
        <f aca="false">MIN($AD$6,AD144+AE144)</f>
        <v>0</v>
      </c>
      <c r="AG144" s="30" t="n">
        <f aca="false">MAX(0,MIN(X144,AD144+AE144-AF144))</f>
        <v>0</v>
      </c>
      <c r="AH144" s="29" t="n">
        <f aca="false">X144-AG144</f>
        <v>690</v>
      </c>
      <c r="AI144" s="34" t="n">
        <f aca="false">AD144+AE144-AF144-AG144</f>
        <v>0</v>
      </c>
      <c r="AJ144" s="34" t="n">
        <f aca="false">AM143</f>
        <v>0</v>
      </c>
      <c r="AK144" s="34" t="n">
        <f aca="false">AJ144*$AD$5/12</f>
        <v>0</v>
      </c>
      <c r="AL144" s="29" t="n">
        <f aca="false">MIN($AD$6,AJ144+AK144)</f>
        <v>0</v>
      </c>
      <c r="AM144" s="34" t="n">
        <f aca="false">AJ144+AK144-AL144</f>
        <v>0</v>
      </c>
      <c r="AN144" s="34" t="n">
        <f aca="false">AS143</f>
        <v>0</v>
      </c>
      <c r="AO144" s="34" t="n">
        <f aca="false">AN144*$AN$5/12</f>
        <v>0</v>
      </c>
      <c r="AP144" s="29" t="n">
        <f aca="false">MIN($AN$6,AN144+AO144)</f>
        <v>0</v>
      </c>
      <c r="AQ144" s="30" t="n">
        <f aca="false">MAX(0,MIN(AH144,AN144+AO144-AP144))</f>
        <v>0</v>
      </c>
      <c r="AR144" s="29" t="n">
        <f aca="false">AH144-AQ144</f>
        <v>690</v>
      </c>
      <c r="AS144" s="34" t="n">
        <f aca="false">AN144+AO144-AP144-AQ144</f>
        <v>0</v>
      </c>
      <c r="AT144" s="34" t="n">
        <f aca="false">AW143</f>
        <v>0</v>
      </c>
      <c r="AU144" s="34" t="n">
        <f aca="false">AT144*$AN$5/12</f>
        <v>0</v>
      </c>
      <c r="AV144" s="29" t="n">
        <f aca="false">MIN($AN$6,AT144+AU144)</f>
        <v>0</v>
      </c>
      <c r="AW144" s="34" t="n">
        <f aca="false">AT144+AU144-AV144</f>
        <v>0</v>
      </c>
      <c r="AX144" s="30" t="n">
        <f aca="false">BC143</f>
        <v>0</v>
      </c>
      <c r="AY144" s="30" t="n">
        <f aca="false">AX144*$AX$5/12</f>
        <v>0</v>
      </c>
      <c r="AZ144" s="30" t="n">
        <f aca="false">MIN($AX$6,AX144+AY144)</f>
        <v>0</v>
      </c>
      <c r="BA144" s="30" t="n">
        <f aca="false">MAX(0,MIN(AR144,AX144+AY144-AZ144))</f>
        <v>0</v>
      </c>
      <c r="BB144" s="29" t="n">
        <f aca="false">AR144-BA144</f>
        <v>690</v>
      </c>
      <c r="BC144" s="30" t="n">
        <f aca="false">AX144+AY144-AZ144-BA144</f>
        <v>0</v>
      </c>
      <c r="BD144" s="30" t="n">
        <f aca="false">BG143</f>
        <v>0</v>
      </c>
      <c r="BE144" s="30" t="n">
        <f aca="false">BD144*$AX$5/12</f>
        <v>0</v>
      </c>
      <c r="BF144" s="30" t="n">
        <f aca="false">MIN($AX$6,BD144+BE144)</f>
        <v>0</v>
      </c>
      <c r="BG144" s="30" t="n">
        <f aca="false">BD144+BE144-BF144</f>
        <v>0</v>
      </c>
      <c r="BH144" s="30" t="n">
        <f aca="false">BM143</f>
        <v>0</v>
      </c>
      <c r="BI144" s="30" t="n">
        <f aca="false">BH144*$BH$5/12</f>
        <v>0</v>
      </c>
      <c r="BJ144" s="30" t="n">
        <f aca="false">MIN($BH$6,BH144+BI144)</f>
        <v>0</v>
      </c>
      <c r="BK144" s="30" t="n">
        <f aca="false">MAX(0,MIN(BB144,BH144+BI144-BJ144))</f>
        <v>0</v>
      </c>
      <c r="BL144" s="29" t="n">
        <f aca="false">BB144-BK144</f>
        <v>690</v>
      </c>
      <c r="BM144" s="30" t="n">
        <f aca="false">BH144+BI144-BJ144-BK144</f>
        <v>0</v>
      </c>
      <c r="BN144" s="30" t="n">
        <f aca="false">BQ143</f>
        <v>0</v>
      </c>
      <c r="BO144" s="30" t="n">
        <f aca="false">BN144*$BH$5/12</f>
        <v>0</v>
      </c>
      <c r="BP144" s="30" t="n">
        <f aca="false">MIN($BH$6,BN144+BO144)</f>
        <v>0</v>
      </c>
      <c r="BQ144" s="30" t="n">
        <f aca="false">BN144+BO144-BP144</f>
        <v>0</v>
      </c>
      <c r="BR144" s="30" t="n">
        <f aca="false">BW143</f>
        <v>0</v>
      </c>
      <c r="BS144" s="30" t="n">
        <f aca="false">BR144*$BR$5/12</f>
        <v>0</v>
      </c>
      <c r="BT144" s="30" t="n">
        <f aca="false">MIN($BR$6,BR144+BS144)</f>
        <v>0</v>
      </c>
      <c r="BU144" s="30" t="n">
        <f aca="false">MAX(0,MIN(BL144,BR144+BS144-BT144))</f>
        <v>0</v>
      </c>
      <c r="BV144" s="29" t="n">
        <f aca="false">BL144-BU144</f>
        <v>690</v>
      </c>
      <c r="BW144" s="30" t="n">
        <f aca="false">BR144+BS144-BT144-BU144</f>
        <v>0</v>
      </c>
      <c r="BX144" s="30" t="n">
        <f aca="false">CA143</f>
        <v>0</v>
      </c>
      <c r="BY144" s="30" t="n">
        <f aca="false">BX144*$BR$5/12</f>
        <v>0</v>
      </c>
      <c r="BZ144" s="30" t="n">
        <f aca="false">MIN($BR$6,BX144+BY144)</f>
        <v>0</v>
      </c>
      <c r="CA144" s="30" t="n">
        <f aca="false">BX144+BY144-BZ144</f>
        <v>0</v>
      </c>
      <c r="CB144" s="30" t="n">
        <f aca="false">CG143</f>
        <v>0</v>
      </c>
      <c r="CC144" s="30" t="n">
        <f aca="false">CB144*$CB$5/12</f>
        <v>0</v>
      </c>
      <c r="CD144" s="30" t="n">
        <f aca="false">MIN($CB$6,CB144+CC144)</f>
        <v>0</v>
      </c>
      <c r="CE144" s="30" t="n">
        <f aca="false">MAX(0,MIN(BV144,CB144+CC144-CD144))</f>
        <v>0</v>
      </c>
      <c r="CF144" s="29" t="n">
        <f aca="false">BV144-CE144</f>
        <v>690</v>
      </c>
      <c r="CG144" s="30" t="n">
        <f aca="false">CB144+CC144-CD144-CE144</f>
        <v>0</v>
      </c>
      <c r="CH144" s="30" t="n">
        <f aca="false">CK143</f>
        <v>0</v>
      </c>
      <c r="CI144" s="30" t="n">
        <f aca="false">CH144*$CB$5/12</f>
        <v>0</v>
      </c>
      <c r="CJ144" s="30" t="n">
        <f aca="false">MIN($CB$6,CH144+CI144)</f>
        <v>0</v>
      </c>
      <c r="CK144" s="30" t="n">
        <f aca="false">CH144+CI144-CJ144</f>
        <v>0</v>
      </c>
    </row>
    <row r="145" customFormat="false" ht="15" hidden="false" customHeight="false" outlineLevel="0" collapsed="false">
      <c r="A145" s="0" t="n">
        <v>137</v>
      </c>
      <c r="B145" s="29" t="n">
        <f aca="false">'1 Your debts'!$B$16-(L145+V145+AF145+AP145+AZ145+BJ145+BT145+CD145)</f>
        <v>690</v>
      </c>
      <c r="C145" s="34" t="n">
        <f aca="false">O145+Y145+AI145+AS145+BC145+BM145+BW145+CG145</f>
        <v>0</v>
      </c>
      <c r="D145" s="34" t="n">
        <f aca="false">K145+U145+AE145+AO145+AY145+BI145+BS145+CC145</f>
        <v>0</v>
      </c>
      <c r="F145" s="34" t="n">
        <f aca="false">S145+AC145+AM145+AW145+BG145+BQ145+CA145+CK145</f>
        <v>0</v>
      </c>
      <c r="G145" s="34" t="n">
        <f aca="false">Q145+AA145+AK145+AU145+BE145+BO145+BY145+CI145</f>
        <v>0</v>
      </c>
      <c r="J145" s="34" t="n">
        <f aca="false">O144</f>
        <v>0</v>
      </c>
      <c r="K145" s="34" t="n">
        <f aca="false">J145*$J$5/12</f>
        <v>0</v>
      </c>
      <c r="L145" s="29" t="n">
        <f aca="false">MIN($J$6,J145+K145)</f>
        <v>0</v>
      </c>
      <c r="M145" s="30" t="n">
        <f aca="false">MAX(0,MIN($B145,J145+K145-L145))</f>
        <v>0</v>
      </c>
      <c r="N145" s="29" t="n">
        <f aca="false">$B145-M145</f>
        <v>690</v>
      </c>
      <c r="O145" s="34" t="n">
        <f aca="false">J145+K145-L145-M145</f>
        <v>0</v>
      </c>
      <c r="P145" s="34" t="n">
        <f aca="false">S144</f>
        <v>0</v>
      </c>
      <c r="Q145" s="34" t="n">
        <f aca="false">P145*$J$5/12</f>
        <v>0</v>
      </c>
      <c r="R145" s="29" t="n">
        <f aca="false">MIN($J$6,P145+Q145)</f>
        <v>0</v>
      </c>
      <c r="S145" s="34" t="n">
        <f aca="false">P145+Q145-R145</f>
        <v>0</v>
      </c>
      <c r="T145" s="34" t="n">
        <f aca="false">Y144</f>
        <v>0</v>
      </c>
      <c r="U145" s="34" t="n">
        <f aca="false">T145*$T$5/12</f>
        <v>0</v>
      </c>
      <c r="V145" s="29" t="n">
        <f aca="false">MIN($T$6,T145+U145)</f>
        <v>0</v>
      </c>
      <c r="W145" s="30" t="n">
        <f aca="false">MAX(0,MIN(N145,T145+U145-V145))</f>
        <v>0</v>
      </c>
      <c r="X145" s="29" t="n">
        <f aca="false">N145-W145</f>
        <v>690</v>
      </c>
      <c r="Y145" s="34" t="n">
        <f aca="false">T145+U145-V145-W145</f>
        <v>0</v>
      </c>
      <c r="Z145" s="34" t="n">
        <f aca="false">AC144</f>
        <v>0</v>
      </c>
      <c r="AA145" s="34" t="n">
        <f aca="false">Z145*$T$5/12</f>
        <v>0</v>
      </c>
      <c r="AB145" s="29" t="n">
        <f aca="false">MIN($T$6,Z145+AA145)</f>
        <v>0</v>
      </c>
      <c r="AC145" s="34" t="n">
        <f aca="false">Z145+AA145-AB145</f>
        <v>0</v>
      </c>
      <c r="AD145" s="34" t="n">
        <f aca="false">AI144</f>
        <v>0</v>
      </c>
      <c r="AE145" s="34" t="n">
        <f aca="false">AD145*$AD$5/12</f>
        <v>0</v>
      </c>
      <c r="AF145" s="29" t="n">
        <f aca="false">MIN($AD$6,AD145+AE145)</f>
        <v>0</v>
      </c>
      <c r="AG145" s="30" t="n">
        <f aca="false">MAX(0,MIN(X145,AD145+AE145-AF145))</f>
        <v>0</v>
      </c>
      <c r="AH145" s="29" t="n">
        <f aca="false">X145-AG145</f>
        <v>690</v>
      </c>
      <c r="AI145" s="34" t="n">
        <f aca="false">AD145+AE145-AF145-AG145</f>
        <v>0</v>
      </c>
      <c r="AJ145" s="34" t="n">
        <f aca="false">AM144</f>
        <v>0</v>
      </c>
      <c r="AK145" s="34" t="n">
        <f aca="false">AJ145*$AD$5/12</f>
        <v>0</v>
      </c>
      <c r="AL145" s="29" t="n">
        <f aca="false">MIN($AD$6,AJ145+AK145)</f>
        <v>0</v>
      </c>
      <c r="AM145" s="34" t="n">
        <f aca="false">AJ145+AK145-AL145</f>
        <v>0</v>
      </c>
      <c r="AN145" s="34" t="n">
        <f aca="false">AS144</f>
        <v>0</v>
      </c>
      <c r="AO145" s="34" t="n">
        <f aca="false">AN145*$AN$5/12</f>
        <v>0</v>
      </c>
      <c r="AP145" s="29" t="n">
        <f aca="false">MIN($AN$6,AN145+AO145)</f>
        <v>0</v>
      </c>
      <c r="AQ145" s="30" t="n">
        <f aca="false">MAX(0,MIN(AH145,AN145+AO145-AP145))</f>
        <v>0</v>
      </c>
      <c r="AR145" s="29" t="n">
        <f aca="false">AH145-AQ145</f>
        <v>690</v>
      </c>
      <c r="AS145" s="34" t="n">
        <f aca="false">AN145+AO145-AP145-AQ145</f>
        <v>0</v>
      </c>
      <c r="AT145" s="34" t="n">
        <f aca="false">AW144</f>
        <v>0</v>
      </c>
      <c r="AU145" s="34" t="n">
        <f aca="false">AT145*$AN$5/12</f>
        <v>0</v>
      </c>
      <c r="AV145" s="29" t="n">
        <f aca="false">MIN($AN$6,AT145+AU145)</f>
        <v>0</v>
      </c>
      <c r="AW145" s="34" t="n">
        <f aca="false">AT145+AU145-AV145</f>
        <v>0</v>
      </c>
      <c r="AX145" s="30" t="n">
        <f aca="false">BC144</f>
        <v>0</v>
      </c>
      <c r="AY145" s="30" t="n">
        <f aca="false">AX145*$AX$5/12</f>
        <v>0</v>
      </c>
      <c r="AZ145" s="30" t="n">
        <f aca="false">MIN($AX$6,AX145+AY145)</f>
        <v>0</v>
      </c>
      <c r="BA145" s="30" t="n">
        <f aca="false">MAX(0,MIN(AR145,AX145+AY145-AZ145))</f>
        <v>0</v>
      </c>
      <c r="BB145" s="29" t="n">
        <f aca="false">AR145-BA145</f>
        <v>690</v>
      </c>
      <c r="BC145" s="30" t="n">
        <f aca="false">AX145+AY145-AZ145-BA145</f>
        <v>0</v>
      </c>
      <c r="BD145" s="30" t="n">
        <f aca="false">BG144</f>
        <v>0</v>
      </c>
      <c r="BE145" s="30" t="n">
        <f aca="false">BD145*$AX$5/12</f>
        <v>0</v>
      </c>
      <c r="BF145" s="30" t="n">
        <f aca="false">MIN($AX$6,BD145+BE145)</f>
        <v>0</v>
      </c>
      <c r="BG145" s="30" t="n">
        <f aca="false">BD145+BE145-BF145</f>
        <v>0</v>
      </c>
      <c r="BH145" s="30" t="n">
        <f aca="false">BM144</f>
        <v>0</v>
      </c>
      <c r="BI145" s="30" t="n">
        <f aca="false">BH145*$BH$5/12</f>
        <v>0</v>
      </c>
      <c r="BJ145" s="30" t="n">
        <f aca="false">MIN($BH$6,BH145+BI145)</f>
        <v>0</v>
      </c>
      <c r="BK145" s="30" t="n">
        <f aca="false">MAX(0,MIN(BB145,BH145+BI145-BJ145))</f>
        <v>0</v>
      </c>
      <c r="BL145" s="29" t="n">
        <f aca="false">BB145-BK145</f>
        <v>690</v>
      </c>
      <c r="BM145" s="30" t="n">
        <f aca="false">BH145+BI145-BJ145-BK145</f>
        <v>0</v>
      </c>
      <c r="BN145" s="30" t="n">
        <f aca="false">BQ144</f>
        <v>0</v>
      </c>
      <c r="BO145" s="30" t="n">
        <f aca="false">BN145*$BH$5/12</f>
        <v>0</v>
      </c>
      <c r="BP145" s="30" t="n">
        <f aca="false">MIN($BH$6,BN145+BO145)</f>
        <v>0</v>
      </c>
      <c r="BQ145" s="30" t="n">
        <f aca="false">BN145+BO145-BP145</f>
        <v>0</v>
      </c>
      <c r="BR145" s="30" t="n">
        <f aca="false">BW144</f>
        <v>0</v>
      </c>
      <c r="BS145" s="30" t="n">
        <f aca="false">BR145*$BR$5/12</f>
        <v>0</v>
      </c>
      <c r="BT145" s="30" t="n">
        <f aca="false">MIN($BR$6,BR145+BS145)</f>
        <v>0</v>
      </c>
      <c r="BU145" s="30" t="n">
        <f aca="false">MAX(0,MIN(BL145,BR145+BS145-BT145))</f>
        <v>0</v>
      </c>
      <c r="BV145" s="29" t="n">
        <f aca="false">BL145-BU145</f>
        <v>690</v>
      </c>
      <c r="BW145" s="30" t="n">
        <f aca="false">BR145+BS145-BT145-BU145</f>
        <v>0</v>
      </c>
      <c r="BX145" s="30" t="n">
        <f aca="false">CA144</f>
        <v>0</v>
      </c>
      <c r="BY145" s="30" t="n">
        <f aca="false">BX145*$BR$5/12</f>
        <v>0</v>
      </c>
      <c r="BZ145" s="30" t="n">
        <f aca="false">MIN($BR$6,BX145+BY145)</f>
        <v>0</v>
      </c>
      <c r="CA145" s="30" t="n">
        <f aca="false">BX145+BY145-BZ145</f>
        <v>0</v>
      </c>
      <c r="CB145" s="30" t="n">
        <f aca="false">CG144</f>
        <v>0</v>
      </c>
      <c r="CC145" s="30" t="n">
        <f aca="false">CB145*$CB$5/12</f>
        <v>0</v>
      </c>
      <c r="CD145" s="30" t="n">
        <f aca="false">MIN($CB$6,CB145+CC145)</f>
        <v>0</v>
      </c>
      <c r="CE145" s="30" t="n">
        <f aca="false">MAX(0,MIN(BV145,CB145+CC145-CD145))</f>
        <v>0</v>
      </c>
      <c r="CF145" s="29" t="n">
        <f aca="false">BV145-CE145</f>
        <v>690</v>
      </c>
      <c r="CG145" s="30" t="n">
        <f aca="false">CB145+CC145-CD145-CE145</f>
        <v>0</v>
      </c>
      <c r="CH145" s="30" t="n">
        <f aca="false">CK144</f>
        <v>0</v>
      </c>
      <c r="CI145" s="30" t="n">
        <f aca="false">CH145*$CB$5/12</f>
        <v>0</v>
      </c>
      <c r="CJ145" s="30" t="n">
        <f aca="false">MIN($CB$6,CH145+CI145)</f>
        <v>0</v>
      </c>
      <c r="CK145" s="30" t="n">
        <f aca="false">CH145+CI145-CJ145</f>
        <v>0</v>
      </c>
    </row>
    <row r="146" customFormat="false" ht="15" hidden="false" customHeight="false" outlineLevel="0" collapsed="false">
      <c r="A146" s="0" t="n">
        <v>138</v>
      </c>
      <c r="B146" s="29" t="n">
        <f aca="false">'1 Your debts'!$B$16-(L146+V146+AF146+AP146+AZ146+BJ146+BT146+CD146)</f>
        <v>690</v>
      </c>
      <c r="C146" s="34" t="n">
        <f aca="false">O146+Y146+AI146+AS146+BC146+BM146+BW146+CG146</f>
        <v>0</v>
      </c>
      <c r="D146" s="34" t="n">
        <f aca="false">K146+U146+AE146+AO146+AY146+BI146+BS146+CC146</f>
        <v>0</v>
      </c>
      <c r="F146" s="34" t="n">
        <f aca="false">S146+AC146+AM146+AW146+BG146+BQ146+CA146+CK146</f>
        <v>0</v>
      </c>
      <c r="G146" s="34" t="n">
        <f aca="false">Q146+AA146+AK146+AU146+BE146+BO146+BY146+CI146</f>
        <v>0</v>
      </c>
      <c r="J146" s="34" t="n">
        <f aca="false">O145</f>
        <v>0</v>
      </c>
      <c r="K146" s="34" t="n">
        <f aca="false">J146*$J$5/12</f>
        <v>0</v>
      </c>
      <c r="L146" s="29" t="n">
        <f aca="false">MIN($J$6,J146+K146)</f>
        <v>0</v>
      </c>
      <c r="M146" s="30" t="n">
        <f aca="false">MAX(0,MIN($B146,J146+K146-L146))</f>
        <v>0</v>
      </c>
      <c r="N146" s="29" t="n">
        <f aca="false">$B146-M146</f>
        <v>690</v>
      </c>
      <c r="O146" s="34" t="n">
        <f aca="false">J146+K146-L146-M146</f>
        <v>0</v>
      </c>
      <c r="P146" s="34" t="n">
        <f aca="false">S145</f>
        <v>0</v>
      </c>
      <c r="Q146" s="34" t="n">
        <f aca="false">P146*$J$5/12</f>
        <v>0</v>
      </c>
      <c r="R146" s="29" t="n">
        <f aca="false">MIN($J$6,P146+Q146)</f>
        <v>0</v>
      </c>
      <c r="S146" s="34" t="n">
        <f aca="false">P146+Q146-R146</f>
        <v>0</v>
      </c>
      <c r="T146" s="34" t="n">
        <f aca="false">Y145</f>
        <v>0</v>
      </c>
      <c r="U146" s="34" t="n">
        <f aca="false">T146*$T$5/12</f>
        <v>0</v>
      </c>
      <c r="V146" s="29" t="n">
        <f aca="false">MIN($T$6,T146+U146)</f>
        <v>0</v>
      </c>
      <c r="W146" s="30" t="n">
        <f aca="false">MAX(0,MIN(N146,T146+U146-V146))</f>
        <v>0</v>
      </c>
      <c r="X146" s="29" t="n">
        <f aca="false">N146-W146</f>
        <v>690</v>
      </c>
      <c r="Y146" s="34" t="n">
        <f aca="false">T146+U146-V146-W146</f>
        <v>0</v>
      </c>
      <c r="Z146" s="34" t="n">
        <f aca="false">AC145</f>
        <v>0</v>
      </c>
      <c r="AA146" s="34" t="n">
        <f aca="false">Z146*$T$5/12</f>
        <v>0</v>
      </c>
      <c r="AB146" s="29" t="n">
        <f aca="false">MIN($T$6,Z146+AA146)</f>
        <v>0</v>
      </c>
      <c r="AC146" s="34" t="n">
        <f aca="false">Z146+AA146-AB146</f>
        <v>0</v>
      </c>
      <c r="AD146" s="34" t="n">
        <f aca="false">AI145</f>
        <v>0</v>
      </c>
      <c r="AE146" s="34" t="n">
        <f aca="false">AD146*$AD$5/12</f>
        <v>0</v>
      </c>
      <c r="AF146" s="29" t="n">
        <f aca="false">MIN($AD$6,AD146+AE146)</f>
        <v>0</v>
      </c>
      <c r="AG146" s="30" t="n">
        <f aca="false">MAX(0,MIN(X146,AD146+AE146-AF146))</f>
        <v>0</v>
      </c>
      <c r="AH146" s="29" t="n">
        <f aca="false">X146-AG146</f>
        <v>690</v>
      </c>
      <c r="AI146" s="34" t="n">
        <f aca="false">AD146+AE146-AF146-AG146</f>
        <v>0</v>
      </c>
      <c r="AJ146" s="34" t="n">
        <f aca="false">AM145</f>
        <v>0</v>
      </c>
      <c r="AK146" s="34" t="n">
        <f aca="false">AJ146*$AD$5/12</f>
        <v>0</v>
      </c>
      <c r="AL146" s="29" t="n">
        <f aca="false">MIN($AD$6,AJ146+AK146)</f>
        <v>0</v>
      </c>
      <c r="AM146" s="34" t="n">
        <f aca="false">AJ146+AK146-AL146</f>
        <v>0</v>
      </c>
      <c r="AN146" s="34" t="n">
        <f aca="false">AS145</f>
        <v>0</v>
      </c>
      <c r="AO146" s="34" t="n">
        <f aca="false">AN146*$AN$5/12</f>
        <v>0</v>
      </c>
      <c r="AP146" s="29" t="n">
        <f aca="false">MIN($AN$6,AN146+AO146)</f>
        <v>0</v>
      </c>
      <c r="AQ146" s="30" t="n">
        <f aca="false">MAX(0,MIN(AH146,AN146+AO146-AP146))</f>
        <v>0</v>
      </c>
      <c r="AR146" s="29" t="n">
        <f aca="false">AH146-AQ146</f>
        <v>690</v>
      </c>
      <c r="AS146" s="34" t="n">
        <f aca="false">AN146+AO146-AP146-AQ146</f>
        <v>0</v>
      </c>
      <c r="AT146" s="34" t="n">
        <f aca="false">AW145</f>
        <v>0</v>
      </c>
      <c r="AU146" s="34" t="n">
        <f aca="false">AT146*$AN$5/12</f>
        <v>0</v>
      </c>
      <c r="AV146" s="29" t="n">
        <f aca="false">MIN($AN$6,AT146+AU146)</f>
        <v>0</v>
      </c>
      <c r="AW146" s="34" t="n">
        <f aca="false">AT146+AU146-AV146</f>
        <v>0</v>
      </c>
      <c r="AX146" s="30" t="n">
        <f aca="false">BC145</f>
        <v>0</v>
      </c>
      <c r="AY146" s="30" t="n">
        <f aca="false">AX146*$AX$5/12</f>
        <v>0</v>
      </c>
      <c r="AZ146" s="30" t="n">
        <f aca="false">MIN($AX$6,AX146+AY146)</f>
        <v>0</v>
      </c>
      <c r="BA146" s="30" t="n">
        <f aca="false">MAX(0,MIN(AR146,AX146+AY146-AZ146))</f>
        <v>0</v>
      </c>
      <c r="BB146" s="29" t="n">
        <f aca="false">AR146-BA146</f>
        <v>690</v>
      </c>
      <c r="BC146" s="30" t="n">
        <f aca="false">AX146+AY146-AZ146-BA146</f>
        <v>0</v>
      </c>
      <c r="BD146" s="30" t="n">
        <f aca="false">BG145</f>
        <v>0</v>
      </c>
      <c r="BE146" s="30" t="n">
        <f aca="false">BD146*$AX$5/12</f>
        <v>0</v>
      </c>
      <c r="BF146" s="30" t="n">
        <f aca="false">MIN($AX$6,BD146+BE146)</f>
        <v>0</v>
      </c>
      <c r="BG146" s="30" t="n">
        <f aca="false">BD146+BE146-BF146</f>
        <v>0</v>
      </c>
      <c r="BH146" s="30" t="n">
        <f aca="false">BM145</f>
        <v>0</v>
      </c>
      <c r="BI146" s="30" t="n">
        <f aca="false">BH146*$BH$5/12</f>
        <v>0</v>
      </c>
      <c r="BJ146" s="30" t="n">
        <f aca="false">MIN($BH$6,BH146+BI146)</f>
        <v>0</v>
      </c>
      <c r="BK146" s="30" t="n">
        <f aca="false">MAX(0,MIN(BB146,BH146+BI146-BJ146))</f>
        <v>0</v>
      </c>
      <c r="BL146" s="29" t="n">
        <f aca="false">BB146-BK146</f>
        <v>690</v>
      </c>
      <c r="BM146" s="30" t="n">
        <f aca="false">BH146+BI146-BJ146-BK146</f>
        <v>0</v>
      </c>
      <c r="BN146" s="30" t="n">
        <f aca="false">BQ145</f>
        <v>0</v>
      </c>
      <c r="BO146" s="30" t="n">
        <f aca="false">BN146*$BH$5/12</f>
        <v>0</v>
      </c>
      <c r="BP146" s="30" t="n">
        <f aca="false">MIN($BH$6,BN146+BO146)</f>
        <v>0</v>
      </c>
      <c r="BQ146" s="30" t="n">
        <f aca="false">BN146+BO146-BP146</f>
        <v>0</v>
      </c>
      <c r="BR146" s="30" t="n">
        <f aca="false">BW145</f>
        <v>0</v>
      </c>
      <c r="BS146" s="30" t="n">
        <f aca="false">BR146*$BR$5/12</f>
        <v>0</v>
      </c>
      <c r="BT146" s="30" t="n">
        <f aca="false">MIN($BR$6,BR146+BS146)</f>
        <v>0</v>
      </c>
      <c r="BU146" s="30" t="n">
        <f aca="false">MAX(0,MIN(BL146,BR146+BS146-BT146))</f>
        <v>0</v>
      </c>
      <c r="BV146" s="29" t="n">
        <f aca="false">BL146-BU146</f>
        <v>690</v>
      </c>
      <c r="BW146" s="30" t="n">
        <f aca="false">BR146+BS146-BT146-BU146</f>
        <v>0</v>
      </c>
      <c r="BX146" s="30" t="n">
        <f aca="false">CA145</f>
        <v>0</v>
      </c>
      <c r="BY146" s="30" t="n">
        <f aca="false">BX146*$BR$5/12</f>
        <v>0</v>
      </c>
      <c r="BZ146" s="30" t="n">
        <f aca="false">MIN($BR$6,BX146+BY146)</f>
        <v>0</v>
      </c>
      <c r="CA146" s="30" t="n">
        <f aca="false">BX146+BY146-BZ146</f>
        <v>0</v>
      </c>
      <c r="CB146" s="30" t="n">
        <f aca="false">CG145</f>
        <v>0</v>
      </c>
      <c r="CC146" s="30" t="n">
        <f aca="false">CB146*$CB$5/12</f>
        <v>0</v>
      </c>
      <c r="CD146" s="30" t="n">
        <f aca="false">MIN($CB$6,CB146+CC146)</f>
        <v>0</v>
      </c>
      <c r="CE146" s="30" t="n">
        <f aca="false">MAX(0,MIN(BV146,CB146+CC146-CD146))</f>
        <v>0</v>
      </c>
      <c r="CF146" s="29" t="n">
        <f aca="false">BV146-CE146</f>
        <v>690</v>
      </c>
      <c r="CG146" s="30" t="n">
        <f aca="false">CB146+CC146-CD146-CE146</f>
        <v>0</v>
      </c>
      <c r="CH146" s="30" t="n">
        <f aca="false">CK145</f>
        <v>0</v>
      </c>
      <c r="CI146" s="30" t="n">
        <f aca="false">CH146*$CB$5/12</f>
        <v>0</v>
      </c>
      <c r="CJ146" s="30" t="n">
        <f aca="false">MIN($CB$6,CH146+CI146)</f>
        <v>0</v>
      </c>
      <c r="CK146" s="30" t="n">
        <f aca="false">CH146+CI146-CJ146</f>
        <v>0</v>
      </c>
    </row>
    <row r="147" customFormat="false" ht="15" hidden="false" customHeight="false" outlineLevel="0" collapsed="false">
      <c r="A147" s="0" t="n">
        <v>139</v>
      </c>
      <c r="B147" s="29" t="n">
        <f aca="false">'1 Your debts'!$B$16-(L147+V147+AF147+AP147+AZ147+BJ147+BT147+CD147)</f>
        <v>690</v>
      </c>
      <c r="C147" s="34" t="n">
        <f aca="false">O147+Y147+AI147+AS147+BC147+BM147+BW147+CG147</f>
        <v>0</v>
      </c>
      <c r="D147" s="34" t="n">
        <f aca="false">K147+U147+AE147+AO147+AY147+BI147+BS147+CC147</f>
        <v>0</v>
      </c>
      <c r="F147" s="34" t="n">
        <f aca="false">S147+AC147+AM147+AW147+BG147+BQ147+CA147+CK147</f>
        <v>0</v>
      </c>
      <c r="G147" s="34" t="n">
        <f aca="false">Q147+AA147+AK147+AU147+BE147+BO147+BY147+CI147</f>
        <v>0</v>
      </c>
      <c r="J147" s="34" t="n">
        <f aca="false">O146</f>
        <v>0</v>
      </c>
      <c r="K147" s="34" t="n">
        <f aca="false">J147*$J$5/12</f>
        <v>0</v>
      </c>
      <c r="L147" s="29" t="n">
        <f aca="false">MIN($J$6,J147+K147)</f>
        <v>0</v>
      </c>
      <c r="M147" s="30" t="n">
        <f aca="false">MAX(0,MIN($B147,J147+K147-L147))</f>
        <v>0</v>
      </c>
      <c r="N147" s="29" t="n">
        <f aca="false">$B147-M147</f>
        <v>690</v>
      </c>
      <c r="O147" s="34" t="n">
        <f aca="false">J147+K147-L147-M147</f>
        <v>0</v>
      </c>
      <c r="P147" s="34" t="n">
        <f aca="false">S146</f>
        <v>0</v>
      </c>
      <c r="Q147" s="34" t="n">
        <f aca="false">P147*$J$5/12</f>
        <v>0</v>
      </c>
      <c r="R147" s="29" t="n">
        <f aca="false">MIN($J$6,P147+Q147)</f>
        <v>0</v>
      </c>
      <c r="S147" s="34" t="n">
        <f aca="false">P147+Q147-R147</f>
        <v>0</v>
      </c>
      <c r="T147" s="34" t="n">
        <f aca="false">Y146</f>
        <v>0</v>
      </c>
      <c r="U147" s="34" t="n">
        <f aca="false">T147*$T$5/12</f>
        <v>0</v>
      </c>
      <c r="V147" s="29" t="n">
        <f aca="false">MIN($T$6,T147+U147)</f>
        <v>0</v>
      </c>
      <c r="W147" s="30" t="n">
        <f aca="false">MAX(0,MIN(N147,T147+U147-V147))</f>
        <v>0</v>
      </c>
      <c r="X147" s="29" t="n">
        <f aca="false">N147-W147</f>
        <v>690</v>
      </c>
      <c r="Y147" s="34" t="n">
        <f aca="false">T147+U147-V147-W147</f>
        <v>0</v>
      </c>
      <c r="Z147" s="34" t="n">
        <f aca="false">AC146</f>
        <v>0</v>
      </c>
      <c r="AA147" s="34" t="n">
        <f aca="false">Z147*$T$5/12</f>
        <v>0</v>
      </c>
      <c r="AB147" s="29" t="n">
        <f aca="false">MIN($T$6,Z147+AA147)</f>
        <v>0</v>
      </c>
      <c r="AC147" s="34" t="n">
        <f aca="false">Z147+AA147-AB147</f>
        <v>0</v>
      </c>
      <c r="AD147" s="34" t="n">
        <f aca="false">AI146</f>
        <v>0</v>
      </c>
      <c r="AE147" s="34" t="n">
        <f aca="false">AD147*$AD$5/12</f>
        <v>0</v>
      </c>
      <c r="AF147" s="29" t="n">
        <f aca="false">MIN($AD$6,AD147+AE147)</f>
        <v>0</v>
      </c>
      <c r="AG147" s="30" t="n">
        <f aca="false">MAX(0,MIN(X147,AD147+AE147-AF147))</f>
        <v>0</v>
      </c>
      <c r="AH147" s="29" t="n">
        <f aca="false">X147-AG147</f>
        <v>690</v>
      </c>
      <c r="AI147" s="34" t="n">
        <f aca="false">AD147+AE147-AF147-AG147</f>
        <v>0</v>
      </c>
      <c r="AJ147" s="34" t="n">
        <f aca="false">AM146</f>
        <v>0</v>
      </c>
      <c r="AK147" s="34" t="n">
        <f aca="false">AJ147*$AD$5/12</f>
        <v>0</v>
      </c>
      <c r="AL147" s="29" t="n">
        <f aca="false">MIN($AD$6,AJ147+AK147)</f>
        <v>0</v>
      </c>
      <c r="AM147" s="34" t="n">
        <f aca="false">AJ147+AK147-AL147</f>
        <v>0</v>
      </c>
      <c r="AN147" s="34" t="n">
        <f aca="false">AS146</f>
        <v>0</v>
      </c>
      <c r="AO147" s="34" t="n">
        <f aca="false">AN147*$AN$5/12</f>
        <v>0</v>
      </c>
      <c r="AP147" s="29" t="n">
        <f aca="false">MIN($AN$6,AN147+AO147)</f>
        <v>0</v>
      </c>
      <c r="AQ147" s="30" t="n">
        <f aca="false">MAX(0,MIN(AH147,AN147+AO147-AP147))</f>
        <v>0</v>
      </c>
      <c r="AR147" s="29" t="n">
        <f aca="false">AH147-AQ147</f>
        <v>690</v>
      </c>
      <c r="AS147" s="34" t="n">
        <f aca="false">AN147+AO147-AP147-AQ147</f>
        <v>0</v>
      </c>
      <c r="AT147" s="34" t="n">
        <f aca="false">AW146</f>
        <v>0</v>
      </c>
      <c r="AU147" s="34" t="n">
        <f aca="false">AT147*$AN$5/12</f>
        <v>0</v>
      </c>
      <c r="AV147" s="29" t="n">
        <f aca="false">MIN($AN$6,AT147+AU147)</f>
        <v>0</v>
      </c>
      <c r="AW147" s="34" t="n">
        <f aca="false">AT147+AU147-AV147</f>
        <v>0</v>
      </c>
      <c r="AX147" s="30" t="n">
        <f aca="false">BC146</f>
        <v>0</v>
      </c>
      <c r="AY147" s="30" t="n">
        <f aca="false">AX147*$AX$5/12</f>
        <v>0</v>
      </c>
      <c r="AZ147" s="30" t="n">
        <f aca="false">MIN($AX$6,AX147+AY147)</f>
        <v>0</v>
      </c>
      <c r="BA147" s="30" t="n">
        <f aca="false">MAX(0,MIN(AR147,AX147+AY147-AZ147))</f>
        <v>0</v>
      </c>
      <c r="BB147" s="29" t="n">
        <f aca="false">AR147-BA147</f>
        <v>690</v>
      </c>
      <c r="BC147" s="30" t="n">
        <f aca="false">AX147+AY147-AZ147-BA147</f>
        <v>0</v>
      </c>
      <c r="BD147" s="30" t="n">
        <f aca="false">BG146</f>
        <v>0</v>
      </c>
      <c r="BE147" s="30" t="n">
        <f aca="false">BD147*$AX$5/12</f>
        <v>0</v>
      </c>
      <c r="BF147" s="30" t="n">
        <f aca="false">MIN($AX$6,BD147+BE147)</f>
        <v>0</v>
      </c>
      <c r="BG147" s="30" t="n">
        <f aca="false">BD147+BE147-BF147</f>
        <v>0</v>
      </c>
      <c r="BH147" s="30" t="n">
        <f aca="false">BM146</f>
        <v>0</v>
      </c>
      <c r="BI147" s="30" t="n">
        <f aca="false">BH147*$BH$5/12</f>
        <v>0</v>
      </c>
      <c r="BJ147" s="30" t="n">
        <f aca="false">MIN($BH$6,BH147+BI147)</f>
        <v>0</v>
      </c>
      <c r="BK147" s="30" t="n">
        <f aca="false">MAX(0,MIN(BB147,BH147+BI147-BJ147))</f>
        <v>0</v>
      </c>
      <c r="BL147" s="29" t="n">
        <f aca="false">BB147-BK147</f>
        <v>690</v>
      </c>
      <c r="BM147" s="30" t="n">
        <f aca="false">BH147+BI147-BJ147-BK147</f>
        <v>0</v>
      </c>
      <c r="BN147" s="30" t="n">
        <f aca="false">BQ146</f>
        <v>0</v>
      </c>
      <c r="BO147" s="30" t="n">
        <f aca="false">BN147*$BH$5/12</f>
        <v>0</v>
      </c>
      <c r="BP147" s="30" t="n">
        <f aca="false">MIN($BH$6,BN147+BO147)</f>
        <v>0</v>
      </c>
      <c r="BQ147" s="30" t="n">
        <f aca="false">BN147+BO147-BP147</f>
        <v>0</v>
      </c>
      <c r="BR147" s="30" t="n">
        <f aca="false">BW146</f>
        <v>0</v>
      </c>
      <c r="BS147" s="30" t="n">
        <f aca="false">BR147*$BR$5/12</f>
        <v>0</v>
      </c>
      <c r="BT147" s="30" t="n">
        <f aca="false">MIN($BR$6,BR147+BS147)</f>
        <v>0</v>
      </c>
      <c r="BU147" s="30" t="n">
        <f aca="false">MAX(0,MIN(BL147,BR147+BS147-BT147))</f>
        <v>0</v>
      </c>
      <c r="BV147" s="29" t="n">
        <f aca="false">BL147-BU147</f>
        <v>690</v>
      </c>
      <c r="BW147" s="30" t="n">
        <f aca="false">BR147+BS147-BT147-BU147</f>
        <v>0</v>
      </c>
      <c r="BX147" s="30" t="n">
        <f aca="false">CA146</f>
        <v>0</v>
      </c>
      <c r="BY147" s="30" t="n">
        <f aca="false">BX147*$BR$5/12</f>
        <v>0</v>
      </c>
      <c r="BZ147" s="30" t="n">
        <f aca="false">MIN($BR$6,BX147+BY147)</f>
        <v>0</v>
      </c>
      <c r="CA147" s="30" t="n">
        <f aca="false">BX147+BY147-BZ147</f>
        <v>0</v>
      </c>
      <c r="CB147" s="30" t="n">
        <f aca="false">CG146</f>
        <v>0</v>
      </c>
      <c r="CC147" s="30" t="n">
        <f aca="false">CB147*$CB$5/12</f>
        <v>0</v>
      </c>
      <c r="CD147" s="30" t="n">
        <f aca="false">MIN($CB$6,CB147+CC147)</f>
        <v>0</v>
      </c>
      <c r="CE147" s="30" t="n">
        <f aca="false">MAX(0,MIN(BV147,CB147+CC147-CD147))</f>
        <v>0</v>
      </c>
      <c r="CF147" s="29" t="n">
        <f aca="false">BV147-CE147</f>
        <v>690</v>
      </c>
      <c r="CG147" s="30" t="n">
        <f aca="false">CB147+CC147-CD147-CE147</f>
        <v>0</v>
      </c>
      <c r="CH147" s="30" t="n">
        <f aca="false">CK146</f>
        <v>0</v>
      </c>
      <c r="CI147" s="30" t="n">
        <f aca="false">CH147*$CB$5/12</f>
        <v>0</v>
      </c>
      <c r="CJ147" s="30" t="n">
        <f aca="false">MIN($CB$6,CH147+CI147)</f>
        <v>0</v>
      </c>
      <c r="CK147" s="30" t="n">
        <f aca="false">CH147+CI147-CJ147</f>
        <v>0</v>
      </c>
    </row>
    <row r="148" customFormat="false" ht="15" hidden="false" customHeight="false" outlineLevel="0" collapsed="false">
      <c r="A148" s="0" t="n">
        <v>140</v>
      </c>
      <c r="B148" s="29" t="n">
        <f aca="false">'1 Your debts'!$B$16-(L148+V148+AF148+AP148+AZ148+BJ148+BT148+CD148)</f>
        <v>690</v>
      </c>
      <c r="C148" s="34" t="n">
        <f aca="false">O148+Y148+AI148+AS148+BC148+BM148+BW148+CG148</f>
        <v>0</v>
      </c>
      <c r="D148" s="34" t="n">
        <f aca="false">K148+U148+AE148+AO148+AY148+BI148+BS148+CC148</f>
        <v>0</v>
      </c>
      <c r="F148" s="34" t="n">
        <f aca="false">S148+AC148+AM148+AW148+BG148+BQ148+CA148+CK148</f>
        <v>0</v>
      </c>
      <c r="G148" s="34" t="n">
        <f aca="false">Q148+AA148+AK148+AU148+BE148+BO148+BY148+CI148</f>
        <v>0</v>
      </c>
      <c r="J148" s="34" t="n">
        <f aca="false">O147</f>
        <v>0</v>
      </c>
      <c r="K148" s="34" t="n">
        <f aca="false">J148*$J$5/12</f>
        <v>0</v>
      </c>
      <c r="L148" s="29" t="n">
        <f aca="false">MIN($J$6,J148+K148)</f>
        <v>0</v>
      </c>
      <c r="M148" s="30" t="n">
        <f aca="false">MAX(0,MIN($B148,J148+K148-L148))</f>
        <v>0</v>
      </c>
      <c r="N148" s="29" t="n">
        <f aca="false">$B148-M148</f>
        <v>690</v>
      </c>
      <c r="O148" s="34" t="n">
        <f aca="false">J148+K148-L148-M148</f>
        <v>0</v>
      </c>
      <c r="P148" s="34" t="n">
        <f aca="false">S147</f>
        <v>0</v>
      </c>
      <c r="Q148" s="34" t="n">
        <f aca="false">P148*$J$5/12</f>
        <v>0</v>
      </c>
      <c r="R148" s="29" t="n">
        <f aca="false">MIN($J$6,P148+Q148)</f>
        <v>0</v>
      </c>
      <c r="S148" s="34" t="n">
        <f aca="false">P148+Q148-R148</f>
        <v>0</v>
      </c>
      <c r="T148" s="34" t="n">
        <f aca="false">Y147</f>
        <v>0</v>
      </c>
      <c r="U148" s="34" t="n">
        <f aca="false">T148*$T$5/12</f>
        <v>0</v>
      </c>
      <c r="V148" s="29" t="n">
        <f aca="false">MIN($T$6,T148+U148)</f>
        <v>0</v>
      </c>
      <c r="W148" s="30" t="n">
        <f aca="false">MAX(0,MIN(N148,T148+U148-V148))</f>
        <v>0</v>
      </c>
      <c r="X148" s="29" t="n">
        <f aca="false">N148-W148</f>
        <v>690</v>
      </c>
      <c r="Y148" s="34" t="n">
        <f aca="false">T148+U148-V148-W148</f>
        <v>0</v>
      </c>
      <c r="Z148" s="34" t="n">
        <f aca="false">AC147</f>
        <v>0</v>
      </c>
      <c r="AA148" s="34" t="n">
        <f aca="false">Z148*$T$5/12</f>
        <v>0</v>
      </c>
      <c r="AB148" s="29" t="n">
        <f aca="false">MIN($T$6,Z148+AA148)</f>
        <v>0</v>
      </c>
      <c r="AC148" s="34" t="n">
        <f aca="false">Z148+AA148-AB148</f>
        <v>0</v>
      </c>
      <c r="AD148" s="34" t="n">
        <f aca="false">AI147</f>
        <v>0</v>
      </c>
      <c r="AE148" s="34" t="n">
        <f aca="false">AD148*$AD$5/12</f>
        <v>0</v>
      </c>
      <c r="AF148" s="29" t="n">
        <f aca="false">MIN($AD$6,AD148+AE148)</f>
        <v>0</v>
      </c>
      <c r="AG148" s="30" t="n">
        <f aca="false">MAX(0,MIN(X148,AD148+AE148-AF148))</f>
        <v>0</v>
      </c>
      <c r="AH148" s="29" t="n">
        <f aca="false">X148-AG148</f>
        <v>690</v>
      </c>
      <c r="AI148" s="34" t="n">
        <f aca="false">AD148+AE148-AF148-AG148</f>
        <v>0</v>
      </c>
      <c r="AJ148" s="34" t="n">
        <f aca="false">AM147</f>
        <v>0</v>
      </c>
      <c r="AK148" s="34" t="n">
        <f aca="false">AJ148*$AD$5/12</f>
        <v>0</v>
      </c>
      <c r="AL148" s="29" t="n">
        <f aca="false">MIN($AD$6,AJ148+AK148)</f>
        <v>0</v>
      </c>
      <c r="AM148" s="34" t="n">
        <f aca="false">AJ148+AK148-AL148</f>
        <v>0</v>
      </c>
      <c r="AN148" s="34" t="n">
        <f aca="false">AS147</f>
        <v>0</v>
      </c>
      <c r="AO148" s="34" t="n">
        <f aca="false">AN148*$AN$5/12</f>
        <v>0</v>
      </c>
      <c r="AP148" s="29" t="n">
        <f aca="false">MIN($AN$6,AN148+AO148)</f>
        <v>0</v>
      </c>
      <c r="AQ148" s="30" t="n">
        <f aca="false">MAX(0,MIN(AH148,AN148+AO148-AP148))</f>
        <v>0</v>
      </c>
      <c r="AR148" s="29" t="n">
        <f aca="false">AH148-AQ148</f>
        <v>690</v>
      </c>
      <c r="AS148" s="34" t="n">
        <f aca="false">AN148+AO148-AP148-AQ148</f>
        <v>0</v>
      </c>
      <c r="AT148" s="34" t="n">
        <f aca="false">AW147</f>
        <v>0</v>
      </c>
      <c r="AU148" s="34" t="n">
        <f aca="false">AT148*$AN$5/12</f>
        <v>0</v>
      </c>
      <c r="AV148" s="29" t="n">
        <f aca="false">MIN($AN$6,AT148+AU148)</f>
        <v>0</v>
      </c>
      <c r="AW148" s="34" t="n">
        <f aca="false">AT148+AU148-AV148</f>
        <v>0</v>
      </c>
      <c r="AX148" s="30" t="n">
        <f aca="false">BC147</f>
        <v>0</v>
      </c>
      <c r="AY148" s="30" t="n">
        <f aca="false">AX148*$AX$5/12</f>
        <v>0</v>
      </c>
      <c r="AZ148" s="30" t="n">
        <f aca="false">MIN($AX$6,AX148+AY148)</f>
        <v>0</v>
      </c>
      <c r="BA148" s="30" t="n">
        <f aca="false">MAX(0,MIN(AR148,AX148+AY148-AZ148))</f>
        <v>0</v>
      </c>
      <c r="BB148" s="29" t="n">
        <f aca="false">AR148-BA148</f>
        <v>690</v>
      </c>
      <c r="BC148" s="30" t="n">
        <f aca="false">AX148+AY148-AZ148-BA148</f>
        <v>0</v>
      </c>
      <c r="BD148" s="30" t="n">
        <f aca="false">BG147</f>
        <v>0</v>
      </c>
      <c r="BE148" s="30" t="n">
        <f aca="false">BD148*$AX$5/12</f>
        <v>0</v>
      </c>
      <c r="BF148" s="30" t="n">
        <f aca="false">MIN($AX$6,BD148+BE148)</f>
        <v>0</v>
      </c>
      <c r="BG148" s="30" t="n">
        <f aca="false">BD148+BE148-BF148</f>
        <v>0</v>
      </c>
      <c r="BH148" s="30" t="n">
        <f aca="false">BM147</f>
        <v>0</v>
      </c>
      <c r="BI148" s="30" t="n">
        <f aca="false">BH148*$BH$5/12</f>
        <v>0</v>
      </c>
      <c r="BJ148" s="30" t="n">
        <f aca="false">MIN($BH$6,BH148+BI148)</f>
        <v>0</v>
      </c>
      <c r="BK148" s="30" t="n">
        <f aca="false">MAX(0,MIN(BB148,BH148+BI148-BJ148))</f>
        <v>0</v>
      </c>
      <c r="BL148" s="29" t="n">
        <f aca="false">BB148-BK148</f>
        <v>690</v>
      </c>
      <c r="BM148" s="30" t="n">
        <f aca="false">BH148+BI148-BJ148-BK148</f>
        <v>0</v>
      </c>
      <c r="BN148" s="30" t="n">
        <f aca="false">BQ147</f>
        <v>0</v>
      </c>
      <c r="BO148" s="30" t="n">
        <f aca="false">BN148*$BH$5/12</f>
        <v>0</v>
      </c>
      <c r="BP148" s="30" t="n">
        <f aca="false">MIN($BH$6,BN148+BO148)</f>
        <v>0</v>
      </c>
      <c r="BQ148" s="30" t="n">
        <f aca="false">BN148+BO148-BP148</f>
        <v>0</v>
      </c>
      <c r="BR148" s="30" t="n">
        <f aca="false">BW147</f>
        <v>0</v>
      </c>
      <c r="BS148" s="30" t="n">
        <f aca="false">BR148*$BR$5/12</f>
        <v>0</v>
      </c>
      <c r="BT148" s="30" t="n">
        <f aca="false">MIN($BR$6,BR148+BS148)</f>
        <v>0</v>
      </c>
      <c r="BU148" s="30" t="n">
        <f aca="false">MAX(0,MIN(BL148,BR148+BS148-BT148))</f>
        <v>0</v>
      </c>
      <c r="BV148" s="29" t="n">
        <f aca="false">BL148-BU148</f>
        <v>690</v>
      </c>
      <c r="BW148" s="30" t="n">
        <f aca="false">BR148+BS148-BT148-BU148</f>
        <v>0</v>
      </c>
      <c r="BX148" s="30" t="n">
        <f aca="false">CA147</f>
        <v>0</v>
      </c>
      <c r="BY148" s="30" t="n">
        <f aca="false">BX148*$BR$5/12</f>
        <v>0</v>
      </c>
      <c r="BZ148" s="30" t="n">
        <f aca="false">MIN($BR$6,BX148+BY148)</f>
        <v>0</v>
      </c>
      <c r="CA148" s="30" t="n">
        <f aca="false">BX148+BY148-BZ148</f>
        <v>0</v>
      </c>
      <c r="CB148" s="30" t="n">
        <f aca="false">CG147</f>
        <v>0</v>
      </c>
      <c r="CC148" s="30" t="n">
        <f aca="false">CB148*$CB$5/12</f>
        <v>0</v>
      </c>
      <c r="CD148" s="30" t="n">
        <f aca="false">MIN($CB$6,CB148+CC148)</f>
        <v>0</v>
      </c>
      <c r="CE148" s="30" t="n">
        <f aca="false">MAX(0,MIN(BV148,CB148+CC148-CD148))</f>
        <v>0</v>
      </c>
      <c r="CF148" s="29" t="n">
        <f aca="false">BV148-CE148</f>
        <v>690</v>
      </c>
      <c r="CG148" s="30" t="n">
        <f aca="false">CB148+CC148-CD148-CE148</f>
        <v>0</v>
      </c>
      <c r="CH148" s="30" t="n">
        <f aca="false">CK147</f>
        <v>0</v>
      </c>
      <c r="CI148" s="30" t="n">
        <f aca="false">CH148*$CB$5/12</f>
        <v>0</v>
      </c>
      <c r="CJ148" s="30" t="n">
        <f aca="false">MIN($CB$6,CH148+CI148)</f>
        <v>0</v>
      </c>
      <c r="CK148" s="30" t="n">
        <f aca="false">CH148+CI148-CJ148</f>
        <v>0</v>
      </c>
    </row>
    <row r="149" customFormat="false" ht="15" hidden="false" customHeight="false" outlineLevel="0" collapsed="false">
      <c r="A149" s="0" t="n">
        <v>141</v>
      </c>
      <c r="B149" s="29" t="n">
        <f aca="false">'1 Your debts'!$B$16-(L149+V149+AF149+AP149+AZ149+BJ149+BT149+CD149)</f>
        <v>690</v>
      </c>
      <c r="C149" s="34" t="n">
        <f aca="false">O149+Y149+AI149+AS149+BC149+BM149+BW149+CG149</f>
        <v>0</v>
      </c>
      <c r="D149" s="34" t="n">
        <f aca="false">K149+U149+AE149+AO149+AY149+BI149+BS149+CC149</f>
        <v>0</v>
      </c>
      <c r="F149" s="34" t="n">
        <f aca="false">S149+AC149+AM149+AW149+BG149+BQ149+CA149+CK149</f>
        <v>0</v>
      </c>
      <c r="G149" s="34" t="n">
        <f aca="false">Q149+AA149+AK149+AU149+BE149+BO149+BY149+CI149</f>
        <v>0</v>
      </c>
      <c r="J149" s="34" t="n">
        <f aca="false">O148</f>
        <v>0</v>
      </c>
      <c r="K149" s="34" t="n">
        <f aca="false">J149*$J$5/12</f>
        <v>0</v>
      </c>
      <c r="L149" s="29" t="n">
        <f aca="false">MIN($J$6,J149+K149)</f>
        <v>0</v>
      </c>
      <c r="M149" s="30" t="n">
        <f aca="false">MAX(0,MIN($B149,J149+K149-L149))</f>
        <v>0</v>
      </c>
      <c r="N149" s="29" t="n">
        <f aca="false">$B149-M149</f>
        <v>690</v>
      </c>
      <c r="O149" s="34" t="n">
        <f aca="false">J149+K149-L149-M149</f>
        <v>0</v>
      </c>
      <c r="P149" s="34" t="n">
        <f aca="false">S148</f>
        <v>0</v>
      </c>
      <c r="Q149" s="34" t="n">
        <f aca="false">P149*$J$5/12</f>
        <v>0</v>
      </c>
      <c r="R149" s="29" t="n">
        <f aca="false">MIN($J$6,P149+Q149)</f>
        <v>0</v>
      </c>
      <c r="S149" s="34" t="n">
        <f aca="false">P149+Q149-R149</f>
        <v>0</v>
      </c>
      <c r="T149" s="34" t="n">
        <f aca="false">Y148</f>
        <v>0</v>
      </c>
      <c r="U149" s="34" t="n">
        <f aca="false">T149*$T$5/12</f>
        <v>0</v>
      </c>
      <c r="V149" s="29" t="n">
        <f aca="false">MIN($T$6,T149+U149)</f>
        <v>0</v>
      </c>
      <c r="W149" s="30" t="n">
        <f aca="false">MAX(0,MIN(N149,T149+U149-V149))</f>
        <v>0</v>
      </c>
      <c r="X149" s="29" t="n">
        <f aca="false">N149-W149</f>
        <v>690</v>
      </c>
      <c r="Y149" s="34" t="n">
        <f aca="false">T149+U149-V149-W149</f>
        <v>0</v>
      </c>
      <c r="Z149" s="34" t="n">
        <f aca="false">AC148</f>
        <v>0</v>
      </c>
      <c r="AA149" s="34" t="n">
        <f aca="false">Z149*$T$5/12</f>
        <v>0</v>
      </c>
      <c r="AB149" s="29" t="n">
        <f aca="false">MIN($T$6,Z149+AA149)</f>
        <v>0</v>
      </c>
      <c r="AC149" s="34" t="n">
        <f aca="false">Z149+AA149-AB149</f>
        <v>0</v>
      </c>
      <c r="AD149" s="34" t="n">
        <f aca="false">AI148</f>
        <v>0</v>
      </c>
      <c r="AE149" s="34" t="n">
        <f aca="false">AD149*$AD$5/12</f>
        <v>0</v>
      </c>
      <c r="AF149" s="29" t="n">
        <f aca="false">MIN($AD$6,AD149+AE149)</f>
        <v>0</v>
      </c>
      <c r="AG149" s="30" t="n">
        <f aca="false">MAX(0,MIN(X149,AD149+AE149-AF149))</f>
        <v>0</v>
      </c>
      <c r="AH149" s="29" t="n">
        <f aca="false">X149-AG149</f>
        <v>690</v>
      </c>
      <c r="AI149" s="34" t="n">
        <f aca="false">AD149+AE149-AF149-AG149</f>
        <v>0</v>
      </c>
      <c r="AJ149" s="34" t="n">
        <f aca="false">AM148</f>
        <v>0</v>
      </c>
      <c r="AK149" s="34" t="n">
        <f aca="false">AJ149*$AD$5/12</f>
        <v>0</v>
      </c>
      <c r="AL149" s="29" t="n">
        <f aca="false">MIN($AD$6,AJ149+AK149)</f>
        <v>0</v>
      </c>
      <c r="AM149" s="34" t="n">
        <f aca="false">AJ149+AK149-AL149</f>
        <v>0</v>
      </c>
      <c r="AN149" s="34" t="n">
        <f aca="false">AS148</f>
        <v>0</v>
      </c>
      <c r="AO149" s="34" t="n">
        <f aca="false">AN149*$AN$5/12</f>
        <v>0</v>
      </c>
      <c r="AP149" s="29" t="n">
        <f aca="false">MIN($AN$6,AN149+AO149)</f>
        <v>0</v>
      </c>
      <c r="AQ149" s="30" t="n">
        <f aca="false">MAX(0,MIN(AH149,AN149+AO149-AP149))</f>
        <v>0</v>
      </c>
      <c r="AR149" s="29" t="n">
        <f aca="false">AH149-AQ149</f>
        <v>690</v>
      </c>
      <c r="AS149" s="34" t="n">
        <f aca="false">AN149+AO149-AP149-AQ149</f>
        <v>0</v>
      </c>
      <c r="AT149" s="34" t="n">
        <f aca="false">AW148</f>
        <v>0</v>
      </c>
      <c r="AU149" s="34" t="n">
        <f aca="false">AT149*$AN$5/12</f>
        <v>0</v>
      </c>
      <c r="AV149" s="29" t="n">
        <f aca="false">MIN($AN$6,AT149+AU149)</f>
        <v>0</v>
      </c>
      <c r="AW149" s="34" t="n">
        <f aca="false">AT149+AU149-AV149</f>
        <v>0</v>
      </c>
      <c r="AX149" s="30" t="n">
        <f aca="false">BC148</f>
        <v>0</v>
      </c>
      <c r="AY149" s="30" t="n">
        <f aca="false">AX149*$AX$5/12</f>
        <v>0</v>
      </c>
      <c r="AZ149" s="30" t="n">
        <f aca="false">MIN($AX$6,AX149+AY149)</f>
        <v>0</v>
      </c>
      <c r="BA149" s="30" t="n">
        <f aca="false">MAX(0,MIN(AR149,AX149+AY149-AZ149))</f>
        <v>0</v>
      </c>
      <c r="BB149" s="29" t="n">
        <f aca="false">AR149-BA149</f>
        <v>690</v>
      </c>
      <c r="BC149" s="30" t="n">
        <f aca="false">AX149+AY149-AZ149-BA149</f>
        <v>0</v>
      </c>
      <c r="BD149" s="30" t="n">
        <f aca="false">BG148</f>
        <v>0</v>
      </c>
      <c r="BE149" s="30" t="n">
        <f aca="false">BD149*$AX$5/12</f>
        <v>0</v>
      </c>
      <c r="BF149" s="30" t="n">
        <f aca="false">MIN($AX$6,BD149+BE149)</f>
        <v>0</v>
      </c>
      <c r="BG149" s="30" t="n">
        <f aca="false">BD149+BE149-BF149</f>
        <v>0</v>
      </c>
      <c r="BH149" s="30" t="n">
        <f aca="false">BM148</f>
        <v>0</v>
      </c>
      <c r="BI149" s="30" t="n">
        <f aca="false">BH149*$BH$5/12</f>
        <v>0</v>
      </c>
      <c r="BJ149" s="30" t="n">
        <f aca="false">MIN($BH$6,BH149+BI149)</f>
        <v>0</v>
      </c>
      <c r="BK149" s="30" t="n">
        <f aca="false">MAX(0,MIN(BB149,BH149+BI149-BJ149))</f>
        <v>0</v>
      </c>
      <c r="BL149" s="29" t="n">
        <f aca="false">BB149-BK149</f>
        <v>690</v>
      </c>
      <c r="BM149" s="30" t="n">
        <f aca="false">BH149+BI149-BJ149-BK149</f>
        <v>0</v>
      </c>
      <c r="BN149" s="30" t="n">
        <f aca="false">BQ148</f>
        <v>0</v>
      </c>
      <c r="BO149" s="30" t="n">
        <f aca="false">BN149*$BH$5/12</f>
        <v>0</v>
      </c>
      <c r="BP149" s="30" t="n">
        <f aca="false">MIN($BH$6,BN149+BO149)</f>
        <v>0</v>
      </c>
      <c r="BQ149" s="30" t="n">
        <f aca="false">BN149+BO149-BP149</f>
        <v>0</v>
      </c>
      <c r="BR149" s="30" t="n">
        <f aca="false">BW148</f>
        <v>0</v>
      </c>
      <c r="BS149" s="30" t="n">
        <f aca="false">BR149*$BR$5/12</f>
        <v>0</v>
      </c>
      <c r="BT149" s="30" t="n">
        <f aca="false">MIN($BR$6,BR149+BS149)</f>
        <v>0</v>
      </c>
      <c r="BU149" s="30" t="n">
        <f aca="false">MAX(0,MIN(BL149,BR149+BS149-BT149))</f>
        <v>0</v>
      </c>
      <c r="BV149" s="29" t="n">
        <f aca="false">BL149-BU149</f>
        <v>690</v>
      </c>
      <c r="BW149" s="30" t="n">
        <f aca="false">BR149+BS149-BT149-BU149</f>
        <v>0</v>
      </c>
      <c r="BX149" s="30" t="n">
        <f aca="false">CA148</f>
        <v>0</v>
      </c>
      <c r="BY149" s="30" t="n">
        <f aca="false">BX149*$BR$5/12</f>
        <v>0</v>
      </c>
      <c r="BZ149" s="30" t="n">
        <f aca="false">MIN($BR$6,BX149+BY149)</f>
        <v>0</v>
      </c>
      <c r="CA149" s="30" t="n">
        <f aca="false">BX149+BY149-BZ149</f>
        <v>0</v>
      </c>
      <c r="CB149" s="30" t="n">
        <f aca="false">CG148</f>
        <v>0</v>
      </c>
      <c r="CC149" s="30" t="n">
        <f aca="false">CB149*$CB$5/12</f>
        <v>0</v>
      </c>
      <c r="CD149" s="30" t="n">
        <f aca="false">MIN($CB$6,CB149+CC149)</f>
        <v>0</v>
      </c>
      <c r="CE149" s="30" t="n">
        <f aca="false">MAX(0,MIN(BV149,CB149+CC149-CD149))</f>
        <v>0</v>
      </c>
      <c r="CF149" s="29" t="n">
        <f aca="false">BV149-CE149</f>
        <v>690</v>
      </c>
      <c r="CG149" s="30" t="n">
        <f aca="false">CB149+CC149-CD149-CE149</f>
        <v>0</v>
      </c>
      <c r="CH149" s="30" t="n">
        <f aca="false">CK148</f>
        <v>0</v>
      </c>
      <c r="CI149" s="30" t="n">
        <f aca="false">CH149*$CB$5/12</f>
        <v>0</v>
      </c>
      <c r="CJ149" s="30" t="n">
        <f aca="false">MIN($CB$6,CH149+CI149)</f>
        <v>0</v>
      </c>
      <c r="CK149" s="30" t="n">
        <f aca="false">CH149+CI149-CJ149</f>
        <v>0</v>
      </c>
    </row>
    <row r="150" customFormat="false" ht="15" hidden="false" customHeight="false" outlineLevel="0" collapsed="false">
      <c r="A150" s="0" t="n">
        <v>142</v>
      </c>
      <c r="B150" s="29" t="n">
        <f aca="false">'1 Your debts'!$B$16-(L150+V150+AF150+AP150+AZ150+BJ150+BT150+CD150)</f>
        <v>690</v>
      </c>
      <c r="C150" s="34" t="n">
        <f aca="false">O150+Y150+AI150+AS150+BC150+BM150+BW150+CG150</f>
        <v>0</v>
      </c>
      <c r="D150" s="34" t="n">
        <f aca="false">K150+U150+AE150+AO150+AY150+BI150+BS150+CC150</f>
        <v>0</v>
      </c>
      <c r="F150" s="34" t="n">
        <f aca="false">S150+AC150+AM150+AW150+BG150+BQ150+CA150+CK150</f>
        <v>0</v>
      </c>
      <c r="G150" s="34" t="n">
        <f aca="false">Q150+AA150+AK150+AU150+BE150+BO150+BY150+CI150</f>
        <v>0</v>
      </c>
      <c r="J150" s="34" t="n">
        <f aca="false">O149</f>
        <v>0</v>
      </c>
      <c r="K150" s="34" t="n">
        <f aca="false">J150*$J$5/12</f>
        <v>0</v>
      </c>
      <c r="L150" s="29" t="n">
        <f aca="false">MIN($J$6,J150+K150)</f>
        <v>0</v>
      </c>
      <c r="M150" s="30" t="n">
        <f aca="false">MAX(0,MIN($B150,J150+K150-L150))</f>
        <v>0</v>
      </c>
      <c r="N150" s="29" t="n">
        <f aca="false">$B150-M150</f>
        <v>690</v>
      </c>
      <c r="O150" s="34" t="n">
        <f aca="false">J150+K150-L150-M150</f>
        <v>0</v>
      </c>
      <c r="P150" s="34" t="n">
        <f aca="false">S149</f>
        <v>0</v>
      </c>
      <c r="Q150" s="34" t="n">
        <f aca="false">P150*$J$5/12</f>
        <v>0</v>
      </c>
      <c r="R150" s="29" t="n">
        <f aca="false">MIN($J$6,P150+Q150)</f>
        <v>0</v>
      </c>
      <c r="S150" s="34" t="n">
        <f aca="false">P150+Q150-R150</f>
        <v>0</v>
      </c>
      <c r="T150" s="34" t="n">
        <f aca="false">Y149</f>
        <v>0</v>
      </c>
      <c r="U150" s="34" t="n">
        <f aca="false">T150*$T$5/12</f>
        <v>0</v>
      </c>
      <c r="V150" s="29" t="n">
        <f aca="false">MIN($T$6,T150+U150)</f>
        <v>0</v>
      </c>
      <c r="W150" s="30" t="n">
        <f aca="false">MAX(0,MIN(N150,T150+U150-V150))</f>
        <v>0</v>
      </c>
      <c r="X150" s="29" t="n">
        <f aca="false">N150-W150</f>
        <v>690</v>
      </c>
      <c r="Y150" s="34" t="n">
        <f aca="false">T150+U150-V150-W150</f>
        <v>0</v>
      </c>
      <c r="Z150" s="34" t="n">
        <f aca="false">AC149</f>
        <v>0</v>
      </c>
      <c r="AA150" s="34" t="n">
        <f aca="false">Z150*$T$5/12</f>
        <v>0</v>
      </c>
      <c r="AB150" s="29" t="n">
        <f aca="false">MIN($T$6,Z150+AA150)</f>
        <v>0</v>
      </c>
      <c r="AC150" s="34" t="n">
        <f aca="false">Z150+AA150-AB150</f>
        <v>0</v>
      </c>
      <c r="AD150" s="34" t="n">
        <f aca="false">AI149</f>
        <v>0</v>
      </c>
      <c r="AE150" s="34" t="n">
        <f aca="false">AD150*$AD$5/12</f>
        <v>0</v>
      </c>
      <c r="AF150" s="29" t="n">
        <f aca="false">MIN($AD$6,AD150+AE150)</f>
        <v>0</v>
      </c>
      <c r="AG150" s="30" t="n">
        <f aca="false">MAX(0,MIN(X150,AD150+AE150-AF150))</f>
        <v>0</v>
      </c>
      <c r="AH150" s="29" t="n">
        <f aca="false">X150-AG150</f>
        <v>690</v>
      </c>
      <c r="AI150" s="34" t="n">
        <f aca="false">AD150+AE150-AF150-AG150</f>
        <v>0</v>
      </c>
      <c r="AJ150" s="34" t="n">
        <f aca="false">AM149</f>
        <v>0</v>
      </c>
      <c r="AK150" s="34" t="n">
        <f aca="false">AJ150*$AD$5/12</f>
        <v>0</v>
      </c>
      <c r="AL150" s="29" t="n">
        <f aca="false">MIN($AD$6,AJ150+AK150)</f>
        <v>0</v>
      </c>
      <c r="AM150" s="34" t="n">
        <f aca="false">AJ150+AK150-AL150</f>
        <v>0</v>
      </c>
      <c r="AN150" s="34" t="n">
        <f aca="false">AS149</f>
        <v>0</v>
      </c>
      <c r="AO150" s="34" t="n">
        <f aca="false">AN150*$AN$5/12</f>
        <v>0</v>
      </c>
      <c r="AP150" s="29" t="n">
        <f aca="false">MIN($AN$6,AN150+AO150)</f>
        <v>0</v>
      </c>
      <c r="AQ150" s="30" t="n">
        <f aca="false">MAX(0,MIN(AH150,AN150+AO150-AP150))</f>
        <v>0</v>
      </c>
      <c r="AR150" s="29" t="n">
        <f aca="false">AH150-AQ150</f>
        <v>690</v>
      </c>
      <c r="AS150" s="34" t="n">
        <f aca="false">AN150+AO150-AP150-AQ150</f>
        <v>0</v>
      </c>
      <c r="AT150" s="34" t="n">
        <f aca="false">AW149</f>
        <v>0</v>
      </c>
      <c r="AU150" s="34" t="n">
        <f aca="false">AT150*$AN$5/12</f>
        <v>0</v>
      </c>
      <c r="AV150" s="29" t="n">
        <f aca="false">MIN($AN$6,AT150+AU150)</f>
        <v>0</v>
      </c>
      <c r="AW150" s="34" t="n">
        <f aca="false">AT150+AU150-AV150</f>
        <v>0</v>
      </c>
      <c r="AX150" s="30" t="n">
        <f aca="false">BC149</f>
        <v>0</v>
      </c>
      <c r="AY150" s="30" t="n">
        <f aca="false">AX150*$AX$5/12</f>
        <v>0</v>
      </c>
      <c r="AZ150" s="30" t="n">
        <f aca="false">MIN($AX$6,AX150+AY150)</f>
        <v>0</v>
      </c>
      <c r="BA150" s="30" t="n">
        <f aca="false">MAX(0,MIN(AR150,AX150+AY150-AZ150))</f>
        <v>0</v>
      </c>
      <c r="BB150" s="29" t="n">
        <f aca="false">AR150-BA150</f>
        <v>690</v>
      </c>
      <c r="BC150" s="30" t="n">
        <f aca="false">AX150+AY150-AZ150-BA150</f>
        <v>0</v>
      </c>
      <c r="BD150" s="30" t="n">
        <f aca="false">BG149</f>
        <v>0</v>
      </c>
      <c r="BE150" s="30" t="n">
        <f aca="false">BD150*$AX$5/12</f>
        <v>0</v>
      </c>
      <c r="BF150" s="30" t="n">
        <f aca="false">MIN($AX$6,BD150+BE150)</f>
        <v>0</v>
      </c>
      <c r="BG150" s="30" t="n">
        <f aca="false">BD150+BE150-BF150</f>
        <v>0</v>
      </c>
      <c r="BH150" s="30" t="n">
        <f aca="false">BM149</f>
        <v>0</v>
      </c>
      <c r="BI150" s="30" t="n">
        <f aca="false">BH150*$BH$5/12</f>
        <v>0</v>
      </c>
      <c r="BJ150" s="30" t="n">
        <f aca="false">MIN($BH$6,BH150+BI150)</f>
        <v>0</v>
      </c>
      <c r="BK150" s="30" t="n">
        <f aca="false">MAX(0,MIN(BB150,BH150+BI150-BJ150))</f>
        <v>0</v>
      </c>
      <c r="BL150" s="29" t="n">
        <f aca="false">BB150-BK150</f>
        <v>690</v>
      </c>
      <c r="BM150" s="30" t="n">
        <f aca="false">BH150+BI150-BJ150-BK150</f>
        <v>0</v>
      </c>
      <c r="BN150" s="30" t="n">
        <f aca="false">BQ149</f>
        <v>0</v>
      </c>
      <c r="BO150" s="30" t="n">
        <f aca="false">BN150*$BH$5/12</f>
        <v>0</v>
      </c>
      <c r="BP150" s="30" t="n">
        <f aca="false">MIN($BH$6,BN150+BO150)</f>
        <v>0</v>
      </c>
      <c r="BQ150" s="30" t="n">
        <f aca="false">BN150+BO150-BP150</f>
        <v>0</v>
      </c>
      <c r="BR150" s="30" t="n">
        <f aca="false">BW149</f>
        <v>0</v>
      </c>
      <c r="BS150" s="30" t="n">
        <f aca="false">BR150*$BR$5/12</f>
        <v>0</v>
      </c>
      <c r="BT150" s="30" t="n">
        <f aca="false">MIN($BR$6,BR150+BS150)</f>
        <v>0</v>
      </c>
      <c r="BU150" s="30" t="n">
        <f aca="false">MAX(0,MIN(BL150,BR150+BS150-BT150))</f>
        <v>0</v>
      </c>
      <c r="BV150" s="29" t="n">
        <f aca="false">BL150-BU150</f>
        <v>690</v>
      </c>
      <c r="BW150" s="30" t="n">
        <f aca="false">BR150+BS150-BT150-BU150</f>
        <v>0</v>
      </c>
      <c r="BX150" s="30" t="n">
        <f aca="false">CA149</f>
        <v>0</v>
      </c>
      <c r="BY150" s="30" t="n">
        <f aca="false">BX150*$BR$5/12</f>
        <v>0</v>
      </c>
      <c r="BZ150" s="30" t="n">
        <f aca="false">MIN($BR$6,BX150+BY150)</f>
        <v>0</v>
      </c>
      <c r="CA150" s="30" t="n">
        <f aca="false">BX150+BY150-BZ150</f>
        <v>0</v>
      </c>
      <c r="CB150" s="30" t="n">
        <f aca="false">CG149</f>
        <v>0</v>
      </c>
      <c r="CC150" s="30" t="n">
        <f aca="false">CB150*$CB$5/12</f>
        <v>0</v>
      </c>
      <c r="CD150" s="30" t="n">
        <f aca="false">MIN($CB$6,CB150+CC150)</f>
        <v>0</v>
      </c>
      <c r="CE150" s="30" t="n">
        <f aca="false">MAX(0,MIN(BV150,CB150+CC150-CD150))</f>
        <v>0</v>
      </c>
      <c r="CF150" s="29" t="n">
        <f aca="false">BV150-CE150</f>
        <v>690</v>
      </c>
      <c r="CG150" s="30" t="n">
        <f aca="false">CB150+CC150-CD150-CE150</f>
        <v>0</v>
      </c>
      <c r="CH150" s="30" t="n">
        <f aca="false">CK149</f>
        <v>0</v>
      </c>
      <c r="CI150" s="30" t="n">
        <f aca="false">CH150*$CB$5/12</f>
        <v>0</v>
      </c>
      <c r="CJ150" s="30" t="n">
        <f aca="false">MIN($CB$6,CH150+CI150)</f>
        <v>0</v>
      </c>
      <c r="CK150" s="30" t="n">
        <f aca="false">CH150+CI150-CJ150</f>
        <v>0</v>
      </c>
    </row>
    <row r="151" customFormat="false" ht="15" hidden="false" customHeight="false" outlineLevel="0" collapsed="false">
      <c r="A151" s="0" t="n">
        <v>143</v>
      </c>
      <c r="B151" s="29" t="n">
        <f aca="false">'1 Your debts'!$B$16-(L151+V151+AF151+AP151+AZ151+BJ151+BT151+CD151)</f>
        <v>690</v>
      </c>
      <c r="C151" s="34" t="n">
        <f aca="false">O151+Y151+AI151+AS151+BC151+BM151+BW151+CG151</f>
        <v>0</v>
      </c>
      <c r="D151" s="34" t="n">
        <f aca="false">K151+U151+AE151+AO151+AY151+BI151+BS151+CC151</f>
        <v>0</v>
      </c>
      <c r="F151" s="34" t="n">
        <f aca="false">S151+AC151+AM151+AW151+BG151+BQ151+CA151+CK151</f>
        <v>0</v>
      </c>
      <c r="G151" s="34" t="n">
        <f aca="false">Q151+AA151+AK151+AU151+BE151+BO151+BY151+CI151</f>
        <v>0</v>
      </c>
      <c r="J151" s="34" t="n">
        <f aca="false">O150</f>
        <v>0</v>
      </c>
      <c r="K151" s="34" t="n">
        <f aca="false">J151*$J$5/12</f>
        <v>0</v>
      </c>
      <c r="L151" s="29" t="n">
        <f aca="false">MIN($J$6,J151+K151)</f>
        <v>0</v>
      </c>
      <c r="M151" s="30" t="n">
        <f aca="false">MAX(0,MIN($B151,J151+K151-L151))</f>
        <v>0</v>
      </c>
      <c r="N151" s="29" t="n">
        <f aca="false">$B151-M151</f>
        <v>690</v>
      </c>
      <c r="O151" s="34" t="n">
        <f aca="false">J151+K151-L151-M151</f>
        <v>0</v>
      </c>
      <c r="P151" s="34" t="n">
        <f aca="false">S150</f>
        <v>0</v>
      </c>
      <c r="Q151" s="34" t="n">
        <f aca="false">P151*$J$5/12</f>
        <v>0</v>
      </c>
      <c r="R151" s="29" t="n">
        <f aca="false">MIN($J$6,P151+Q151)</f>
        <v>0</v>
      </c>
      <c r="S151" s="34" t="n">
        <f aca="false">P151+Q151-R151</f>
        <v>0</v>
      </c>
      <c r="T151" s="34" t="n">
        <f aca="false">Y150</f>
        <v>0</v>
      </c>
      <c r="U151" s="34" t="n">
        <f aca="false">T151*$T$5/12</f>
        <v>0</v>
      </c>
      <c r="V151" s="29" t="n">
        <f aca="false">MIN($T$6,T151+U151)</f>
        <v>0</v>
      </c>
      <c r="W151" s="30" t="n">
        <f aca="false">MAX(0,MIN(N151,T151+U151-V151))</f>
        <v>0</v>
      </c>
      <c r="X151" s="29" t="n">
        <f aca="false">N151-W151</f>
        <v>690</v>
      </c>
      <c r="Y151" s="34" t="n">
        <f aca="false">T151+U151-V151-W151</f>
        <v>0</v>
      </c>
      <c r="Z151" s="34" t="n">
        <f aca="false">AC150</f>
        <v>0</v>
      </c>
      <c r="AA151" s="34" t="n">
        <f aca="false">Z151*$T$5/12</f>
        <v>0</v>
      </c>
      <c r="AB151" s="29" t="n">
        <f aca="false">MIN($T$6,Z151+AA151)</f>
        <v>0</v>
      </c>
      <c r="AC151" s="34" t="n">
        <f aca="false">Z151+AA151-AB151</f>
        <v>0</v>
      </c>
      <c r="AD151" s="34" t="n">
        <f aca="false">AI150</f>
        <v>0</v>
      </c>
      <c r="AE151" s="34" t="n">
        <f aca="false">AD151*$AD$5/12</f>
        <v>0</v>
      </c>
      <c r="AF151" s="29" t="n">
        <f aca="false">MIN($AD$6,AD151+AE151)</f>
        <v>0</v>
      </c>
      <c r="AG151" s="30" t="n">
        <f aca="false">MAX(0,MIN(X151,AD151+AE151-AF151))</f>
        <v>0</v>
      </c>
      <c r="AH151" s="29" t="n">
        <f aca="false">X151-AG151</f>
        <v>690</v>
      </c>
      <c r="AI151" s="34" t="n">
        <f aca="false">AD151+AE151-AF151-AG151</f>
        <v>0</v>
      </c>
      <c r="AJ151" s="34" t="n">
        <f aca="false">AM150</f>
        <v>0</v>
      </c>
      <c r="AK151" s="34" t="n">
        <f aca="false">AJ151*$AD$5/12</f>
        <v>0</v>
      </c>
      <c r="AL151" s="29" t="n">
        <f aca="false">MIN($AD$6,AJ151+AK151)</f>
        <v>0</v>
      </c>
      <c r="AM151" s="34" t="n">
        <f aca="false">AJ151+AK151-AL151</f>
        <v>0</v>
      </c>
      <c r="AN151" s="34" t="n">
        <f aca="false">AS150</f>
        <v>0</v>
      </c>
      <c r="AO151" s="34" t="n">
        <f aca="false">AN151*$AN$5/12</f>
        <v>0</v>
      </c>
      <c r="AP151" s="29" t="n">
        <f aca="false">MIN($AN$6,AN151+AO151)</f>
        <v>0</v>
      </c>
      <c r="AQ151" s="30" t="n">
        <f aca="false">MAX(0,MIN(AH151,AN151+AO151-AP151))</f>
        <v>0</v>
      </c>
      <c r="AR151" s="29" t="n">
        <f aca="false">AH151-AQ151</f>
        <v>690</v>
      </c>
      <c r="AS151" s="34" t="n">
        <f aca="false">AN151+AO151-AP151-AQ151</f>
        <v>0</v>
      </c>
      <c r="AT151" s="34" t="n">
        <f aca="false">AW150</f>
        <v>0</v>
      </c>
      <c r="AU151" s="34" t="n">
        <f aca="false">AT151*$AN$5/12</f>
        <v>0</v>
      </c>
      <c r="AV151" s="29" t="n">
        <f aca="false">MIN($AN$6,AT151+AU151)</f>
        <v>0</v>
      </c>
      <c r="AW151" s="34" t="n">
        <f aca="false">AT151+AU151-AV151</f>
        <v>0</v>
      </c>
      <c r="AX151" s="30" t="n">
        <f aca="false">BC150</f>
        <v>0</v>
      </c>
      <c r="AY151" s="30" t="n">
        <f aca="false">AX151*$AX$5/12</f>
        <v>0</v>
      </c>
      <c r="AZ151" s="30" t="n">
        <f aca="false">MIN($AX$6,AX151+AY151)</f>
        <v>0</v>
      </c>
      <c r="BA151" s="30" t="n">
        <f aca="false">MAX(0,MIN(AR151,AX151+AY151-AZ151))</f>
        <v>0</v>
      </c>
      <c r="BB151" s="29" t="n">
        <f aca="false">AR151-BA151</f>
        <v>690</v>
      </c>
      <c r="BC151" s="30" t="n">
        <f aca="false">AX151+AY151-AZ151-BA151</f>
        <v>0</v>
      </c>
      <c r="BD151" s="30" t="n">
        <f aca="false">BG150</f>
        <v>0</v>
      </c>
      <c r="BE151" s="30" t="n">
        <f aca="false">BD151*$AX$5/12</f>
        <v>0</v>
      </c>
      <c r="BF151" s="30" t="n">
        <f aca="false">MIN($AX$6,BD151+BE151)</f>
        <v>0</v>
      </c>
      <c r="BG151" s="30" t="n">
        <f aca="false">BD151+BE151-BF151</f>
        <v>0</v>
      </c>
      <c r="BH151" s="30" t="n">
        <f aca="false">BM150</f>
        <v>0</v>
      </c>
      <c r="BI151" s="30" t="n">
        <f aca="false">BH151*$BH$5/12</f>
        <v>0</v>
      </c>
      <c r="BJ151" s="30" t="n">
        <f aca="false">MIN($BH$6,BH151+BI151)</f>
        <v>0</v>
      </c>
      <c r="BK151" s="30" t="n">
        <f aca="false">MAX(0,MIN(BB151,BH151+BI151-BJ151))</f>
        <v>0</v>
      </c>
      <c r="BL151" s="29" t="n">
        <f aca="false">BB151-BK151</f>
        <v>690</v>
      </c>
      <c r="BM151" s="30" t="n">
        <f aca="false">BH151+BI151-BJ151-BK151</f>
        <v>0</v>
      </c>
      <c r="BN151" s="30" t="n">
        <f aca="false">BQ150</f>
        <v>0</v>
      </c>
      <c r="BO151" s="30" t="n">
        <f aca="false">BN151*$BH$5/12</f>
        <v>0</v>
      </c>
      <c r="BP151" s="30" t="n">
        <f aca="false">MIN($BH$6,BN151+BO151)</f>
        <v>0</v>
      </c>
      <c r="BQ151" s="30" t="n">
        <f aca="false">BN151+BO151-BP151</f>
        <v>0</v>
      </c>
      <c r="BR151" s="30" t="n">
        <f aca="false">BW150</f>
        <v>0</v>
      </c>
      <c r="BS151" s="30" t="n">
        <f aca="false">BR151*$BR$5/12</f>
        <v>0</v>
      </c>
      <c r="BT151" s="30" t="n">
        <f aca="false">MIN($BR$6,BR151+BS151)</f>
        <v>0</v>
      </c>
      <c r="BU151" s="30" t="n">
        <f aca="false">MAX(0,MIN(BL151,BR151+BS151-BT151))</f>
        <v>0</v>
      </c>
      <c r="BV151" s="29" t="n">
        <f aca="false">BL151-BU151</f>
        <v>690</v>
      </c>
      <c r="BW151" s="30" t="n">
        <f aca="false">BR151+BS151-BT151-BU151</f>
        <v>0</v>
      </c>
      <c r="BX151" s="30" t="n">
        <f aca="false">CA150</f>
        <v>0</v>
      </c>
      <c r="BY151" s="30" t="n">
        <f aca="false">BX151*$BR$5/12</f>
        <v>0</v>
      </c>
      <c r="BZ151" s="30" t="n">
        <f aca="false">MIN($BR$6,BX151+BY151)</f>
        <v>0</v>
      </c>
      <c r="CA151" s="30" t="n">
        <f aca="false">BX151+BY151-BZ151</f>
        <v>0</v>
      </c>
      <c r="CB151" s="30" t="n">
        <f aca="false">CG150</f>
        <v>0</v>
      </c>
      <c r="CC151" s="30" t="n">
        <f aca="false">CB151*$CB$5/12</f>
        <v>0</v>
      </c>
      <c r="CD151" s="30" t="n">
        <f aca="false">MIN($CB$6,CB151+CC151)</f>
        <v>0</v>
      </c>
      <c r="CE151" s="30" t="n">
        <f aca="false">MAX(0,MIN(BV151,CB151+CC151-CD151))</f>
        <v>0</v>
      </c>
      <c r="CF151" s="29" t="n">
        <f aca="false">BV151-CE151</f>
        <v>690</v>
      </c>
      <c r="CG151" s="30" t="n">
        <f aca="false">CB151+CC151-CD151-CE151</f>
        <v>0</v>
      </c>
      <c r="CH151" s="30" t="n">
        <f aca="false">CK150</f>
        <v>0</v>
      </c>
      <c r="CI151" s="30" t="n">
        <f aca="false">CH151*$CB$5/12</f>
        <v>0</v>
      </c>
      <c r="CJ151" s="30" t="n">
        <f aca="false">MIN($CB$6,CH151+CI151)</f>
        <v>0</v>
      </c>
      <c r="CK151" s="30" t="n">
        <f aca="false">CH151+CI151-CJ151</f>
        <v>0</v>
      </c>
    </row>
    <row r="152" customFormat="false" ht="15" hidden="false" customHeight="false" outlineLevel="0" collapsed="false">
      <c r="A152" s="0" t="n">
        <v>144</v>
      </c>
      <c r="B152" s="29" t="n">
        <f aca="false">'1 Your debts'!$B$16-(L152+V152+AF152+AP152+AZ152+BJ152+BT152+CD152)</f>
        <v>690</v>
      </c>
      <c r="C152" s="34" t="n">
        <f aca="false">O152+Y152+AI152+AS152+BC152+BM152+BW152+CG152</f>
        <v>0</v>
      </c>
      <c r="D152" s="34" t="n">
        <f aca="false">K152+U152+AE152+AO152+AY152+BI152+BS152+CC152</f>
        <v>0</v>
      </c>
      <c r="F152" s="34" t="n">
        <f aca="false">S152+AC152+AM152+AW152+BG152+BQ152+CA152+CK152</f>
        <v>0</v>
      </c>
      <c r="G152" s="34" t="n">
        <f aca="false">Q152+AA152+AK152+AU152+BE152+BO152+BY152+CI152</f>
        <v>0</v>
      </c>
      <c r="J152" s="34" t="n">
        <f aca="false">O151</f>
        <v>0</v>
      </c>
      <c r="K152" s="34" t="n">
        <f aca="false">J152*$J$5/12</f>
        <v>0</v>
      </c>
      <c r="L152" s="29" t="n">
        <f aca="false">MIN($J$6,J152+K152)</f>
        <v>0</v>
      </c>
      <c r="M152" s="30" t="n">
        <f aca="false">MAX(0,MIN($B152,J152+K152-L152))</f>
        <v>0</v>
      </c>
      <c r="N152" s="29" t="n">
        <f aca="false">$B152-M152</f>
        <v>690</v>
      </c>
      <c r="O152" s="34" t="n">
        <f aca="false">J152+K152-L152-M152</f>
        <v>0</v>
      </c>
      <c r="P152" s="34" t="n">
        <f aca="false">S151</f>
        <v>0</v>
      </c>
      <c r="Q152" s="34" t="n">
        <f aca="false">P152*$J$5/12</f>
        <v>0</v>
      </c>
      <c r="R152" s="29" t="n">
        <f aca="false">MIN($J$6,P152+Q152)</f>
        <v>0</v>
      </c>
      <c r="S152" s="34" t="n">
        <f aca="false">P152+Q152-R152</f>
        <v>0</v>
      </c>
      <c r="T152" s="34" t="n">
        <f aca="false">Y151</f>
        <v>0</v>
      </c>
      <c r="U152" s="34" t="n">
        <f aca="false">T152*$T$5/12</f>
        <v>0</v>
      </c>
      <c r="V152" s="29" t="n">
        <f aca="false">MIN($T$6,T152+U152)</f>
        <v>0</v>
      </c>
      <c r="W152" s="30" t="n">
        <f aca="false">MAX(0,MIN(N152,T152+U152-V152))</f>
        <v>0</v>
      </c>
      <c r="X152" s="29" t="n">
        <f aca="false">N152-W152</f>
        <v>690</v>
      </c>
      <c r="Y152" s="34" t="n">
        <f aca="false">T152+U152-V152-W152</f>
        <v>0</v>
      </c>
      <c r="Z152" s="34" t="n">
        <f aca="false">AC151</f>
        <v>0</v>
      </c>
      <c r="AA152" s="34" t="n">
        <f aca="false">Z152*$T$5/12</f>
        <v>0</v>
      </c>
      <c r="AB152" s="29" t="n">
        <f aca="false">MIN($T$6,Z152+AA152)</f>
        <v>0</v>
      </c>
      <c r="AC152" s="34" t="n">
        <f aca="false">Z152+AA152-AB152</f>
        <v>0</v>
      </c>
      <c r="AD152" s="34" t="n">
        <f aca="false">AI151</f>
        <v>0</v>
      </c>
      <c r="AE152" s="34" t="n">
        <f aca="false">AD152*$AD$5/12</f>
        <v>0</v>
      </c>
      <c r="AF152" s="29" t="n">
        <f aca="false">MIN($AD$6,AD152+AE152)</f>
        <v>0</v>
      </c>
      <c r="AG152" s="30" t="n">
        <f aca="false">MAX(0,MIN(X152,AD152+AE152-AF152))</f>
        <v>0</v>
      </c>
      <c r="AH152" s="29" t="n">
        <f aca="false">X152-AG152</f>
        <v>690</v>
      </c>
      <c r="AI152" s="34" t="n">
        <f aca="false">AD152+AE152-AF152-AG152</f>
        <v>0</v>
      </c>
      <c r="AJ152" s="34" t="n">
        <f aca="false">AM151</f>
        <v>0</v>
      </c>
      <c r="AK152" s="34" t="n">
        <f aca="false">AJ152*$AD$5/12</f>
        <v>0</v>
      </c>
      <c r="AL152" s="29" t="n">
        <f aca="false">MIN($AD$6,AJ152+AK152)</f>
        <v>0</v>
      </c>
      <c r="AM152" s="34" t="n">
        <f aca="false">AJ152+AK152-AL152</f>
        <v>0</v>
      </c>
      <c r="AN152" s="34" t="n">
        <f aca="false">AS151</f>
        <v>0</v>
      </c>
      <c r="AO152" s="34" t="n">
        <f aca="false">AN152*$AN$5/12</f>
        <v>0</v>
      </c>
      <c r="AP152" s="29" t="n">
        <f aca="false">MIN($AN$6,AN152+AO152)</f>
        <v>0</v>
      </c>
      <c r="AQ152" s="30" t="n">
        <f aca="false">MAX(0,MIN(AH152,AN152+AO152-AP152))</f>
        <v>0</v>
      </c>
      <c r="AR152" s="29" t="n">
        <f aca="false">AH152-AQ152</f>
        <v>690</v>
      </c>
      <c r="AS152" s="34" t="n">
        <f aca="false">AN152+AO152-AP152-AQ152</f>
        <v>0</v>
      </c>
      <c r="AT152" s="34" t="n">
        <f aca="false">AW151</f>
        <v>0</v>
      </c>
      <c r="AU152" s="34" t="n">
        <f aca="false">AT152*$AN$5/12</f>
        <v>0</v>
      </c>
      <c r="AV152" s="29" t="n">
        <f aca="false">MIN($AN$6,AT152+AU152)</f>
        <v>0</v>
      </c>
      <c r="AW152" s="34" t="n">
        <f aca="false">AT152+AU152-AV152</f>
        <v>0</v>
      </c>
      <c r="AX152" s="30" t="n">
        <f aca="false">BC151</f>
        <v>0</v>
      </c>
      <c r="AY152" s="30" t="n">
        <f aca="false">AX152*$AX$5/12</f>
        <v>0</v>
      </c>
      <c r="AZ152" s="30" t="n">
        <f aca="false">MIN($AX$6,AX152+AY152)</f>
        <v>0</v>
      </c>
      <c r="BA152" s="30" t="n">
        <f aca="false">MAX(0,MIN(AR152,AX152+AY152-AZ152))</f>
        <v>0</v>
      </c>
      <c r="BB152" s="29" t="n">
        <f aca="false">AR152-BA152</f>
        <v>690</v>
      </c>
      <c r="BC152" s="30" t="n">
        <f aca="false">AX152+AY152-AZ152-BA152</f>
        <v>0</v>
      </c>
      <c r="BD152" s="30" t="n">
        <f aca="false">BG151</f>
        <v>0</v>
      </c>
      <c r="BE152" s="30" t="n">
        <f aca="false">BD152*$AX$5/12</f>
        <v>0</v>
      </c>
      <c r="BF152" s="30" t="n">
        <f aca="false">MIN($AX$6,BD152+BE152)</f>
        <v>0</v>
      </c>
      <c r="BG152" s="30" t="n">
        <f aca="false">BD152+BE152-BF152</f>
        <v>0</v>
      </c>
      <c r="BH152" s="30" t="n">
        <f aca="false">BM151</f>
        <v>0</v>
      </c>
      <c r="BI152" s="30" t="n">
        <f aca="false">BH152*$BH$5/12</f>
        <v>0</v>
      </c>
      <c r="BJ152" s="30" t="n">
        <f aca="false">MIN($BH$6,BH152+BI152)</f>
        <v>0</v>
      </c>
      <c r="BK152" s="30" t="n">
        <f aca="false">MAX(0,MIN(BB152,BH152+BI152-BJ152))</f>
        <v>0</v>
      </c>
      <c r="BL152" s="29" t="n">
        <f aca="false">BB152-BK152</f>
        <v>690</v>
      </c>
      <c r="BM152" s="30" t="n">
        <f aca="false">BH152+BI152-BJ152-BK152</f>
        <v>0</v>
      </c>
      <c r="BN152" s="30" t="n">
        <f aca="false">BQ151</f>
        <v>0</v>
      </c>
      <c r="BO152" s="30" t="n">
        <f aca="false">BN152*$BH$5/12</f>
        <v>0</v>
      </c>
      <c r="BP152" s="30" t="n">
        <f aca="false">MIN($BH$6,BN152+BO152)</f>
        <v>0</v>
      </c>
      <c r="BQ152" s="30" t="n">
        <f aca="false">BN152+BO152-BP152</f>
        <v>0</v>
      </c>
      <c r="BR152" s="30" t="n">
        <f aca="false">BW151</f>
        <v>0</v>
      </c>
      <c r="BS152" s="30" t="n">
        <f aca="false">BR152*$BR$5/12</f>
        <v>0</v>
      </c>
      <c r="BT152" s="30" t="n">
        <f aca="false">MIN($BR$6,BR152+BS152)</f>
        <v>0</v>
      </c>
      <c r="BU152" s="30" t="n">
        <f aca="false">MAX(0,MIN(BL152,BR152+BS152-BT152))</f>
        <v>0</v>
      </c>
      <c r="BV152" s="29" t="n">
        <f aca="false">BL152-BU152</f>
        <v>690</v>
      </c>
      <c r="BW152" s="30" t="n">
        <f aca="false">BR152+BS152-BT152-BU152</f>
        <v>0</v>
      </c>
      <c r="BX152" s="30" t="n">
        <f aca="false">CA151</f>
        <v>0</v>
      </c>
      <c r="BY152" s="30" t="n">
        <f aca="false">BX152*$BR$5/12</f>
        <v>0</v>
      </c>
      <c r="BZ152" s="30" t="n">
        <f aca="false">MIN($BR$6,BX152+BY152)</f>
        <v>0</v>
      </c>
      <c r="CA152" s="30" t="n">
        <f aca="false">BX152+BY152-BZ152</f>
        <v>0</v>
      </c>
      <c r="CB152" s="30" t="n">
        <f aca="false">CG151</f>
        <v>0</v>
      </c>
      <c r="CC152" s="30" t="n">
        <f aca="false">CB152*$CB$5/12</f>
        <v>0</v>
      </c>
      <c r="CD152" s="30" t="n">
        <f aca="false">MIN($CB$6,CB152+CC152)</f>
        <v>0</v>
      </c>
      <c r="CE152" s="30" t="n">
        <f aca="false">MAX(0,MIN(BV152,CB152+CC152-CD152))</f>
        <v>0</v>
      </c>
      <c r="CF152" s="29" t="n">
        <f aca="false">BV152-CE152</f>
        <v>690</v>
      </c>
      <c r="CG152" s="30" t="n">
        <f aca="false">CB152+CC152-CD152-CE152</f>
        <v>0</v>
      </c>
      <c r="CH152" s="30" t="n">
        <f aca="false">CK151</f>
        <v>0</v>
      </c>
      <c r="CI152" s="30" t="n">
        <f aca="false">CH152*$CB$5/12</f>
        <v>0</v>
      </c>
      <c r="CJ152" s="30" t="n">
        <f aca="false">MIN($CB$6,CH152+CI152)</f>
        <v>0</v>
      </c>
      <c r="CK152" s="30" t="n">
        <f aca="false">CH152+CI152-CJ152</f>
        <v>0</v>
      </c>
    </row>
    <row r="153" customFormat="false" ht="15" hidden="false" customHeight="false" outlineLevel="0" collapsed="false">
      <c r="A153" s="0" t="n">
        <v>145</v>
      </c>
      <c r="B153" s="29" t="n">
        <f aca="false">'1 Your debts'!$B$16-(L153+V153+AF153+AP153+AZ153+BJ153+BT153+CD153)</f>
        <v>690</v>
      </c>
      <c r="C153" s="34" t="n">
        <f aca="false">O153+Y153+AI153+AS153+BC153+BM153+BW153+CG153</f>
        <v>0</v>
      </c>
      <c r="D153" s="34" t="n">
        <f aca="false">K153+U153+AE153+AO153+AY153+BI153+BS153+CC153</f>
        <v>0</v>
      </c>
      <c r="F153" s="34" t="n">
        <f aca="false">S153+AC153+AM153+AW153+BG153+BQ153+CA153+CK153</f>
        <v>0</v>
      </c>
      <c r="G153" s="34" t="n">
        <f aca="false">Q153+AA153+AK153+AU153+BE153+BO153+BY153+CI153</f>
        <v>0</v>
      </c>
      <c r="J153" s="34" t="n">
        <f aca="false">O152</f>
        <v>0</v>
      </c>
      <c r="K153" s="34" t="n">
        <f aca="false">J153*$J$5/12</f>
        <v>0</v>
      </c>
      <c r="L153" s="29" t="n">
        <f aca="false">MIN($J$6,J153+K153)</f>
        <v>0</v>
      </c>
      <c r="M153" s="30" t="n">
        <f aca="false">MAX(0,MIN($B153,J153+K153-L153))</f>
        <v>0</v>
      </c>
      <c r="N153" s="29" t="n">
        <f aca="false">$B153-M153</f>
        <v>690</v>
      </c>
      <c r="O153" s="34" t="n">
        <f aca="false">J153+K153-L153-M153</f>
        <v>0</v>
      </c>
      <c r="P153" s="34" t="n">
        <f aca="false">S152</f>
        <v>0</v>
      </c>
      <c r="Q153" s="34" t="n">
        <f aca="false">P153*$J$5/12</f>
        <v>0</v>
      </c>
      <c r="R153" s="29" t="n">
        <f aca="false">MIN($J$6,P153+Q153)</f>
        <v>0</v>
      </c>
      <c r="S153" s="34" t="n">
        <f aca="false">P153+Q153-R153</f>
        <v>0</v>
      </c>
      <c r="T153" s="34" t="n">
        <f aca="false">Y152</f>
        <v>0</v>
      </c>
      <c r="U153" s="34" t="n">
        <f aca="false">T153*$T$5/12</f>
        <v>0</v>
      </c>
      <c r="V153" s="29" t="n">
        <f aca="false">MIN($T$6,T153+U153)</f>
        <v>0</v>
      </c>
      <c r="W153" s="30" t="n">
        <f aca="false">MAX(0,MIN(N153,T153+U153-V153))</f>
        <v>0</v>
      </c>
      <c r="X153" s="29" t="n">
        <f aca="false">N153-W153</f>
        <v>690</v>
      </c>
      <c r="Y153" s="34" t="n">
        <f aca="false">T153+U153-V153-W153</f>
        <v>0</v>
      </c>
      <c r="Z153" s="34" t="n">
        <f aca="false">AC152</f>
        <v>0</v>
      </c>
      <c r="AA153" s="34" t="n">
        <f aca="false">Z153*$T$5/12</f>
        <v>0</v>
      </c>
      <c r="AB153" s="29" t="n">
        <f aca="false">MIN($T$6,Z153+AA153)</f>
        <v>0</v>
      </c>
      <c r="AC153" s="34" t="n">
        <f aca="false">Z153+AA153-AB153</f>
        <v>0</v>
      </c>
      <c r="AD153" s="34" t="n">
        <f aca="false">AI152</f>
        <v>0</v>
      </c>
      <c r="AE153" s="34" t="n">
        <f aca="false">AD153*$AD$5/12</f>
        <v>0</v>
      </c>
      <c r="AF153" s="29" t="n">
        <f aca="false">MIN($AD$6,AD153+AE153)</f>
        <v>0</v>
      </c>
      <c r="AG153" s="30" t="n">
        <f aca="false">MAX(0,MIN(X153,AD153+AE153-AF153))</f>
        <v>0</v>
      </c>
      <c r="AH153" s="29" t="n">
        <f aca="false">X153-AG153</f>
        <v>690</v>
      </c>
      <c r="AI153" s="34" t="n">
        <f aca="false">AD153+AE153-AF153-AG153</f>
        <v>0</v>
      </c>
      <c r="AJ153" s="34" t="n">
        <f aca="false">AM152</f>
        <v>0</v>
      </c>
      <c r="AK153" s="34" t="n">
        <f aca="false">AJ153*$AD$5/12</f>
        <v>0</v>
      </c>
      <c r="AL153" s="29" t="n">
        <f aca="false">MIN($AD$6,AJ153+AK153)</f>
        <v>0</v>
      </c>
      <c r="AM153" s="34" t="n">
        <f aca="false">AJ153+AK153-AL153</f>
        <v>0</v>
      </c>
      <c r="AN153" s="34" t="n">
        <f aca="false">AS152</f>
        <v>0</v>
      </c>
      <c r="AO153" s="34" t="n">
        <f aca="false">AN153*$AN$5/12</f>
        <v>0</v>
      </c>
      <c r="AP153" s="29" t="n">
        <f aca="false">MIN($AN$6,AN153+AO153)</f>
        <v>0</v>
      </c>
      <c r="AQ153" s="30" t="n">
        <f aca="false">MAX(0,MIN(AH153,AN153+AO153-AP153))</f>
        <v>0</v>
      </c>
      <c r="AR153" s="29" t="n">
        <f aca="false">AH153-AQ153</f>
        <v>690</v>
      </c>
      <c r="AS153" s="34" t="n">
        <f aca="false">AN153+AO153-AP153-AQ153</f>
        <v>0</v>
      </c>
      <c r="AT153" s="34" t="n">
        <f aca="false">AW152</f>
        <v>0</v>
      </c>
      <c r="AU153" s="34" t="n">
        <f aca="false">AT153*$AN$5/12</f>
        <v>0</v>
      </c>
      <c r="AV153" s="29" t="n">
        <f aca="false">MIN($AN$6,AT153+AU153)</f>
        <v>0</v>
      </c>
      <c r="AW153" s="34" t="n">
        <f aca="false">AT153+AU153-AV153</f>
        <v>0</v>
      </c>
      <c r="AX153" s="30" t="n">
        <f aca="false">BC152</f>
        <v>0</v>
      </c>
      <c r="AY153" s="30" t="n">
        <f aca="false">AX153*$AX$5/12</f>
        <v>0</v>
      </c>
      <c r="AZ153" s="30" t="n">
        <f aca="false">MIN($AX$6,AX153+AY153)</f>
        <v>0</v>
      </c>
      <c r="BA153" s="30" t="n">
        <f aca="false">MAX(0,MIN(AR153,AX153+AY153-AZ153))</f>
        <v>0</v>
      </c>
      <c r="BB153" s="29" t="n">
        <f aca="false">AR153-BA153</f>
        <v>690</v>
      </c>
      <c r="BC153" s="30" t="n">
        <f aca="false">AX153+AY153-AZ153-BA153</f>
        <v>0</v>
      </c>
      <c r="BD153" s="30" t="n">
        <f aca="false">BG152</f>
        <v>0</v>
      </c>
      <c r="BE153" s="30" t="n">
        <f aca="false">BD153*$AX$5/12</f>
        <v>0</v>
      </c>
      <c r="BF153" s="30" t="n">
        <f aca="false">MIN($AX$6,BD153+BE153)</f>
        <v>0</v>
      </c>
      <c r="BG153" s="30" t="n">
        <f aca="false">BD153+BE153-BF153</f>
        <v>0</v>
      </c>
      <c r="BH153" s="30" t="n">
        <f aca="false">BM152</f>
        <v>0</v>
      </c>
      <c r="BI153" s="30" t="n">
        <f aca="false">BH153*$BH$5/12</f>
        <v>0</v>
      </c>
      <c r="BJ153" s="30" t="n">
        <f aca="false">MIN($BH$6,BH153+BI153)</f>
        <v>0</v>
      </c>
      <c r="BK153" s="30" t="n">
        <f aca="false">MAX(0,MIN(BB153,BH153+BI153-BJ153))</f>
        <v>0</v>
      </c>
      <c r="BL153" s="29" t="n">
        <f aca="false">BB153-BK153</f>
        <v>690</v>
      </c>
      <c r="BM153" s="30" t="n">
        <f aca="false">BH153+BI153-BJ153-BK153</f>
        <v>0</v>
      </c>
      <c r="BN153" s="30" t="n">
        <f aca="false">BQ152</f>
        <v>0</v>
      </c>
      <c r="BO153" s="30" t="n">
        <f aca="false">BN153*$BH$5/12</f>
        <v>0</v>
      </c>
      <c r="BP153" s="30" t="n">
        <f aca="false">MIN($BH$6,BN153+BO153)</f>
        <v>0</v>
      </c>
      <c r="BQ153" s="30" t="n">
        <f aca="false">BN153+BO153-BP153</f>
        <v>0</v>
      </c>
      <c r="BR153" s="30" t="n">
        <f aca="false">BW152</f>
        <v>0</v>
      </c>
      <c r="BS153" s="30" t="n">
        <f aca="false">BR153*$BR$5/12</f>
        <v>0</v>
      </c>
      <c r="BT153" s="30" t="n">
        <f aca="false">MIN($BR$6,BR153+BS153)</f>
        <v>0</v>
      </c>
      <c r="BU153" s="30" t="n">
        <f aca="false">MAX(0,MIN(BL153,BR153+BS153-BT153))</f>
        <v>0</v>
      </c>
      <c r="BV153" s="29" t="n">
        <f aca="false">BL153-BU153</f>
        <v>690</v>
      </c>
      <c r="BW153" s="30" t="n">
        <f aca="false">BR153+BS153-BT153-BU153</f>
        <v>0</v>
      </c>
      <c r="BX153" s="30" t="n">
        <f aca="false">CA152</f>
        <v>0</v>
      </c>
      <c r="BY153" s="30" t="n">
        <f aca="false">BX153*$BR$5/12</f>
        <v>0</v>
      </c>
      <c r="BZ153" s="30" t="n">
        <f aca="false">MIN($BR$6,BX153+BY153)</f>
        <v>0</v>
      </c>
      <c r="CA153" s="30" t="n">
        <f aca="false">BX153+BY153-BZ153</f>
        <v>0</v>
      </c>
      <c r="CB153" s="30" t="n">
        <f aca="false">CG152</f>
        <v>0</v>
      </c>
      <c r="CC153" s="30" t="n">
        <f aca="false">CB153*$CB$5/12</f>
        <v>0</v>
      </c>
      <c r="CD153" s="30" t="n">
        <f aca="false">MIN($CB$6,CB153+CC153)</f>
        <v>0</v>
      </c>
      <c r="CE153" s="30" t="n">
        <f aca="false">MAX(0,MIN(BV153,CB153+CC153-CD153))</f>
        <v>0</v>
      </c>
      <c r="CF153" s="29" t="n">
        <f aca="false">BV153-CE153</f>
        <v>690</v>
      </c>
      <c r="CG153" s="30" t="n">
        <f aca="false">CB153+CC153-CD153-CE153</f>
        <v>0</v>
      </c>
      <c r="CH153" s="30" t="n">
        <f aca="false">CK152</f>
        <v>0</v>
      </c>
      <c r="CI153" s="30" t="n">
        <f aca="false">CH153*$CB$5/12</f>
        <v>0</v>
      </c>
      <c r="CJ153" s="30" t="n">
        <f aca="false">MIN($CB$6,CH153+CI153)</f>
        <v>0</v>
      </c>
      <c r="CK153" s="30" t="n">
        <f aca="false">CH153+CI153-CJ153</f>
        <v>0</v>
      </c>
    </row>
    <row r="154" customFormat="false" ht="15" hidden="false" customHeight="false" outlineLevel="0" collapsed="false">
      <c r="A154" s="0" t="n">
        <v>146</v>
      </c>
      <c r="B154" s="29" t="n">
        <f aca="false">'1 Your debts'!$B$16-(L154+V154+AF154+AP154+AZ154+BJ154+BT154+CD154)</f>
        <v>690</v>
      </c>
      <c r="C154" s="34" t="n">
        <f aca="false">O154+Y154+AI154+AS154+BC154+BM154+BW154+CG154</f>
        <v>0</v>
      </c>
      <c r="D154" s="34" t="n">
        <f aca="false">K154+U154+AE154+AO154+AY154+BI154+BS154+CC154</f>
        <v>0</v>
      </c>
      <c r="F154" s="34" t="n">
        <f aca="false">S154+AC154+AM154+AW154+BG154+BQ154+CA154+CK154</f>
        <v>0</v>
      </c>
      <c r="G154" s="34" t="n">
        <f aca="false">Q154+AA154+AK154+AU154+BE154+BO154+BY154+CI154</f>
        <v>0</v>
      </c>
      <c r="J154" s="34" t="n">
        <f aca="false">O153</f>
        <v>0</v>
      </c>
      <c r="K154" s="34" t="n">
        <f aca="false">J154*$J$5/12</f>
        <v>0</v>
      </c>
      <c r="L154" s="29" t="n">
        <f aca="false">MIN($J$6,J154+K154)</f>
        <v>0</v>
      </c>
      <c r="M154" s="30" t="n">
        <f aca="false">MAX(0,MIN($B154,J154+K154-L154))</f>
        <v>0</v>
      </c>
      <c r="N154" s="29" t="n">
        <f aca="false">$B154-M154</f>
        <v>690</v>
      </c>
      <c r="O154" s="34" t="n">
        <f aca="false">J154+K154-L154-M154</f>
        <v>0</v>
      </c>
      <c r="P154" s="34" t="n">
        <f aca="false">S153</f>
        <v>0</v>
      </c>
      <c r="Q154" s="34" t="n">
        <f aca="false">P154*$J$5/12</f>
        <v>0</v>
      </c>
      <c r="R154" s="29" t="n">
        <f aca="false">MIN($J$6,P154+Q154)</f>
        <v>0</v>
      </c>
      <c r="S154" s="34" t="n">
        <f aca="false">P154+Q154-R154</f>
        <v>0</v>
      </c>
      <c r="T154" s="34" t="n">
        <f aca="false">Y153</f>
        <v>0</v>
      </c>
      <c r="U154" s="34" t="n">
        <f aca="false">T154*$T$5/12</f>
        <v>0</v>
      </c>
      <c r="V154" s="29" t="n">
        <f aca="false">MIN($T$6,T154+U154)</f>
        <v>0</v>
      </c>
      <c r="W154" s="30" t="n">
        <f aca="false">MAX(0,MIN(N154,T154+U154-V154))</f>
        <v>0</v>
      </c>
      <c r="X154" s="29" t="n">
        <f aca="false">N154-W154</f>
        <v>690</v>
      </c>
      <c r="Y154" s="34" t="n">
        <f aca="false">T154+U154-V154-W154</f>
        <v>0</v>
      </c>
      <c r="Z154" s="34" t="n">
        <f aca="false">AC153</f>
        <v>0</v>
      </c>
      <c r="AA154" s="34" t="n">
        <f aca="false">Z154*$T$5/12</f>
        <v>0</v>
      </c>
      <c r="AB154" s="29" t="n">
        <f aca="false">MIN($T$6,Z154+AA154)</f>
        <v>0</v>
      </c>
      <c r="AC154" s="34" t="n">
        <f aca="false">Z154+AA154-AB154</f>
        <v>0</v>
      </c>
      <c r="AD154" s="34" t="n">
        <f aca="false">AI153</f>
        <v>0</v>
      </c>
      <c r="AE154" s="34" t="n">
        <f aca="false">AD154*$AD$5/12</f>
        <v>0</v>
      </c>
      <c r="AF154" s="29" t="n">
        <f aca="false">MIN($AD$6,AD154+AE154)</f>
        <v>0</v>
      </c>
      <c r="AG154" s="30" t="n">
        <f aca="false">MAX(0,MIN(X154,AD154+AE154-AF154))</f>
        <v>0</v>
      </c>
      <c r="AH154" s="29" t="n">
        <f aca="false">X154-AG154</f>
        <v>690</v>
      </c>
      <c r="AI154" s="34" t="n">
        <f aca="false">AD154+AE154-AF154-AG154</f>
        <v>0</v>
      </c>
      <c r="AJ154" s="34" t="n">
        <f aca="false">AM153</f>
        <v>0</v>
      </c>
      <c r="AK154" s="34" t="n">
        <f aca="false">AJ154*$AD$5/12</f>
        <v>0</v>
      </c>
      <c r="AL154" s="29" t="n">
        <f aca="false">MIN($AD$6,AJ154+AK154)</f>
        <v>0</v>
      </c>
      <c r="AM154" s="34" t="n">
        <f aca="false">AJ154+AK154-AL154</f>
        <v>0</v>
      </c>
      <c r="AN154" s="34" t="n">
        <f aca="false">AS153</f>
        <v>0</v>
      </c>
      <c r="AO154" s="34" t="n">
        <f aca="false">AN154*$AN$5/12</f>
        <v>0</v>
      </c>
      <c r="AP154" s="29" t="n">
        <f aca="false">MIN($AN$6,AN154+AO154)</f>
        <v>0</v>
      </c>
      <c r="AQ154" s="30" t="n">
        <f aca="false">MAX(0,MIN(AH154,AN154+AO154-AP154))</f>
        <v>0</v>
      </c>
      <c r="AR154" s="29" t="n">
        <f aca="false">AH154-AQ154</f>
        <v>690</v>
      </c>
      <c r="AS154" s="34" t="n">
        <f aca="false">AN154+AO154-AP154-AQ154</f>
        <v>0</v>
      </c>
      <c r="AT154" s="34" t="n">
        <f aca="false">AW153</f>
        <v>0</v>
      </c>
      <c r="AU154" s="34" t="n">
        <f aca="false">AT154*$AN$5/12</f>
        <v>0</v>
      </c>
      <c r="AV154" s="29" t="n">
        <f aca="false">MIN($AN$6,AT154+AU154)</f>
        <v>0</v>
      </c>
      <c r="AW154" s="34" t="n">
        <f aca="false">AT154+AU154-AV154</f>
        <v>0</v>
      </c>
      <c r="AX154" s="30" t="n">
        <f aca="false">BC153</f>
        <v>0</v>
      </c>
      <c r="AY154" s="30" t="n">
        <f aca="false">AX154*$AX$5/12</f>
        <v>0</v>
      </c>
      <c r="AZ154" s="30" t="n">
        <f aca="false">MIN($AX$6,AX154+AY154)</f>
        <v>0</v>
      </c>
      <c r="BA154" s="30" t="n">
        <f aca="false">MAX(0,MIN(AR154,AX154+AY154-AZ154))</f>
        <v>0</v>
      </c>
      <c r="BB154" s="29" t="n">
        <f aca="false">AR154-BA154</f>
        <v>690</v>
      </c>
      <c r="BC154" s="30" t="n">
        <f aca="false">AX154+AY154-AZ154-BA154</f>
        <v>0</v>
      </c>
      <c r="BD154" s="30" t="n">
        <f aca="false">BG153</f>
        <v>0</v>
      </c>
      <c r="BE154" s="30" t="n">
        <f aca="false">BD154*$AX$5/12</f>
        <v>0</v>
      </c>
      <c r="BF154" s="30" t="n">
        <f aca="false">MIN($AX$6,BD154+BE154)</f>
        <v>0</v>
      </c>
      <c r="BG154" s="30" t="n">
        <f aca="false">BD154+BE154-BF154</f>
        <v>0</v>
      </c>
      <c r="BH154" s="30" t="n">
        <f aca="false">BM153</f>
        <v>0</v>
      </c>
      <c r="BI154" s="30" t="n">
        <f aca="false">BH154*$BH$5/12</f>
        <v>0</v>
      </c>
      <c r="BJ154" s="30" t="n">
        <f aca="false">MIN($BH$6,BH154+BI154)</f>
        <v>0</v>
      </c>
      <c r="BK154" s="30" t="n">
        <f aca="false">MAX(0,MIN(BB154,BH154+BI154-BJ154))</f>
        <v>0</v>
      </c>
      <c r="BL154" s="29" t="n">
        <f aca="false">BB154-BK154</f>
        <v>690</v>
      </c>
      <c r="BM154" s="30" t="n">
        <f aca="false">BH154+BI154-BJ154-BK154</f>
        <v>0</v>
      </c>
      <c r="BN154" s="30" t="n">
        <f aca="false">BQ153</f>
        <v>0</v>
      </c>
      <c r="BO154" s="30" t="n">
        <f aca="false">BN154*$BH$5/12</f>
        <v>0</v>
      </c>
      <c r="BP154" s="30" t="n">
        <f aca="false">MIN($BH$6,BN154+BO154)</f>
        <v>0</v>
      </c>
      <c r="BQ154" s="30" t="n">
        <f aca="false">BN154+BO154-BP154</f>
        <v>0</v>
      </c>
      <c r="BR154" s="30" t="n">
        <f aca="false">BW153</f>
        <v>0</v>
      </c>
      <c r="BS154" s="30" t="n">
        <f aca="false">BR154*$BR$5/12</f>
        <v>0</v>
      </c>
      <c r="BT154" s="30" t="n">
        <f aca="false">MIN($BR$6,BR154+BS154)</f>
        <v>0</v>
      </c>
      <c r="BU154" s="30" t="n">
        <f aca="false">MAX(0,MIN(BL154,BR154+BS154-BT154))</f>
        <v>0</v>
      </c>
      <c r="BV154" s="29" t="n">
        <f aca="false">BL154-BU154</f>
        <v>690</v>
      </c>
      <c r="BW154" s="30" t="n">
        <f aca="false">BR154+BS154-BT154-BU154</f>
        <v>0</v>
      </c>
      <c r="BX154" s="30" t="n">
        <f aca="false">CA153</f>
        <v>0</v>
      </c>
      <c r="BY154" s="30" t="n">
        <f aca="false">BX154*$BR$5/12</f>
        <v>0</v>
      </c>
      <c r="BZ154" s="30" t="n">
        <f aca="false">MIN($BR$6,BX154+BY154)</f>
        <v>0</v>
      </c>
      <c r="CA154" s="30" t="n">
        <f aca="false">BX154+BY154-BZ154</f>
        <v>0</v>
      </c>
      <c r="CB154" s="30" t="n">
        <f aca="false">CG153</f>
        <v>0</v>
      </c>
      <c r="CC154" s="30" t="n">
        <f aca="false">CB154*$CB$5/12</f>
        <v>0</v>
      </c>
      <c r="CD154" s="30" t="n">
        <f aca="false">MIN($CB$6,CB154+CC154)</f>
        <v>0</v>
      </c>
      <c r="CE154" s="30" t="n">
        <f aca="false">MAX(0,MIN(BV154,CB154+CC154-CD154))</f>
        <v>0</v>
      </c>
      <c r="CF154" s="29" t="n">
        <f aca="false">BV154-CE154</f>
        <v>690</v>
      </c>
      <c r="CG154" s="30" t="n">
        <f aca="false">CB154+CC154-CD154-CE154</f>
        <v>0</v>
      </c>
      <c r="CH154" s="30" t="n">
        <f aca="false">CK153</f>
        <v>0</v>
      </c>
      <c r="CI154" s="30" t="n">
        <f aca="false">CH154*$CB$5/12</f>
        <v>0</v>
      </c>
      <c r="CJ154" s="30" t="n">
        <f aca="false">MIN($CB$6,CH154+CI154)</f>
        <v>0</v>
      </c>
      <c r="CK154" s="30" t="n">
        <f aca="false">CH154+CI154-CJ154</f>
        <v>0</v>
      </c>
    </row>
    <row r="155" customFormat="false" ht="15" hidden="false" customHeight="false" outlineLevel="0" collapsed="false">
      <c r="A155" s="0" t="n">
        <v>147</v>
      </c>
      <c r="B155" s="29" t="n">
        <f aca="false">'1 Your debts'!$B$16-(L155+V155+AF155+AP155+AZ155+BJ155+BT155+CD155)</f>
        <v>690</v>
      </c>
      <c r="C155" s="34" t="n">
        <f aca="false">O155+Y155+AI155+AS155+BC155+BM155+BW155+CG155</f>
        <v>0</v>
      </c>
      <c r="D155" s="34" t="n">
        <f aca="false">K155+U155+AE155+AO155+AY155+BI155+BS155+CC155</f>
        <v>0</v>
      </c>
      <c r="F155" s="34" t="n">
        <f aca="false">S155+AC155+AM155+AW155+BG155+BQ155+CA155+CK155</f>
        <v>0</v>
      </c>
      <c r="G155" s="34" t="n">
        <f aca="false">Q155+AA155+AK155+AU155+BE155+BO155+BY155+CI155</f>
        <v>0</v>
      </c>
      <c r="J155" s="34" t="n">
        <f aca="false">O154</f>
        <v>0</v>
      </c>
      <c r="K155" s="34" t="n">
        <f aca="false">J155*$J$5/12</f>
        <v>0</v>
      </c>
      <c r="L155" s="29" t="n">
        <f aca="false">MIN($J$6,J155+K155)</f>
        <v>0</v>
      </c>
      <c r="M155" s="30" t="n">
        <f aca="false">MAX(0,MIN($B155,J155+K155-L155))</f>
        <v>0</v>
      </c>
      <c r="N155" s="29" t="n">
        <f aca="false">$B155-M155</f>
        <v>690</v>
      </c>
      <c r="O155" s="34" t="n">
        <f aca="false">J155+K155-L155-M155</f>
        <v>0</v>
      </c>
      <c r="P155" s="34" t="n">
        <f aca="false">S154</f>
        <v>0</v>
      </c>
      <c r="Q155" s="34" t="n">
        <f aca="false">P155*$J$5/12</f>
        <v>0</v>
      </c>
      <c r="R155" s="29" t="n">
        <f aca="false">MIN($J$6,P155+Q155)</f>
        <v>0</v>
      </c>
      <c r="S155" s="34" t="n">
        <f aca="false">P155+Q155-R155</f>
        <v>0</v>
      </c>
      <c r="T155" s="34" t="n">
        <f aca="false">Y154</f>
        <v>0</v>
      </c>
      <c r="U155" s="34" t="n">
        <f aca="false">T155*$T$5/12</f>
        <v>0</v>
      </c>
      <c r="V155" s="29" t="n">
        <f aca="false">MIN($T$6,T155+U155)</f>
        <v>0</v>
      </c>
      <c r="W155" s="30" t="n">
        <f aca="false">MAX(0,MIN(N155,T155+U155-V155))</f>
        <v>0</v>
      </c>
      <c r="X155" s="29" t="n">
        <f aca="false">N155-W155</f>
        <v>690</v>
      </c>
      <c r="Y155" s="34" t="n">
        <f aca="false">T155+U155-V155-W155</f>
        <v>0</v>
      </c>
      <c r="Z155" s="34" t="n">
        <f aca="false">AC154</f>
        <v>0</v>
      </c>
      <c r="AA155" s="34" t="n">
        <f aca="false">Z155*$T$5/12</f>
        <v>0</v>
      </c>
      <c r="AB155" s="29" t="n">
        <f aca="false">MIN($T$6,Z155+AA155)</f>
        <v>0</v>
      </c>
      <c r="AC155" s="34" t="n">
        <f aca="false">Z155+AA155-AB155</f>
        <v>0</v>
      </c>
      <c r="AD155" s="34" t="n">
        <f aca="false">AI154</f>
        <v>0</v>
      </c>
      <c r="AE155" s="34" t="n">
        <f aca="false">AD155*$AD$5/12</f>
        <v>0</v>
      </c>
      <c r="AF155" s="29" t="n">
        <f aca="false">MIN($AD$6,AD155+AE155)</f>
        <v>0</v>
      </c>
      <c r="AG155" s="30" t="n">
        <f aca="false">MAX(0,MIN(X155,AD155+AE155-AF155))</f>
        <v>0</v>
      </c>
      <c r="AH155" s="29" t="n">
        <f aca="false">X155-AG155</f>
        <v>690</v>
      </c>
      <c r="AI155" s="34" t="n">
        <f aca="false">AD155+AE155-AF155-AG155</f>
        <v>0</v>
      </c>
      <c r="AJ155" s="34" t="n">
        <f aca="false">AM154</f>
        <v>0</v>
      </c>
      <c r="AK155" s="34" t="n">
        <f aca="false">AJ155*$AD$5/12</f>
        <v>0</v>
      </c>
      <c r="AL155" s="29" t="n">
        <f aca="false">MIN($AD$6,AJ155+AK155)</f>
        <v>0</v>
      </c>
      <c r="AM155" s="34" t="n">
        <f aca="false">AJ155+AK155-AL155</f>
        <v>0</v>
      </c>
      <c r="AN155" s="34" t="n">
        <f aca="false">AS154</f>
        <v>0</v>
      </c>
      <c r="AO155" s="34" t="n">
        <f aca="false">AN155*$AN$5/12</f>
        <v>0</v>
      </c>
      <c r="AP155" s="29" t="n">
        <f aca="false">MIN($AN$6,AN155+AO155)</f>
        <v>0</v>
      </c>
      <c r="AQ155" s="30" t="n">
        <f aca="false">MAX(0,MIN(AH155,AN155+AO155-AP155))</f>
        <v>0</v>
      </c>
      <c r="AR155" s="29" t="n">
        <f aca="false">AH155-AQ155</f>
        <v>690</v>
      </c>
      <c r="AS155" s="34" t="n">
        <f aca="false">AN155+AO155-AP155-AQ155</f>
        <v>0</v>
      </c>
      <c r="AT155" s="34" t="n">
        <f aca="false">AW154</f>
        <v>0</v>
      </c>
      <c r="AU155" s="34" t="n">
        <f aca="false">AT155*$AN$5/12</f>
        <v>0</v>
      </c>
      <c r="AV155" s="29" t="n">
        <f aca="false">MIN($AN$6,AT155+AU155)</f>
        <v>0</v>
      </c>
      <c r="AW155" s="34" t="n">
        <f aca="false">AT155+AU155-AV155</f>
        <v>0</v>
      </c>
      <c r="AX155" s="30" t="n">
        <f aca="false">BC154</f>
        <v>0</v>
      </c>
      <c r="AY155" s="30" t="n">
        <f aca="false">AX155*$AX$5/12</f>
        <v>0</v>
      </c>
      <c r="AZ155" s="30" t="n">
        <f aca="false">MIN($AX$6,AX155+AY155)</f>
        <v>0</v>
      </c>
      <c r="BA155" s="30" t="n">
        <f aca="false">MAX(0,MIN(AR155,AX155+AY155-AZ155))</f>
        <v>0</v>
      </c>
      <c r="BB155" s="29" t="n">
        <f aca="false">AR155-BA155</f>
        <v>690</v>
      </c>
      <c r="BC155" s="30" t="n">
        <f aca="false">AX155+AY155-AZ155-BA155</f>
        <v>0</v>
      </c>
      <c r="BD155" s="30" t="n">
        <f aca="false">BG154</f>
        <v>0</v>
      </c>
      <c r="BE155" s="30" t="n">
        <f aca="false">BD155*$AX$5/12</f>
        <v>0</v>
      </c>
      <c r="BF155" s="30" t="n">
        <f aca="false">MIN($AX$6,BD155+BE155)</f>
        <v>0</v>
      </c>
      <c r="BG155" s="30" t="n">
        <f aca="false">BD155+BE155-BF155</f>
        <v>0</v>
      </c>
      <c r="BH155" s="30" t="n">
        <f aca="false">BM154</f>
        <v>0</v>
      </c>
      <c r="BI155" s="30" t="n">
        <f aca="false">BH155*$BH$5/12</f>
        <v>0</v>
      </c>
      <c r="BJ155" s="30" t="n">
        <f aca="false">MIN($BH$6,BH155+BI155)</f>
        <v>0</v>
      </c>
      <c r="BK155" s="30" t="n">
        <f aca="false">MAX(0,MIN(BB155,BH155+BI155-BJ155))</f>
        <v>0</v>
      </c>
      <c r="BL155" s="29" t="n">
        <f aca="false">BB155-BK155</f>
        <v>690</v>
      </c>
      <c r="BM155" s="30" t="n">
        <f aca="false">BH155+BI155-BJ155-BK155</f>
        <v>0</v>
      </c>
      <c r="BN155" s="30" t="n">
        <f aca="false">BQ154</f>
        <v>0</v>
      </c>
      <c r="BO155" s="30" t="n">
        <f aca="false">BN155*$BH$5/12</f>
        <v>0</v>
      </c>
      <c r="BP155" s="30" t="n">
        <f aca="false">MIN($BH$6,BN155+BO155)</f>
        <v>0</v>
      </c>
      <c r="BQ155" s="30" t="n">
        <f aca="false">BN155+BO155-BP155</f>
        <v>0</v>
      </c>
      <c r="BR155" s="30" t="n">
        <f aca="false">BW154</f>
        <v>0</v>
      </c>
      <c r="BS155" s="30" t="n">
        <f aca="false">BR155*$BR$5/12</f>
        <v>0</v>
      </c>
      <c r="BT155" s="30" t="n">
        <f aca="false">MIN($BR$6,BR155+BS155)</f>
        <v>0</v>
      </c>
      <c r="BU155" s="30" t="n">
        <f aca="false">MAX(0,MIN(BL155,BR155+BS155-BT155))</f>
        <v>0</v>
      </c>
      <c r="BV155" s="29" t="n">
        <f aca="false">BL155-BU155</f>
        <v>690</v>
      </c>
      <c r="BW155" s="30" t="n">
        <f aca="false">BR155+BS155-BT155-BU155</f>
        <v>0</v>
      </c>
      <c r="BX155" s="30" t="n">
        <f aca="false">CA154</f>
        <v>0</v>
      </c>
      <c r="BY155" s="30" t="n">
        <f aca="false">BX155*$BR$5/12</f>
        <v>0</v>
      </c>
      <c r="BZ155" s="30" t="n">
        <f aca="false">MIN($BR$6,BX155+BY155)</f>
        <v>0</v>
      </c>
      <c r="CA155" s="30" t="n">
        <f aca="false">BX155+BY155-BZ155</f>
        <v>0</v>
      </c>
      <c r="CB155" s="30" t="n">
        <f aca="false">CG154</f>
        <v>0</v>
      </c>
      <c r="CC155" s="30" t="n">
        <f aca="false">CB155*$CB$5/12</f>
        <v>0</v>
      </c>
      <c r="CD155" s="30" t="n">
        <f aca="false">MIN($CB$6,CB155+CC155)</f>
        <v>0</v>
      </c>
      <c r="CE155" s="30" t="n">
        <f aca="false">MAX(0,MIN(BV155,CB155+CC155-CD155))</f>
        <v>0</v>
      </c>
      <c r="CF155" s="29" t="n">
        <f aca="false">BV155-CE155</f>
        <v>690</v>
      </c>
      <c r="CG155" s="30" t="n">
        <f aca="false">CB155+CC155-CD155-CE155</f>
        <v>0</v>
      </c>
      <c r="CH155" s="30" t="n">
        <f aca="false">CK154</f>
        <v>0</v>
      </c>
      <c r="CI155" s="30" t="n">
        <f aca="false">CH155*$CB$5/12</f>
        <v>0</v>
      </c>
      <c r="CJ155" s="30" t="n">
        <f aca="false">MIN($CB$6,CH155+CI155)</f>
        <v>0</v>
      </c>
      <c r="CK155" s="30" t="n">
        <f aca="false">CH155+CI155-CJ155</f>
        <v>0</v>
      </c>
    </row>
    <row r="156" customFormat="false" ht="15" hidden="false" customHeight="false" outlineLevel="0" collapsed="false">
      <c r="A156" s="0" t="n">
        <v>148</v>
      </c>
      <c r="B156" s="29" t="n">
        <f aca="false">'1 Your debts'!$B$16-(L156+V156+AF156+AP156+AZ156+BJ156+BT156+CD156)</f>
        <v>690</v>
      </c>
      <c r="C156" s="34" t="n">
        <f aca="false">O156+Y156+AI156+AS156+BC156+BM156+BW156+CG156</f>
        <v>0</v>
      </c>
      <c r="D156" s="34" t="n">
        <f aca="false">K156+U156+AE156+AO156+AY156+BI156+BS156+CC156</f>
        <v>0</v>
      </c>
      <c r="F156" s="34" t="n">
        <f aca="false">S156+AC156+AM156+AW156+BG156+BQ156+CA156+CK156</f>
        <v>0</v>
      </c>
      <c r="G156" s="34" t="n">
        <f aca="false">Q156+AA156+AK156+AU156+BE156+BO156+BY156+CI156</f>
        <v>0</v>
      </c>
      <c r="J156" s="34" t="n">
        <f aca="false">O155</f>
        <v>0</v>
      </c>
      <c r="K156" s="34" t="n">
        <f aca="false">J156*$J$5/12</f>
        <v>0</v>
      </c>
      <c r="L156" s="29" t="n">
        <f aca="false">MIN($J$6,J156+K156)</f>
        <v>0</v>
      </c>
      <c r="M156" s="30" t="n">
        <f aca="false">MAX(0,MIN($B156,J156+K156-L156))</f>
        <v>0</v>
      </c>
      <c r="N156" s="29" t="n">
        <f aca="false">$B156-M156</f>
        <v>690</v>
      </c>
      <c r="O156" s="34" t="n">
        <f aca="false">J156+K156-L156-M156</f>
        <v>0</v>
      </c>
      <c r="P156" s="34" t="n">
        <f aca="false">S155</f>
        <v>0</v>
      </c>
      <c r="Q156" s="34" t="n">
        <f aca="false">P156*$J$5/12</f>
        <v>0</v>
      </c>
      <c r="R156" s="29" t="n">
        <f aca="false">MIN($J$6,P156+Q156)</f>
        <v>0</v>
      </c>
      <c r="S156" s="34" t="n">
        <f aca="false">P156+Q156-R156</f>
        <v>0</v>
      </c>
      <c r="T156" s="34" t="n">
        <f aca="false">Y155</f>
        <v>0</v>
      </c>
      <c r="U156" s="34" t="n">
        <f aca="false">T156*$T$5/12</f>
        <v>0</v>
      </c>
      <c r="V156" s="29" t="n">
        <f aca="false">MIN($T$6,T156+U156)</f>
        <v>0</v>
      </c>
      <c r="W156" s="30" t="n">
        <f aca="false">MAX(0,MIN(N156,T156+U156-V156))</f>
        <v>0</v>
      </c>
      <c r="X156" s="29" t="n">
        <f aca="false">N156-W156</f>
        <v>690</v>
      </c>
      <c r="Y156" s="34" t="n">
        <f aca="false">T156+U156-V156-W156</f>
        <v>0</v>
      </c>
      <c r="Z156" s="34" t="n">
        <f aca="false">AC155</f>
        <v>0</v>
      </c>
      <c r="AA156" s="34" t="n">
        <f aca="false">Z156*$T$5/12</f>
        <v>0</v>
      </c>
      <c r="AB156" s="29" t="n">
        <f aca="false">MIN($T$6,Z156+AA156)</f>
        <v>0</v>
      </c>
      <c r="AC156" s="34" t="n">
        <f aca="false">Z156+AA156-AB156</f>
        <v>0</v>
      </c>
      <c r="AD156" s="34" t="n">
        <f aca="false">AI155</f>
        <v>0</v>
      </c>
      <c r="AE156" s="34" t="n">
        <f aca="false">AD156*$AD$5/12</f>
        <v>0</v>
      </c>
      <c r="AF156" s="29" t="n">
        <f aca="false">MIN($AD$6,AD156+AE156)</f>
        <v>0</v>
      </c>
      <c r="AG156" s="30" t="n">
        <f aca="false">MAX(0,MIN(X156,AD156+AE156-AF156))</f>
        <v>0</v>
      </c>
      <c r="AH156" s="29" t="n">
        <f aca="false">X156-AG156</f>
        <v>690</v>
      </c>
      <c r="AI156" s="34" t="n">
        <f aca="false">AD156+AE156-AF156-AG156</f>
        <v>0</v>
      </c>
      <c r="AJ156" s="34" t="n">
        <f aca="false">AM155</f>
        <v>0</v>
      </c>
      <c r="AK156" s="34" t="n">
        <f aca="false">AJ156*$AD$5/12</f>
        <v>0</v>
      </c>
      <c r="AL156" s="29" t="n">
        <f aca="false">MIN($AD$6,AJ156+AK156)</f>
        <v>0</v>
      </c>
      <c r="AM156" s="34" t="n">
        <f aca="false">AJ156+AK156-AL156</f>
        <v>0</v>
      </c>
      <c r="AN156" s="34" t="n">
        <f aca="false">AS155</f>
        <v>0</v>
      </c>
      <c r="AO156" s="34" t="n">
        <f aca="false">AN156*$AN$5/12</f>
        <v>0</v>
      </c>
      <c r="AP156" s="29" t="n">
        <f aca="false">MIN($AN$6,AN156+AO156)</f>
        <v>0</v>
      </c>
      <c r="AQ156" s="30" t="n">
        <f aca="false">MAX(0,MIN(AH156,AN156+AO156-AP156))</f>
        <v>0</v>
      </c>
      <c r="AR156" s="29" t="n">
        <f aca="false">AH156-AQ156</f>
        <v>690</v>
      </c>
      <c r="AS156" s="34" t="n">
        <f aca="false">AN156+AO156-AP156-AQ156</f>
        <v>0</v>
      </c>
      <c r="AT156" s="34" t="n">
        <f aca="false">AW155</f>
        <v>0</v>
      </c>
      <c r="AU156" s="34" t="n">
        <f aca="false">AT156*$AN$5/12</f>
        <v>0</v>
      </c>
      <c r="AV156" s="29" t="n">
        <f aca="false">MIN($AN$6,AT156+AU156)</f>
        <v>0</v>
      </c>
      <c r="AW156" s="34" t="n">
        <f aca="false">AT156+AU156-AV156</f>
        <v>0</v>
      </c>
      <c r="AX156" s="30" t="n">
        <f aca="false">BC155</f>
        <v>0</v>
      </c>
      <c r="AY156" s="30" t="n">
        <f aca="false">AX156*$AX$5/12</f>
        <v>0</v>
      </c>
      <c r="AZ156" s="30" t="n">
        <f aca="false">MIN($AX$6,AX156+AY156)</f>
        <v>0</v>
      </c>
      <c r="BA156" s="30" t="n">
        <f aca="false">MAX(0,MIN(AR156,AX156+AY156-AZ156))</f>
        <v>0</v>
      </c>
      <c r="BB156" s="29" t="n">
        <f aca="false">AR156-BA156</f>
        <v>690</v>
      </c>
      <c r="BC156" s="30" t="n">
        <f aca="false">AX156+AY156-AZ156-BA156</f>
        <v>0</v>
      </c>
      <c r="BD156" s="30" t="n">
        <f aca="false">BG155</f>
        <v>0</v>
      </c>
      <c r="BE156" s="30" t="n">
        <f aca="false">BD156*$AX$5/12</f>
        <v>0</v>
      </c>
      <c r="BF156" s="30" t="n">
        <f aca="false">MIN($AX$6,BD156+BE156)</f>
        <v>0</v>
      </c>
      <c r="BG156" s="30" t="n">
        <f aca="false">BD156+BE156-BF156</f>
        <v>0</v>
      </c>
      <c r="BH156" s="30" t="n">
        <f aca="false">BM155</f>
        <v>0</v>
      </c>
      <c r="BI156" s="30" t="n">
        <f aca="false">BH156*$BH$5/12</f>
        <v>0</v>
      </c>
      <c r="BJ156" s="30" t="n">
        <f aca="false">MIN($BH$6,BH156+BI156)</f>
        <v>0</v>
      </c>
      <c r="BK156" s="30" t="n">
        <f aca="false">MAX(0,MIN(BB156,BH156+BI156-BJ156))</f>
        <v>0</v>
      </c>
      <c r="BL156" s="29" t="n">
        <f aca="false">BB156-BK156</f>
        <v>690</v>
      </c>
      <c r="BM156" s="30" t="n">
        <f aca="false">BH156+BI156-BJ156-BK156</f>
        <v>0</v>
      </c>
      <c r="BN156" s="30" t="n">
        <f aca="false">BQ155</f>
        <v>0</v>
      </c>
      <c r="BO156" s="30" t="n">
        <f aca="false">BN156*$BH$5/12</f>
        <v>0</v>
      </c>
      <c r="BP156" s="30" t="n">
        <f aca="false">MIN($BH$6,BN156+BO156)</f>
        <v>0</v>
      </c>
      <c r="BQ156" s="30" t="n">
        <f aca="false">BN156+BO156-BP156</f>
        <v>0</v>
      </c>
      <c r="BR156" s="30" t="n">
        <f aca="false">BW155</f>
        <v>0</v>
      </c>
      <c r="BS156" s="30" t="n">
        <f aca="false">BR156*$BR$5/12</f>
        <v>0</v>
      </c>
      <c r="BT156" s="30" t="n">
        <f aca="false">MIN($BR$6,BR156+BS156)</f>
        <v>0</v>
      </c>
      <c r="BU156" s="30" t="n">
        <f aca="false">MAX(0,MIN(BL156,BR156+BS156-BT156))</f>
        <v>0</v>
      </c>
      <c r="BV156" s="29" t="n">
        <f aca="false">BL156-BU156</f>
        <v>690</v>
      </c>
      <c r="BW156" s="30" t="n">
        <f aca="false">BR156+BS156-BT156-BU156</f>
        <v>0</v>
      </c>
      <c r="BX156" s="30" t="n">
        <f aca="false">CA155</f>
        <v>0</v>
      </c>
      <c r="BY156" s="30" t="n">
        <f aca="false">BX156*$BR$5/12</f>
        <v>0</v>
      </c>
      <c r="BZ156" s="30" t="n">
        <f aca="false">MIN($BR$6,BX156+BY156)</f>
        <v>0</v>
      </c>
      <c r="CA156" s="30" t="n">
        <f aca="false">BX156+BY156-BZ156</f>
        <v>0</v>
      </c>
      <c r="CB156" s="30" t="n">
        <f aca="false">CG155</f>
        <v>0</v>
      </c>
      <c r="CC156" s="30" t="n">
        <f aca="false">CB156*$CB$5/12</f>
        <v>0</v>
      </c>
      <c r="CD156" s="30" t="n">
        <f aca="false">MIN($CB$6,CB156+CC156)</f>
        <v>0</v>
      </c>
      <c r="CE156" s="30" t="n">
        <f aca="false">MAX(0,MIN(BV156,CB156+CC156-CD156))</f>
        <v>0</v>
      </c>
      <c r="CF156" s="29" t="n">
        <f aca="false">BV156-CE156</f>
        <v>690</v>
      </c>
      <c r="CG156" s="30" t="n">
        <f aca="false">CB156+CC156-CD156-CE156</f>
        <v>0</v>
      </c>
      <c r="CH156" s="30" t="n">
        <f aca="false">CK155</f>
        <v>0</v>
      </c>
      <c r="CI156" s="30" t="n">
        <f aca="false">CH156*$CB$5/12</f>
        <v>0</v>
      </c>
      <c r="CJ156" s="30" t="n">
        <f aca="false">MIN($CB$6,CH156+CI156)</f>
        <v>0</v>
      </c>
      <c r="CK156" s="30" t="n">
        <f aca="false">CH156+CI156-CJ156</f>
        <v>0</v>
      </c>
    </row>
    <row r="157" customFormat="false" ht="15" hidden="false" customHeight="false" outlineLevel="0" collapsed="false">
      <c r="A157" s="0" t="n">
        <v>149</v>
      </c>
      <c r="B157" s="29" t="n">
        <f aca="false">'1 Your debts'!$B$16-(L157+V157+AF157+AP157+AZ157+BJ157+BT157+CD157)</f>
        <v>690</v>
      </c>
      <c r="C157" s="34" t="n">
        <f aca="false">O157+Y157+AI157+AS157+BC157+BM157+BW157+CG157</f>
        <v>0</v>
      </c>
      <c r="D157" s="34" t="n">
        <f aca="false">K157+U157+AE157+AO157+AY157+BI157+BS157+CC157</f>
        <v>0</v>
      </c>
      <c r="F157" s="34" t="n">
        <f aca="false">S157+AC157+AM157+AW157+BG157+BQ157+CA157+CK157</f>
        <v>0</v>
      </c>
      <c r="G157" s="34" t="n">
        <f aca="false">Q157+AA157+AK157+AU157+BE157+BO157+BY157+CI157</f>
        <v>0</v>
      </c>
      <c r="J157" s="34" t="n">
        <f aca="false">O156</f>
        <v>0</v>
      </c>
      <c r="K157" s="34" t="n">
        <f aca="false">J157*$J$5/12</f>
        <v>0</v>
      </c>
      <c r="L157" s="29" t="n">
        <f aca="false">MIN($J$6,J157+K157)</f>
        <v>0</v>
      </c>
      <c r="M157" s="30" t="n">
        <f aca="false">MAX(0,MIN($B157,J157+K157-L157))</f>
        <v>0</v>
      </c>
      <c r="N157" s="29" t="n">
        <f aca="false">$B157-M157</f>
        <v>690</v>
      </c>
      <c r="O157" s="34" t="n">
        <f aca="false">J157+K157-L157-M157</f>
        <v>0</v>
      </c>
      <c r="P157" s="34" t="n">
        <f aca="false">S156</f>
        <v>0</v>
      </c>
      <c r="Q157" s="34" t="n">
        <f aca="false">P157*$J$5/12</f>
        <v>0</v>
      </c>
      <c r="R157" s="29" t="n">
        <f aca="false">MIN($J$6,P157+Q157)</f>
        <v>0</v>
      </c>
      <c r="S157" s="34" t="n">
        <f aca="false">P157+Q157-R157</f>
        <v>0</v>
      </c>
      <c r="T157" s="34" t="n">
        <f aca="false">Y156</f>
        <v>0</v>
      </c>
      <c r="U157" s="34" t="n">
        <f aca="false">T157*$T$5/12</f>
        <v>0</v>
      </c>
      <c r="V157" s="29" t="n">
        <f aca="false">MIN($T$6,T157+U157)</f>
        <v>0</v>
      </c>
      <c r="W157" s="30" t="n">
        <f aca="false">MAX(0,MIN(N157,T157+U157-V157))</f>
        <v>0</v>
      </c>
      <c r="X157" s="29" t="n">
        <f aca="false">N157-W157</f>
        <v>690</v>
      </c>
      <c r="Y157" s="34" t="n">
        <f aca="false">T157+U157-V157-W157</f>
        <v>0</v>
      </c>
      <c r="Z157" s="34" t="n">
        <f aca="false">AC156</f>
        <v>0</v>
      </c>
      <c r="AA157" s="34" t="n">
        <f aca="false">Z157*$T$5/12</f>
        <v>0</v>
      </c>
      <c r="AB157" s="29" t="n">
        <f aca="false">MIN($T$6,Z157+AA157)</f>
        <v>0</v>
      </c>
      <c r="AC157" s="34" t="n">
        <f aca="false">Z157+AA157-AB157</f>
        <v>0</v>
      </c>
      <c r="AD157" s="34" t="n">
        <f aca="false">AI156</f>
        <v>0</v>
      </c>
      <c r="AE157" s="34" t="n">
        <f aca="false">AD157*$AD$5/12</f>
        <v>0</v>
      </c>
      <c r="AF157" s="29" t="n">
        <f aca="false">MIN($AD$6,AD157+AE157)</f>
        <v>0</v>
      </c>
      <c r="AG157" s="30" t="n">
        <f aca="false">MAX(0,MIN(X157,AD157+AE157-AF157))</f>
        <v>0</v>
      </c>
      <c r="AH157" s="29" t="n">
        <f aca="false">X157-AG157</f>
        <v>690</v>
      </c>
      <c r="AI157" s="34" t="n">
        <f aca="false">AD157+AE157-AF157-AG157</f>
        <v>0</v>
      </c>
      <c r="AJ157" s="34" t="n">
        <f aca="false">AM156</f>
        <v>0</v>
      </c>
      <c r="AK157" s="34" t="n">
        <f aca="false">AJ157*$AD$5/12</f>
        <v>0</v>
      </c>
      <c r="AL157" s="29" t="n">
        <f aca="false">MIN($AD$6,AJ157+AK157)</f>
        <v>0</v>
      </c>
      <c r="AM157" s="34" t="n">
        <f aca="false">AJ157+AK157-AL157</f>
        <v>0</v>
      </c>
      <c r="AN157" s="34" t="n">
        <f aca="false">AS156</f>
        <v>0</v>
      </c>
      <c r="AO157" s="34" t="n">
        <f aca="false">AN157*$AN$5/12</f>
        <v>0</v>
      </c>
      <c r="AP157" s="29" t="n">
        <f aca="false">MIN($AN$6,AN157+AO157)</f>
        <v>0</v>
      </c>
      <c r="AQ157" s="30" t="n">
        <f aca="false">MAX(0,MIN(AH157,AN157+AO157-AP157))</f>
        <v>0</v>
      </c>
      <c r="AR157" s="29" t="n">
        <f aca="false">AH157-AQ157</f>
        <v>690</v>
      </c>
      <c r="AS157" s="34" t="n">
        <f aca="false">AN157+AO157-AP157-AQ157</f>
        <v>0</v>
      </c>
      <c r="AT157" s="34" t="n">
        <f aca="false">AW156</f>
        <v>0</v>
      </c>
      <c r="AU157" s="34" t="n">
        <f aca="false">AT157*$AN$5/12</f>
        <v>0</v>
      </c>
      <c r="AV157" s="29" t="n">
        <f aca="false">MIN($AN$6,AT157+AU157)</f>
        <v>0</v>
      </c>
      <c r="AW157" s="34" t="n">
        <f aca="false">AT157+AU157-AV157</f>
        <v>0</v>
      </c>
      <c r="AX157" s="30" t="n">
        <f aca="false">BC156</f>
        <v>0</v>
      </c>
      <c r="AY157" s="30" t="n">
        <f aca="false">AX157*$AX$5/12</f>
        <v>0</v>
      </c>
      <c r="AZ157" s="30" t="n">
        <f aca="false">MIN($AX$6,AX157+AY157)</f>
        <v>0</v>
      </c>
      <c r="BA157" s="30" t="n">
        <f aca="false">MAX(0,MIN(AR157,AX157+AY157-AZ157))</f>
        <v>0</v>
      </c>
      <c r="BB157" s="29" t="n">
        <f aca="false">AR157-BA157</f>
        <v>690</v>
      </c>
      <c r="BC157" s="30" t="n">
        <f aca="false">AX157+AY157-AZ157-BA157</f>
        <v>0</v>
      </c>
      <c r="BD157" s="30" t="n">
        <f aca="false">BG156</f>
        <v>0</v>
      </c>
      <c r="BE157" s="30" t="n">
        <f aca="false">BD157*$AX$5/12</f>
        <v>0</v>
      </c>
      <c r="BF157" s="30" t="n">
        <f aca="false">MIN($AX$6,BD157+BE157)</f>
        <v>0</v>
      </c>
      <c r="BG157" s="30" t="n">
        <f aca="false">BD157+BE157-BF157</f>
        <v>0</v>
      </c>
      <c r="BH157" s="30" t="n">
        <f aca="false">BM156</f>
        <v>0</v>
      </c>
      <c r="BI157" s="30" t="n">
        <f aca="false">BH157*$BH$5/12</f>
        <v>0</v>
      </c>
      <c r="BJ157" s="30" t="n">
        <f aca="false">MIN($BH$6,BH157+BI157)</f>
        <v>0</v>
      </c>
      <c r="BK157" s="30" t="n">
        <f aca="false">MAX(0,MIN(BB157,BH157+BI157-BJ157))</f>
        <v>0</v>
      </c>
      <c r="BL157" s="29" t="n">
        <f aca="false">BB157-BK157</f>
        <v>690</v>
      </c>
      <c r="BM157" s="30" t="n">
        <f aca="false">BH157+BI157-BJ157-BK157</f>
        <v>0</v>
      </c>
      <c r="BN157" s="30" t="n">
        <f aca="false">BQ156</f>
        <v>0</v>
      </c>
      <c r="BO157" s="30" t="n">
        <f aca="false">BN157*$BH$5/12</f>
        <v>0</v>
      </c>
      <c r="BP157" s="30" t="n">
        <f aca="false">MIN($BH$6,BN157+BO157)</f>
        <v>0</v>
      </c>
      <c r="BQ157" s="30" t="n">
        <f aca="false">BN157+BO157-BP157</f>
        <v>0</v>
      </c>
      <c r="BR157" s="30" t="n">
        <f aca="false">BW156</f>
        <v>0</v>
      </c>
      <c r="BS157" s="30" t="n">
        <f aca="false">BR157*$BR$5/12</f>
        <v>0</v>
      </c>
      <c r="BT157" s="30" t="n">
        <f aca="false">MIN($BR$6,BR157+BS157)</f>
        <v>0</v>
      </c>
      <c r="BU157" s="30" t="n">
        <f aca="false">MAX(0,MIN(BL157,BR157+BS157-BT157))</f>
        <v>0</v>
      </c>
      <c r="BV157" s="29" t="n">
        <f aca="false">BL157-BU157</f>
        <v>690</v>
      </c>
      <c r="BW157" s="30" t="n">
        <f aca="false">BR157+BS157-BT157-BU157</f>
        <v>0</v>
      </c>
      <c r="BX157" s="30" t="n">
        <f aca="false">CA156</f>
        <v>0</v>
      </c>
      <c r="BY157" s="30" t="n">
        <f aca="false">BX157*$BR$5/12</f>
        <v>0</v>
      </c>
      <c r="BZ157" s="30" t="n">
        <f aca="false">MIN($BR$6,BX157+BY157)</f>
        <v>0</v>
      </c>
      <c r="CA157" s="30" t="n">
        <f aca="false">BX157+BY157-BZ157</f>
        <v>0</v>
      </c>
      <c r="CB157" s="30" t="n">
        <f aca="false">CG156</f>
        <v>0</v>
      </c>
      <c r="CC157" s="30" t="n">
        <f aca="false">CB157*$CB$5/12</f>
        <v>0</v>
      </c>
      <c r="CD157" s="30" t="n">
        <f aca="false">MIN($CB$6,CB157+CC157)</f>
        <v>0</v>
      </c>
      <c r="CE157" s="30" t="n">
        <f aca="false">MAX(0,MIN(BV157,CB157+CC157-CD157))</f>
        <v>0</v>
      </c>
      <c r="CF157" s="29" t="n">
        <f aca="false">BV157-CE157</f>
        <v>690</v>
      </c>
      <c r="CG157" s="30" t="n">
        <f aca="false">CB157+CC157-CD157-CE157</f>
        <v>0</v>
      </c>
      <c r="CH157" s="30" t="n">
        <f aca="false">CK156</f>
        <v>0</v>
      </c>
      <c r="CI157" s="30" t="n">
        <f aca="false">CH157*$CB$5/12</f>
        <v>0</v>
      </c>
      <c r="CJ157" s="30" t="n">
        <f aca="false">MIN($CB$6,CH157+CI157)</f>
        <v>0</v>
      </c>
      <c r="CK157" s="30" t="n">
        <f aca="false">CH157+CI157-CJ157</f>
        <v>0</v>
      </c>
    </row>
    <row r="158" customFormat="false" ht="15" hidden="false" customHeight="false" outlineLevel="0" collapsed="false">
      <c r="A158" s="0" t="n">
        <v>150</v>
      </c>
      <c r="B158" s="29" t="n">
        <f aca="false">'1 Your debts'!$B$16-(L158+V158+AF158+AP158+AZ158+BJ158+BT158+CD158)</f>
        <v>690</v>
      </c>
      <c r="C158" s="34" t="n">
        <f aca="false">O158+Y158+AI158+AS158+BC158+BM158+BW158+CG158</f>
        <v>0</v>
      </c>
      <c r="D158" s="34" t="n">
        <f aca="false">K158+U158+AE158+AO158+AY158+BI158+BS158+CC158</f>
        <v>0</v>
      </c>
      <c r="F158" s="34" t="n">
        <f aca="false">S158+AC158+AM158+AW158+BG158+BQ158+CA158+CK158</f>
        <v>0</v>
      </c>
      <c r="G158" s="34" t="n">
        <f aca="false">Q158+AA158+AK158+AU158+BE158+BO158+BY158+CI158</f>
        <v>0</v>
      </c>
      <c r="J158" s="34" t="n">
        <f aca="false">O157</f>
        <v>0</v>
      </c>
      <c r="K158" s="34" t="n">
        <f aca="false">J158*$J$5/12</f>
        <v>0</v>
      </c>
      <c r="L158" s="29" t="n">
        <f aca="false">MIN($J$6,J158+K158)</f>
        <v>0</v>
      </c>
      <c r="M158" s="30" t="n">
        <f aca="false">MAX(0,MIN($B158,J158+K158-L158))</f>
        <v>0</v>
      </c>
      <c r="N158" s="29" t="n">
        <f aca="false">$B158-M158</f>
        <v>690</v>
      </c>
      <c r="O158" s="34" t="n">
        <f aca="false">J158+K158-L158-M158</f>
        <v>0</v>
      </c>
      <c r="P158" s="34" t="n">
        <f aca="false">S157</f>
        <v>0</v>
      </c>
      <c r="Q158" s="34" t="n">
        <f aca="false">P158*$J$5/12</f>
        <v>0</v>
      </c>
      <c r="R158" s="29" t="n">
        <f aca="false">MIN($J$6,P158+Q158)</f>
        <v>0</v>
      </c>
      <c r="S158" s="34" t="n">
        <f aca="false">P158+Q158-R158</f>
        <v>0</v>
      </c>
      <c r="T158" s="34" t="n">
        <f aca="false">Y157</f>
        <v>0</v>
      </c>
      <c r="U158" s="34" t="n">
        <f aca="false">T158*$T$5/12</f>
        <v>0</v>
      </c>
      <c r="V158" s="29" t="n">
        <f aca="false">MIN($T$6,T158+U158)</f>
        <v>0</v>
      </c>
      <c r="W158" s="30" t="n">
        <f aca="false">MAX(0,MIN(N158,T158+U158-V158))</f>
        <v>0</v>
      </c>
      <c r="X158" s="29" t="n">
        <f aca="false">N158-W158</f>
        <v>690</v>
      </c>
      <c r="Y158" s="34" t="n">
        <f aca="false">T158+U158-V158-W158</f>
        <v>0</v>
      </c>
      <c r="Z158" s="34" t="n">
        <f aca="false">AC157</f>
        <v>0</v>
      </c>
      <c r="AA158" s="34" t="n">
        <f aca="false">Z158*$T$5/12</f>
        <v>0</v>
      </c>
      <c r="AB158" s="29" t="n">
        <f aca="false">MIN($T$6,Z158+AA158)</f>
        <v>0</v>
      </c>
      <c r="AC158" s="34" t="n">
        <f aca="false">Z158+AA158-AB158</f>
        <v>0</v>
      </c>
      <c r="AD158" s="34" t="n">
        <f aca="false">AI157</f>
        <v>0</v>
      </c>
      <c r="AE158" s="34" t="n">
        <f aca="false">AD158*$AD$5/12</f>
        <v>0</v>
      </c>
      <c r="AF158" s="29" t="n">
        <f aca="false">MIN($AD$6,AD158+AE158)</f>
        <v>0</v>
      </c>
      <c r="AG158" s="30" t="n">
        <f aca="false">MAX(0,MIN(X158,AD158+AE158-AF158))</f>
        <v>0</v>
      </c>
      <c r="AH158" s="29" t="n">
        <f aca="false">X158-AG158</f>
        <v>690</v>
      </c>
      <c r="AI158" s="34" t="n">
        <f aca="false">AD158+AE158-AF158-AG158</f>
        <v>0</v>
      </c>
      <c r="AJ158" s="34" t="n">
        <f aca="false">AM157</f>
        <v>0</v>
      </c>
      <c r="AK158" s="34" t="n">
        <f aca="false">AJ158*$AD$5/12</f>
        <v>0</v>
      </c>
      <c r="AL158" s="29" t="n">
        <f aca="false">MIN($AD$6,AJ158+AK158)</f>
        <v>0</v>
      </c>
      <c r="AM158" s="34" t="n">
        <f aca="false">AJ158+AK158-AL158</f>
        <v>0</v>
      </c>
      <c r="AN158" s="34" t="n">
        <f aca="false">AS157</f>
        <v>0</v>
      </c>
      <c r="AO158" s="34" t="n">
        <f aca="false">AN158*$AN$5/12</f>
        <v>0</v>
      </c>
      <c r="AP158" s="29" t="n">
        <f aca="false">MIN($AN$6,AN158+AO158)</f>
        <v>0</v>
      </c>
      <c r="AQ158" s="30" t="n">
        <f aca="false">MAX(0,MIN(AH158,AN158+AO158-AP158))</f>
        <v>0</v>
      </c>
      <c r="AR158" s="29" t="n">
        <f aca="false">AH158-AQ158</f>
        <v>690</v>
      </c>
      <c r="AS158" s="34" t="n">
        <f aca="false">AN158+AO158-AP158-AQ158</f>
        <v>0</v>
      </c>
      <c r="AT158" s="34" t="n">
        <f aca="false">AW157</f>
        <v>0</v>
      </c>
      <c r="AU158" s="34" t="n">
        <f aca="false">AT158*$AN$5/12</f>
        <v>0</v>
      </c>
      <c r="AV158" s="29" t="n">
        <f aca="false">MIN($AN$6,AT158+AU158)</f>
        <v>0</v>
      </c>
      <c r="AW158" s="34" t="n">
        <f aca="false">AT158+AU158-AV158</f>
        <v>0</v>
      </c>
      <c r="AX158" s="30" t="n">
        <f aca="false">BC157</f>
        <v>0</v>
      </c>
      <c r="AY158" s="30" t="n">
        <f aca="false">AX158*$AX$5/12</f>
        <v>0</v>
      </c>
      <c r="AZ158" s="30" t="n">
        <f aca="false">MIN($AX$6,AX158+AY158)</f>
        <v>0</v>
      </c>
      <c r="BA158" s="30" t="n">
        <f aca="false">MAX(0,MIN(AR158,AX158+AY158-AZ158))</f>
        <v>0</v>
      </c>
      <c r="BB158" s="29" t="n">
        <f aca="false">AR158-BA158</f>
        <v>690</v>
      </c>
      <c r="BC158" s="30" t="n">
        <f aca="false">AX158+AY158-AZ158-BA158</f>
        <v>0</v>
      </c>
      <c r="BD158" s="30" t="n">
        <f aca="false">BG157</f>
        <v>0</v>
      </c>
      <c r="BE158" s="30" t="n">
        <f aca="false">BD158*$AX$5/12</f>
        <v>0</v>
      </c>
      <c r="BF158" s="30" t="n">
        <f aca="false">MIN($AX$6,BD158+BE158)</f>
        <v>0</v>
      </c>
      <c r="BG158" s="30" t="n">
        <f aca="false">BD158+BE158-BF158</f>
        <v>0</v>
      </c>
      <c r="BH158" s="30" t="n">
        <f aca="false">BM157</f>
        <v>0</v>
      </c>
      <c r="BI158" s="30" t="n">
        <f aca="false">BH158*$BH$5/12</f>
        <v>0</v>
      </c>
      <c r="BJ158" s="30" t="n">
        <f aca="false">MIN($BH$6,BH158+BI158)</f>
        <v>0</v>
      </c>
      <c r="BK158" s="30" t="n">
        <f aca="false">MAX(0,MIN(BB158,BH158+BI158-BJ158))</f>
        <v>0</v>
      </c>
      <c r="BL158" s="29" t="n">
        <f aca="false">BB158-BK158</f>
        <v>690</v>
      </c>
      <c r="BM158" s="30" t="n">
        <f aca="false">BH158+BI158-BJ158-BK158</f>
        <v>0</v>
      </c>
      <c r="BN158" s="30" t="n">
        <f aca="false">BQ157</f>
        <v>0</v>
      </c>
      <c r="BO158" s="30" t="n">
        <f aca="false">BN158*$BH$5/12</f>
        <v>0</v>
      </c>
      <c r="BP158" s="30" t="n">
        <f aca="false">MIN($BH$6,BN158+BO158)</f>
        <v>0</v>
      </c>
      <c r="BQ158" s="30" t="n">
        <f aca="false">BN158+BO158-BP158</f>
        <v>0</v>
      </c>
      <c r="BR158" s="30" t="n">
        <f aca="false">BW157</f>
        <v>0</v>
      </c>
      <c r="BS158" s="30" t="n">
        <f aca="false">BR158*$BR$5/12</f>
        <v>0</v>
      </c>
      <c r="BT158" s="30" t="n">
        <f aca="false">MIN($BR$6,BR158+BS158)</f>
        <v>0</v>
      </c>
      <c r="BU158" s="30" t="n">
        <f aca="false">MAX(0,MIN(BL158,BR158+BS158-BT158))</f>
        <v>0</v>
      </c>
      <c r="BV158" s="29" t="n">
        <f aca="false">BL158-BU158</f>
        <v>690</v>
      </c>
      <c r="BW158" s="30" t="n">
        <f aca="false">BR158+BS158-BT158-BU158</f>
        <v>0</v>
      </c>
      <c r="BX158" s="30" t="n">
        <f aca="false">CA157</f>
        <v>0</v>
      </c>
      <c r="BY158" s="30" t="n">
        <f aca="false">BX158*$BR$5/12</f>
        <v>0</v>
      </c>
      <c r="BZ158" s="30" t="n">
        <f aca="false">MIN($BR$6,BX158+BY158)</f>
        <v>0</v>
      </c>
      <c r="CA158" s="30" t="n">
        <f aca="false">BX158+BY158-BZ158</f>
        <v>0</v>
      </c>
      <c r="CB158" s="30" t="n">
        <f aca="false">CG157</f>
        <v>0</v>
      </c>
      <c r="CC158" s="30" t="n">
        <f aca="false">CB158*$CB$5/12</f>
        <v>0</v>
      </c>
      <c r="CD158" s="30" t="n">
        <f aca="false">MIN($CB$6,CB158+CC158)</f>
        <v>0</v>
      </c>
      <c r="CE158" s="30" t="n">
        <f aca="false">MAX(0,MIN(BV158,CB158+CC158-CD158))</f>
        <v>0</v>
      </c>
      <c r="CF158" s="29" t="n">
        <f aca="false">BV158-CE158</f>
        <v>690</v>
      </c>
      <c r="CG158" s="30" t="n">
        <f aca="false">CB158+CC158-CD158-CE158</f>
        <v>0</v>
      </c>
      <c r="CH158" s="30" t="n">
        <f aca="false">CK157</f>
        <v>0</v>
      </c>
      <c r="CI158" s="30" t="n">
        <f aca="false">CH158*$CB$5/12</f>
        <v>0</v>
      </c>
      <c r="CJ158" s="30" t="n">
        <f aca="false">MIN($CB$6,CH158+CI158)</f>
        <v>0</v>
      </c>
      <c r="CK158" s="30" t="n">
        <f aca="false">CH158+CI158-CJ158</f>
        <v>0</v>
      </c>
    </row>
    <row r="159" customFormat="false" ht="15" hidden="false" customHeight="false" outlineLevel="0" collapsed="false">
      <c r="A159" s="0" t="n">
        <v>151</v>
      </c>
      <c r="B159" s="29" t="n">
        <f aca="false">'1 Your debts'!$B$16-(L159+V159+AF159+AP159+AZ159+BJ159+BT159+CD159)</f>
        <v>690</v>
      </c>
      <c r="C159" s="34" t="n">
        <f aca="false">O159+Y159+AI159+AS159+BC159+BM159+BW159+CG159</f>
        <v>0</v>
      </c>
      <c r="D159" s="34" t="n">
        <f aca="false">K159+U159+AE159+AO159+AY159+BI159+BS159+CC159</f>
        <v>0</v>
      </c>
      <c r="F159" s="34" t="n">
        <f aca="false">S159+AC159+AM159+AW159+BG159+BQ159+CA159+CK159</f>
        <v>0</v>
      </c>
      <c r="G159" s="34" t="n">
        <f aca="false">Q159+AA159+AK159+AU159+BE159+BO159+BY159+CI159</f>
        <v>0</v>
      </c>
      <c r="J159" s="34" t="n">
        <f aca="false">O158</f>
        <v>0</v>
      </c>
      <c r="K159" s="34" t="n">
        <f aca="false">J159*$J$5/12</f>
        <v>0</v>
      </c>
      <c r="L159" s="29" t="n">
        <f aca="false">MIN($J$6,J159+K159)</f>
        <v>0</v>
      </c>
      <c r="M159" s="30" t="n">
        <f aca="false">MAX(0,MIN($B159,J159+K159-L159))</f>
        <v>0</v>
      </c>
      <c r="N159" s="29" t="n">
        <f aca="false">$B159-M159</f>
        <v>690</v>
      </c>
      <c r="O159" s="34" t="n">
        <f aca="false">J159+K159-L159-M159</f>
        <v>0</v>
      </c>
      <c r="P159" s="34" t="n">
        <f aca="false">S158</f>
        <v>0</v>
      </c>
      <c r="Q159" s="34" t="n">
        <f aca="false">P159*$J$5/12</f>
        <v>0</v>
      </c>
      <c r="R159" s="29" t="n">
        <f aca="false">MIN($J$6,P159+Q159)</f>
        <v>0</v>
      </c>
      <c r="S159" s="34" t="n">
        <f aca="false">P159+Q159-R159</f>
        <v>0</v>
      </c>
      <c r="T159" s="34" t="n">
        <f aca="false">Y158</f>
        <v>0</v>
      </c>
      <c r="U159" s="34" t="n">
        <f aca="false">T159*$T$5/12</f>
        <v>0</v>
      </c>
      <c r="V159" s="29" t="n">
        <f aca="false">MIN($T$6,T159+U159)</f>
        <v>0</v>
      </c>
      <c r="W159" s="30" t="n">
        <f aca="false">MAX(0,MIN(N159,T159+U159-V159))</f>
        <v>0</v>
      </c>
      <c r="X159" s="29" t="n">
        <f aca="false">N159-W159</f>
        <v>690</v>
      </c>
      <c r="Y159" s="34" t="n">
        <f aca="false">T159+U159-V159-W159</f>
        <v>0</v>
      </c>
      <c r="Z159" s="34" t="n">
        <f aca="false">AC158</f>
        <v>0</v>
      </c>
      <c r="AA159" s="34" t="n">
        <f aca="false">Z159*$T$5/12</f>
        <v>0</v>
      </c>
      <c r="AB159" s="29" t="n">
        <f aca="false">MIN($T$6,Z159+AA159)</f>
        <v>0</v>
      </c>
      <c r="AC159" s="34" t="n">
        <f aca="false">Z159+AA159-AB159</f>
        <v>0</v>
      </c>
      <c r="AD159" s="34" t="n">
        <f aca="false">AI158</f>
        <v>0</v>
      </c>
      <c r="AE159" s="34" t="n">
        <f aca="false">AD159*$AD$5/12</f>
        <v>0</v>
      </c>
      <c r="AF159" s="29" t="n">
        <f aca="false">MIN($AD$6,AD159+AE159)</f>
        <v>0</v>
      </c>
      <c r="AG159" s="30" t="n">
        <f aca="false">MAX(0,MIN(X159,AD159+AE159-AF159))</f>
        <v>0</v>
      </c>
      <c r="AH159" s="29" t="n">
        <f aca="false">X159-AG159</f>
        <v>690</v>
      </c>
      <c r="AI159" s="34" t="n">
        <f aca="false">AD159+AE159-AF159-AG159</f>
        <v>0</v>
      </c>
      <c r="AJ159" s="34" t="n">
        <f aca="false">AM158</f>
        <v>0</v>
      </c>
      <c r="AK159" s="34" t="n">
        <f aca="false">AJ159*$AD$5/12</f>
        <v>0</v>
      </c>
      <c r="AL159" s="29" t="n">
        <f aca="false">MIN($AD$6,AJ159+AK159)</f>
        <v>0</v>
      </c>
      <c r="AM159" s="34" t="n">
        <f aca="false">AJ159+AK159-AL159</f>
        <v>0</v>
      </c>
      <c r="AN159" s="34" t="n">
        <f aca="false">AS158</f>
        <v>0</v>
      </c>
      <c r="AO159" s="34" t="n">
        <f aca="false">AN159*$AN$5/12</f>
        <v>0</v>
      </c>
      <c r="AP159" s="29" t="n">
        <f aca="false">MIN($AN$6,AN159+AO159)</f>
        <v>0</v>
      </c>
      <c r="AQ159" s="30" t="n">
        <f aca="false">MAX(0,MIN(AH159,AN159+AO159-AP159))</f>
        <v>0</v>
      </c>
      <c r="AR159" s="29" t="n">
        <f aca="false">AH159-AQ159</f>
        <v>690</v>
      </c>
      <c r="AS159" s="34" t="n">
        <f aca="false">AN159+AO159-AP159-AQ159</f>
        <v>0</v>
      </c>
      <c r="AT159" s="34" t="n">
        <f aca="false">AW158</f>
        <v>0</v>
      </c>
      <c r="AU159" s="34" t="n">
        <f aca="false">AT159*$AN$5/12</f>
        <v>0</v>
      </c>
      <c r="AV159" s="29" t="n">
        <f aca="false">MIN($AN$6,AT159+AU159)</f>
        <v>0</v>
      </c>
      <c r="AW159" s="34" t="n">
        <f aca="false">AT159+AU159-AV159</f>
        <v>0</v>
      </c>
      <c r="AX159" s="30" t="n">
        <f aca="false">BC158</f>
        <v>0</v>
      </c>
      <c r="AY159" s="30" t="n">
        <f aca="false">AX159*$AX$5/12</f>
        <v>0</v>
      </c>
      <c r="AZ159" s="30" t="n">
        <f aca="false">MIN($AX$6,AX159+AY159)</f>
        <v>0</v>
      </c>
      <c r="BA159" s="30" t="n">
        <f aca="false">MAX(0,MIN(AR159,AX159+AY159-AZ159))</f>
        <v>0</v>
      </c>
      <c r="BB159" s="29" t="n">
        <f aca="false">AR159-BA159</f>
        <v>690</v>
      </c>
      <c r="BC159" s="30" t="n">
        <f aca="false">AX159+AY159-AZ159-BA159</f>
        <v>0</v>
      </c>
      <c r="BD159" s="30" t="n">
        <f aca="false">BG158</f>
        <v>0</v>
      </c>
      <c r="BE159" s="30" t="n">
        <f aca="false">BD159*$AX$5/12</f>
        <v>0</v>
      </c>
      <c r="BF159" s="30" t="n">
        <f aca="false">MIN($AX$6,BD159+BE159)</f>
        <v>0</v>
      </c>
      <c r="BG159" s="30" t="n">
        <f aca="false">BD159+BE159-BF159</f>
        <v>0</v>
      </c>
      <c r="BH159" s="30" t="n">
        <f aca="false">BM158</f>
        <v>0</v>
      </c>
      <c r="BI159" s="30" t="n">
        <f aca="false">BH159*$BH$5/12</f>
        <v>0</v>
      </c>
      <c r="BJ159" s="30" t="n">
        <f aca="false">MIN($BH$6,BH159+BI159)</f>
        <v>0</v>
      </c>
      <c r="BK159" s="30" t="n">
        <f aca="false">MAX(0,MIN(BB159,BH159+BI159-BJ159))</f>
        <v>0</v>
      </c>
      <c r="BL159" s="29" t="n">
        <f aca="false">BB159-BK159</f>
        <v>690</v>
      </c>
      <c r="BM159" s="30" t="n">
        <f aca="false">BH159+BI159-BJ159-BK159</f>
        <v>0</v>
      </c>
      <c r="BN159" s="30" t="n">
        <f aca="false">BQ158</f>
        <v>0</v>
      </c>
      <c r="BO159" s="30" t="n">
        <f aca="false">BN159*$BH$5/12</f>
        <v>0</v>
      </c>
      <c r="BP159" s="30" t="n">
        <f aca="false">MIN($BH$6,BN159+BO159)</f>
        <v>0</v>
      </c>
      <c r="BQ159" s="30" t="n">
        <f aca="false">BN159+BO159-BP159</f>
        <v>0</v>
      </c>
      <c r="BR159" s="30" t="n">
        <f aca="false">BW158</f>
        <v>0</v>
      </c>
      <c r="BS159" s="30" t="n">
        <f aca="false">BR159*$BR$5/12</f>
        <v>0</v>
      </c>
      <c r="BT159" s="30" t="n">
        <f aca="false">MIN($BR$6,BR159+BS159)</f>
        <v>0</v>
      </c>
      <c r="BU159" s="30" t="n">
        <f aca="false">MAX(0,MIN(BL159,BR159+BS159-BT159))</f>
        <v>0</v>
      </c>
      <c r="BV159" s="29" t="n">
        <f aca="false">BL159-BU159</f>
        <v>690</v>
      </c>
      <c r="BW159" s="30" t="n">
        <f aca="false">BR159+BS159-BT159-BU159</f>
        <v>0</v>
      </c>
      <c r="BX159" s="30" t="n">
        <f aca="false">CA158</f>
        <v>0</v>
      </c>
      <c r="BY159" s="30" t="n">
        <f aca="false">BX159*$BR$5/12</f>
        <v>0</v>
      </c>
      <c r="BZ159" s="30" t="n">
        <f aca="false">MIN($BR$6,BX159+BY159)</f>
        <v>0</v>
      </c>
      <c r="CA159" s="30" t="n">
        <f aca="false">BX159+BY159-BZ159</f>
        <v>0</v>
      </c>
      <c r="CB159" s="30" t="n">
        <f aca="false">CG158</f>
        <v>0</v>
      </c>
      <c r="CC159" s="30" t="n">
        <f aca="false">CB159*$CB$5/12</f>
        <v>0</v>
      </c>
      <c r="CD159" s="30" t="n">
        <f aca="false">MIN($CB$6,CB159+CC159)</f>
        <v>0</v>
      </c>
      <c r="CE159" s="30" t="n">
        <f aca="false">MAX(0,MIN(BV159,CB159+CC159-CD159))</f>
        <v>0</v>
      </c>
      <c r="CF159" s="29" t="n">
        <f aca="false">BV159-CE159</f>
        <v>690</v>
      </c>
      <c r="CG159" s="30" t="n">
        <f aca="false">CB159+CC159-CD159-CE159</f>
        <v>0</v>
      </c>
      <c r="CH159" s="30" t="n">
        <f aca="false">CK158</f>
        <v>0</v>
      </c>
      <c r="CI159" s="30" t="n">
        <f aca="false">CH159*$CB$5/12</f>
        <v>0</v>
      </c>
      <c r="CJ159" s="30" t="n">
        <f aca="false">MIN($CB$6,CH159+CI159)</f>
        <v>0</v>
      </c>
      <c r="CK159" s="30" t="n">
        <f aca="false">CH159+CI159-CJ159</f>
        <v>0</v>
      </c>
    </row>
    <row r="160" customFormat="false" ht="15" hidden="false" customHeight="false" outlineLevel="0" collapsed="false">
      <c r="A160" s="0" t="n">
        <v>152</v>
      </c>
      <c r="B160" s="29" t="n">
        <f aca="false">'1 Your debts'!$B$16-(L160+V160+AF160+AP160+AZ160+BJ160+BT160+CD160)</f>
        <v>690</v>
      </c>
      <c r="C160" s="34" t="n">
        <f aca="false">O160+Y160+AI160+AS160+BC160+BM160+BW160+CG160</f>
        <v>0</v>
      </c>
      <c r="D160" s="34" t="n">
        <f aca="false">K160+U160+AE160+AO160+AY160+BI160+BS160+CC160</f>
        <v>0</v>
      </c>
      <c r="F160" s="34" t="n">
        <f aca="false">S160+AC160+AM160+AW160+BG160+BQ160+CA160+CK160</f>
        <v>0</v>
      </c>
      <c r="G160" s="34" t="n">
        <f aca="false">Q160+AA160+AK160+AU160+BE160+BO160+BY160+CI160</f>
        <v>0</v>
      </c>
      <c r="J160" s="34" t="n">
        <f aca="false">O159</f>
        <v>0</v>
      </c>
      <c r="K160" s="34" t="n">
        <f aca="false">J160*$J$5/12</f>
        <v>0</v>
      </c>
      <c r="L160" s="29" t="n">
        <f aca="false">MIN($J$6,J160+K160)</f>
        <v>0</v>
      </c>
      <c r="M160" s="30" t="n">
        <f aca="false">MAX(0,MIN($B160,J160+K160-L160))</f>
        <v>0</v>
      </c>
      <c r="N160" s="29" t="n">
        <f aca="false">$B160-M160</f>
        <v>690</v>
      </c>
      <c r="O160" s="34" t="n">
        <f aca="false">J160+K160-L160-M160</f>
        <v>0</v>
      </c>
      <c r="P160" s="34" t="n">
        <f aca="false">S159</f>
        <v>0</v>
      </c>
      <c r="Q160" s="34" t="n">
        <f aca="false">P160*$J$5/12</f>
        <v>0</v>
      </c>
      <c r="R160" s="29" t="n">
        <f aca="false">MIN($J$6,P160+Q160)</f>
        <v>0</v>
      </c>
      <c r="S160" s="34" t="n">
        <f aca="false">P160+Q160-R160</f>
        <v>0</v>
      </c>
      <c r="T160" s="34" t="n">
        <f aca="false">Y159</f>
        <v>0</v>
      </c>
      <c r="U160" s="34" t="n">
        <f aca="false">T160*$T$5/12</f>
        <v>0</v>
      </c>
      <c r="V160" s="29" t="n">
        <f aca="false">MIN($T$6,T160+U160)</f>
        <v>0</v>
      </c>
      <c r="W160" s="30" t="n">
        <f aca="false">MAX(0,MIN(N160,T160+U160-V160))</f>
        <v>0</v>
      </c>
      <c r="X160" s="29" t="n">
        <f aca="false">N160-W160</f>
        <v>690</v>
      </c>
      <c r="Y160" s="34" t="n">
        <f aca="false">T160+U160-V160-W160</f>
        <v>0</v>
      </c>
      <c r="Z160" s="34" t="n">
        <f aca="false">AC159</f>
        <v>0</v>
      </c>
      <c r="AA160" s="34" t="n">
        <f aca="false">Z160*$T$5/12</f>
        <v>0</v>
      </c>
      <c r="AB160" s="29" t="n">
        <f aca="false">MIN($T$6,Z160+AA160)</f>
        <v>0</v>
      </c>
      <c r="AC160" s="34" t="n">
        <f aca="false">Z160+AA160-AB160</f>
        <v>0</v>
      </c>
      <c r="AD160" s="34" t="n">
        <f aca="false">AI159</f>
        <v>0</v>
      </c>
      <c r="AE160" s="34" t="n">
        <f aca="false">AD160*$AD$5/12</f>
        <v>0</v>
      </c>
      <c r="AF160" s="29" t="n">
        <f aca="false">MIN($AD$6,AD160+AE160)</f>
        <v>0</v>
      </c>
      <c r="AG160" s="30" t="n">
        <f aca="false">MAX(0,MIN(X160,AD160+AE160-AF160))</f>
        <v>0</v>
      </c>
      <c r="AH160" s="29" t="n">
        <f aca="false">X160-AG160</f>
        <v>690</v>
      </c>
      <c r="AI160" s="34" t="n">
        <f aca="false">AD160+AE160-AF160-AG160</f>
        <v>0</v>
      </c>
      <c r="AJ160" s="34" t="n">
        <f aca="false">AM159</f>
        <v>0</v>
      </c>
      <c r="AK160" s="34" t="n">
        <f aca="false">AJ160*$AD$5/12</f>
        <v>0</v>
      </c>
      <c r="AL160" s="29" t="n">
        <f aca="false">MIN($AD$6,AJ160+AK160)</f>
        <v>0</v>
      </c>
      <c r="AM160" s="34" t="n">
        <f aca="false">AJ160+AK160-AL160</f>
        <v>0</v>
      </c>
      <c r="AN160" s="34" t="n">
        <f aca="false">AS159</f>
        <v>0</v>
      </c>
      <c r="AO160" s="34" t="n">
        <f aca="false">AN160*$AN$5/12</f>
        <v>0</v>
      </c>
      <c r="AP160" s="29" t="n">
        <f aca="false">MIN($AN$6,AN160+AO160)</f>
        <v>0</v>
      </c>
      <c r="AQ160" s="30" t="n">
        <f aca="false">MAX(0,MIN(AH160,AN160+AO160-AP160))</f>
        <v>0</v>
      </c>
      <c r="AR160" s="29" t="n">
        <f aca="false">AH160-AQ160</f>
        <v>690</v>
      </c>
      <c r="AS160" s="34" t="n">
        <f aca="false">AN160+AO160-AP160-AQ160</f>
        <v>0</v>
      </c>
      <c r="AT160" s="34" t="n">
        <f aca="false">AW159</f>
        <v>0</v>
      </c>
      <c r="AU160" s="34" t="n">
        <f aca="false">AT160*$AN$5/12</f>
        <v>0</v>
      </c>
      <c r="AV160" s="29" t="n">
        <f aca="false">MIN($AN$6,AT160+AU160)</f>
        <v>0</v>
      </c>
      <c r="AW160" s="34" t="n">
        <f aca="false">AT160+AU160-AV160</f>
        <v>0</v>
      </c>
      <c r="AX160" s="30" t="n">
        <f aca="false">BC159</f>
        <v>0</v>
      </c>
      <c r="AY160" s="30" t="n">
        <f aca="false">AX160*$AX$5/12</f>
        <v>0</v>
      </c>
      <c r="AZ160" s="30" t="n">
        <f aca="false">MIN($AX$6,AX160+AY160)</f>
        <v>0</v>
      </c>
      <c r="BA160" s="30" t="n">
        <f aca="false">MAX(0,MIN(AR160,AX160+AY160-AZ160))</f>
        <v>0</v>
      </c>
      <c r="BB160" s="29" t="n">
        <f aca="false">AR160-BA160</f>
        <v>690</v>
      </c>
      <c r="BC160" s="30" t="n">
        <f aca="false">AX160+AY160-AZ160-BA160</f>
        <v>0</v>
      </c>
      <c r="BD160" s="30" t="n">
        <f aca="false">BG159</f>
        <v>0</v>
      </c>
      <c r="BE160" s="30" t="n">
        <f aca="false">BD160*$AX$5/12</f>
        <v>0</v>
      </c>
      <c r="BF160" s="30" t="n">
        <f aca="false">MIN($AX$6,BD160+BE160)</f>
        <v>0</v>
      </c>
      <c r="BG160" s="30" t="n">
        <f aca="false">BD160+BE160-BF160</f>
        <v>0</v>
      </c>
      <c r="BH160" s="30" t="n">
        <f aca="false">BM159</f>
        <v>0</v>
      </c>
      <c r="BI160" s="30" t="n">
        <f aca="false">BH160*$BH$5/12</f>
        <v>0</v>
      </c>
      <c r="BJ160" s="30" t="n">
        <f aca="false">MIN($BH$6,BH160+BI160)</f>
        <v>0</v>
      </c>
      <c r="BK160" s="30" t="n">
        <f aca="false">MAX(0,MIN(BB160,BH160+BI160-BJ160))</f>
        <v>0</v>
      </c>
      <c r="BL160" s="29" t="n">
        <f aca="false">BB160-BK160</f>
        <v>690</v>
      </c>
      <c r="BM160" s="30" t="n">
        <f aca="false">BH160+BI160-BJ160-BK160</f>
        <v>0</v>
      </c>
      <c r="BN160" s="30" t="n">
        <f aca="false">BQ159</f>
        <v>0</v>
      </c>
      <c r="BO160" s="30" t="n">
        <f aca="false">BN160*$BH$5/12</f>
        <v>0</v>
      </c>
      <c r="BP160" s="30" t="n">
        <f aca="false">MIN($BH$6,BN160+BO160)</f>
        <v>0</v>
      </c>
      <c r="BQ160" s="30" t="n">
        <f aca="false">BN160+BO160-BP160</f>
        <v>0</v>
      </c>
      <c r="BR160" s="30" t="n">
        <f aca="false">BW159</f>
        <v>0</v>
      </c>
      <c r="BS160" s="30" t="n">
        <f aca="false">BR160*$BR$5/12</f>
        <v>0</v>
      </c>
      <c r="BT160" s="30" t="n">
        <f aca="false">MIN($BR$6,BR160+BS160)</f>
        <v>0</v>
      </c>
      <c r="BU160" s="30" t="n">
        <f aca="false">MAX(0,MIN(BL160,BR160+BS160-BT160))</f>
        <v>0</v>
      </c>
      <c r="BV160" s="29" t="n">
        <f aca="false">BL160-BU160</f>
        <v>690</v>
      </c>
      <c r="BW160" s="30" t="n">
        <f aca="false">BR160+BS160-BT160-BU160</f>
        <v>0</v>
      </c>
      <c r="BX160" s="30" t="n">
        <f aca="false">CA159</f>
        <v>0</v>
      </c>
      <c r="BY160" s="30" t="n">
        <f aca="false">BX160*$BR$5/12</f>
        <v>0</v>
      </c>
      <c r="BZ160" s="30" t="n">
        <f aca="false">MIN($BR$6,BX160+BY160)</f>
        <v>0</v>
      </c>
      <c r="CA160" s="30" t="n">
        <f aca="false">BX160+BY160-BZ160</f>
        <v>0</v>
      </c>
      <c r="CB160" s="30" t="n">
        <f aca="false">CG159</f>
        <v>0</v>
      </c>
      <c r="CC160" s="30" t="n">
        <f aca="false">CB160*$CB$5/12</f>
        <v>0</v>
      </c>
      <c r="CD160" s="30" t="n">
        <f aca="false">MIN($CB$6,CB160+CC160)</f>
        <v>0</v>
      </c>
      <c r="CE160" s="30" t="n">
        <f aca="false">MAX(0,MIN(BV160,CB160+CC160-CD160))</f>
        <v>0</v>
      </c>
      <c r="CF160" s="29" t="n">
        <f aca="false">BV160-CE160</f>
        <v>690</v>
      </c>
      <c r="CG160" s="30" t="n">
        <f aca="false">CB160+CC160-CD160-CE160</f>
        <v>0</v>
      </c>
      <c r="CH160" s="30" t="n">
        <f aca="false">CK159</f>
        <v>0</v>
      </c>
      <c r="CI160" s="30" t="n">
        <f aca="false">CH160*$CB$5/12</f>
        <v>0</v>
      </c>
      <c r="CJ160" s="30" t="n">
        <f aca="false">MIN($CB$6,CH160+CI160)</f>
        <v>0</v>
      </c>
      <c r="CK160" s="30" t="n">
        <f aca="false">CH160+CI160-CJ160</f>
        <v>0</v>
      </c>
    </row>
    <row r="161" customFormat="false" ht="15" hidden="false" customHeight="false" outlineLevel="0" collapsed="false">
      <c r="A161" s="0" t="n">
        <v>153</v>
      </c>
      <c r="B161" s="29" t="n">
        <f aca="false">'1 Your debts'!$B$16-(L161+V161+AF161+AP161+AZ161+BJ161+BT161+CD161)</f>
        <v>690</v>
      </c>
      <c r="C161" s="34" t="n">
        <f aca="false">O161+Y161+AI161+AS161+BC161+BM161+BW161+CG161</f>
        <v>0</v>
      </c>
      <c r="D161" s="34" t="n">
        <f aca="false">K161+U161+AE161+AO161+AY161+BI161+BS161+CC161</f>
        <v>0</v>
      </c>
      <c r="F161" s="34" t="n">
        <f aca="false">S161+AC161+AM161+AW161+BG161+BQ161+CA161+CK161</f>
        <v>0</v>
      </c>
      <c r="G161" s="34" t="n">
        <f aca="false">Q161+AA161+AK161+AU161+BE161+BO161+BY161+CI161</f>
        <v>0</v>
      </c>
      <c r="J161" s="34" t="n">
        <f aca="false">O160</f>
        <v>0</v>
      </c>
      <c r="K161" s="34" t="n">
        <f aca="false">J161*$J$5/12</f>
        <v>0</v>
      </c>
      <c r="L161" s="29" t="n">
        <f aca="false">MIN($J$6,J161+K161)</f>
        <v>0</v>
      </c>
      <c r="M161" s="30" t="n">
        <f aca="false">MAX(0,MIN($B161,J161+K161-L161))</f>
        <v>0</v>
      </c>
      <c r="N161" s="29" t="n">
        <f aca="false">$B161-M161</f>
        <v>690</v>
      </c>
      <c r="O161" s="34" t="n">
        <f aca="false">J161+K161-L161-M161</f>
        <v>0</v>
      </c>
      <c r="P161" s="34" t="n">
        <f aca="false">S160</f>
        <v>0</v>
      </c>
      <c r="Q161" s="34" t="n">
        <f aca="false">P161*$J$5/12</f>
        <v>0</v>
      </c>
      <c r="R161" s="29" t="n">
        <f aca="false">MIN($J$6,P161+Q161)</f>
        <v>0</v>
      </c>
      <c r="S161" s="34" t="n">
        <f aca="false">P161+Q161-R161</f>
        <v>0</v>
      </c>
      <c r="T161" s="34" t="n">
        <f aca="false">Y160</f>
        <v>0</v>
      </c>
      <c r="U161" s="34" t="n">
        <f aca="false">T161*$T$5/12</f>
        <v>0</v>
      </c>
      <c r="V161" s="29" t="n">
        <f aca="false">MIN($T$6,T161+U161)</f>
        <v>0</v>
      </c>
      <c r="W161" s="30" t="n">
        <f aca="false">MAX(0,MIN(N161,T161+U161-V161))</f>
        <v>0</v>
      </c>
      <c r="X161" s="29" t="n">
        <f aca="false">N161-W161</f>
        <v>690</v>
      </c>
      <c r="Y161" s="34" t="n">
        <f aca="false">T161+U161-V161-W161</f>
        <v>0</v>
      </c>
      <c r="Z161" s="34" t="n">
        <f aca="false">AC160</f>
        <v>0</v>
      </c>
      <c r="AA161" s="34" t="n">
        <f aca="false">Z161*$T$5/12</f>
        <v>0</v>
      </c>
      <c r="AB161" s="29" t="n">
        <f aca="false">MIN($T$6,Z161+AA161)</f>
        <v>0</v>
      </c>
      <c r="AC161" s="34" t="n">
        <f aca="false">Z161+AA161-AB161</f>
        <v>0</v>
      </c>
      <c r="AD161" s="34" t="n">
        <f aca="false">AI160</f>
        <v>0</v>
      </c>
      <c r="AE161" s="34" t="n">
        <f aca="false">AD161*$AD$5/12</f>
        <v>0</v>
      </c>
      <c r="AF161" s="29" t="n">
        <f aca="false">MIN($AD$6,AD161+AE161)</f>
        <v>0</v>
      </c>
      <c r="AG161" s="30" t="n">
        <f aca="false">MAX(0,MIN(X161,AD161+AE161-AF161))</f>
        <v>0</v>
      </c>
      <c r="AH161" s="29" t="n">
        <f aca="false">X161-AG161</f>
        <v>690</v>
      </c>
      <c r="AI161" s="34" t="n">
        <f aca="false">AD161+AE161-AF161-AG161</f>
        <v>0</v>
      </c>
      <c r="AJ161" s="34" t="n">
        <f aca="false">AM160</f>
        <v>0</v>
      </c>
      <c r="AK161" s="34" t="n">
        <f aca="false">AJ161*$AD$5/12</f>
        <v>0</v>
      </c>
      <c r="AL161" s="29" t="n">
        <f aca="false">MIN($AD$6,AJ161+AK161)</f>
        <v>0</v>
      </c>
      <c r="AM161" s="34" t="n">
        <f aca="false">AJ161+AK161-AL161</f>
        <v>0</v>
      </c>
      <c r="AN161" s="34" t="n">
        <f aca="false">AS160</f>
        <v>0</v>
      </c>
      <c r="AO161" s="34" t="n">
        <f aca="false">AN161*$AN$5/12</f>
        <v>0</v>
      </c>
      <c r="AP161" s="29" t="n">
        <f aca="false">MIN($AN$6,AN161+AO161)</f>
        <v>0</v>
      </c>
      <c r="AQ161" s="30" t="n">
        <f aca="false">MAX(0,MIN(AH161,AN161+AO161-AP161))</f>
        <v>0</v>
      </c>
      <c r="AR161" s="29" t="n">
        <f aca="false">AH161-AQ161</f>
        <v>690</v>
      </c>
      <c r="AS161" s="34" t="n">
        <f aca="false">AN161+AO161-AP161-AQ161</f>
        <v>0</v>
      </c>
      <c r="AT161" s="34" t="n">
        <f aca="false">AW160</f>
        <v>0</v>
      </c>
      <c r="AU161" s="34" t="n">
        <f aca="false">AT161*$AN$5/12</f>
        <v>0</v>
      </c>
      <c r="AV161" s="29" t="n">
        <f aca="false">MIN($AN$6,AT161+AU161)</f>
        <v>0</v>
      </c>
      <c r="AW161" s="34" t="n">
        <f aca="false">AT161+AU161-AV161</f>
        <v>0</v>
      </c>
      <c r="AX161" s="30" t="n">
        <f aca="false">BC160</f>
        <v>0</v>
      </c>
      <c r="AY161" s="30" t="n">
        <f aca="false">AX161*$AX$5/12</f>
        <v>0</v>
      </c>
      <c r="AZ161" s="30" t="n">
        <f aca="false">MIN($AX$6,AX161+AY161)</f>
        <v>0</v>
      </c>
      <c r="BA161" s="30" t="n">
        <f aca="false">MAX(0,MIN(AR161,AX161+AY161-AZ161))</f>
        <v>0</v>
      </c>
      <c r="BB161" s="29" t="n">
        <f aca="false">AR161-BA161</f>
        <v>690</v>
      </c>
      <c r="BC161" s="30" t="n">
        <f aca="false">AX161+AY161-AZ161-BA161</f>
        <v>0</v>
      </c>
      <c r="BD161" s="30" t="n">
        <f aca="false">BG160</f>
        <v>0</v>
      </c>
      <c r="BE161" s="30" t="n">
        <f aca="false">BD161*$AX$5/12</f>
        <v>0</v>
      </c>
      <c r="BF161" s="30" t="n">
        <f aca="false">MIN($AX$6,BD161+BE161)</f>
        <v>0</v>
      </c>
      <c r="BG161" s="30" t="n">
        <f aca="false">BD161+BE161-BF161</f>
        <v>0</v>
      </c>
      <c r="BH161" s="30" t="n">
        <f aca="false">BM160</f>
        <v>0</v>
      </c>
      <c r="BI161" s="30" t="n">
        <f aca="false">BH161*$BH$5/12</f>
        <v>0</v>
      </c>
      <c r="BJ161" s="30" t="n">
        <f aca="false">MIN($BH$6,BH161+BI161)</f>
        <v>0</v>
      </c>
      <c r="BK161" s="30" t="n">
        <f aca="false">MAX(0,MIN(BB161,BH161+BI161-BJ161))</f>
        <v>0</v>
      </c>
      <c r="BL161" s="29" t="n">
        <f aca="false">BB161-BK161</f>
        <v>690</v>
      </c>
      <c r="BM161" s="30" t="n">
        <f aca="false">BH161+BI161-BJ161-BK161</f>
        <v>0</v>
      </c>
      <c r="BN161" s="30" t="n">
        <f aca="false">BQ160</f>
        <v>0</v>
      </c>
      <c r="BO161" s="30" t="n">
        <f aca="false">BN161*$BH$5/12</f>
        <v>0</v>
      </c>
      <c r="BP161" s="30" t="n">
        <f aca="false">MIN($BH$6,BN161+BO161)</f>
        <v>0</v>
      </c>
      <c r="BQ161" s="30" t="n">
        <f aca="false">BN161+BO161-BP161</f>
        <v>0</v>
      </c>
      <c r="BR161" s="30" t="n">
        <f aca="false">BW160</f>
        <v>0</v>
      </c>
      <c r="BS161" s="30" t="n">
        <f aca="false">BR161*$BR$5/12</f>
        <v>0</v>
      </c>
      <c r="BT161" s="30" t="n">
        <f aca="false">MIN($BR$6,BR161+BS161)</f>
        <v>0</v>
      </c>
      <c r="BU161" s="30" t="n">
        <f aca="false">MAX(0,MIN(BL161,BR161+BS161-BT161))</f>
        <v>0</v>
      </c>
      <c r="BV161" s="29" t="n">
        <f aca="false">BL161-BU161</f>
        <v>690</v>
      </c>
      <c r="BW161" s="30" t="n">
        <f aca="false">BR161+BS161-BT161-BU161</f>
        <v>0</v>
      </c>
      <c r="BX161" s="30" t="n">
        <f aca="false">CA160</f>
        <v>0</v>
      </c>
      <c r="BY161" s="30" t="n">
        <f aca="false">BX161*$BR$5/12</f>
        <v>0</v>
      </c>
      <c r="BZ161" s="30" t="n">
        <f aca="false">MIN($BR$6,BX161+BY161)</f>
        <v>0</v>
      </c>
      <c r="CA161" s="30" t="n">
        <f aca="false">BX161+BY161-BZ161</f>
        <v>0</v>
      </c>
      <c r="CB161" s="30" t="n">
        <f aca="false">CG160</f>
        <v>0</v>
      </c>
      <c r="CC161" s="30" t="n">
        <f aca="false">CB161*$CB$5/12</f>
        <v>0</v>
      </c>
      <c r="CD161" s="30" t="n">
        <f aca="false">MIN($CB$6,CB161+CC161)</f>
        <v>0</v>
      </c>
      <c r="CE161" s="30" t="n">
        <f aca="false">MAX(0,MIN(BV161,CB161+CC161-CD161))</f>
        <v>0</v>
      </c>
      <c r="CF161" s="29" t="n">
        <f aca="false">BV161-CE161</f>
        <v>690</v>
      </c>
      <c r="CG161" s="30" t="n">
        <f aca="false">CB161+CC161-CD161-CE161</f>
        <v>0</v>
      </c>
      <c r="CH161" s="30" t="n">
        <f aca="false">CK160</f>
        <v>0</v>
      </c>
      <c r="CI161" s="30" t="n">
        <f aca="false">CH161*$CB$5/12</f>
        <v>0</v>
      </c>
      <c r="CJ161" s="30" t="n">
        <f aca="false">MIN($CB$6,CH161+CI161)</f>
        <v>0</v>
      </c>
      <c r="CK161" s="30" t="n">
        <f aca="false">CH161+CI161-CJ161</f>
        <v>0</v>
      </c>
    </row>
    <row r="162" customFormat="false" ht="15" hidden="false" customHeight="false" outlineLevel="0" collapsed="false">
      <c r="A162" s="0" t="n">
        <v>154</v>
      </c>
      <c r="B162" s="29" t="n">
        <f aca="false">'1 Your debts'!$B$16-(L162+V162+AF162+AP162+AZ162+BJ162+BT162+CD162)</f>
        <v>690</v>
      </c>
      <c r="C162" s="34" t="n">
        <f aca="false">O162+Y162+AI162+AS162+BC162+BM162+BW162+CG162</f>
        <v>0</v>
      </c>
      <c r="D162" s="34" t="n">
        <f aca="false">K162+U162+AE162+AO162+AY162+BI162+BS162+CC162</f>
        <v>0</v>
      </c>
      <c r="F162" s="34" t="n">
        <f aca="false">S162+AC162+AM162+AW162+BG162+BQ162+CA162+CK162</f>
        <v>0</v>
      </c>
      <c r="G162" s="34" t="n">
        <f aca="false">Q162+AA162+AK162+AU162+BE162+BO162+BY162+CI162</f>
        <v>0</v>
      </c>
      <c r="J162" s="34" t="n">
        <f aca="false">O161</f>
        <v>0</v>
      </c>
      <c r="K162" s="34" t="n">
        <f aca="false">J162*$J$5/12</f>
        <v>0</v>
      </c>
      <c r="L162" s="29" t="n">
        <f aca="false">MIN($J$6,J162+K162)</f>
        <v>0</v>
      </c>
      <c r="M162" s="30" t="n">
        <f aca="false">MAX(0,MIN($B162,J162+K162-L162))</f>
        <v>0</v>
      </c>
      <c r="N162" s="29" t="n">
        <f aca="false">$B162-M162</f>
        <v>690</v>
      </c>
      <c r="O162" s="34" t="n">
        <f aca="false">J162+K162-L162-M162</f>
        <v>0</v>
      </c>
      <c r="P162" s="34" t="n">
        <f aca="false">S161</f>
        <v>0</v>
      </c>
      <c r="Q162" s="34" t="n">
        <f aca="false">P162*$J$5/12</f>
        <v>0</v>
      </c>
      <c r="R162" s="29" t="n">
        <f aca="false">MIN($J$6,P162+Q162)</f>
        <v>0</v>
      </c>
      <c r="S162" s="34" t="n">
        <f aca="false">P162+Q162-R162</f>
        <v>0</v>
      </c>
      <c r="T162" s="34" t="n">
        <f aca="false">Y161</f>
        <v>0</v>
      </c>
      <c r="U162" s="34" t="n">
        <f aca="false">T162*$T$5/12</f>
        <v>0</v>
      </c>
      <c r="V162" s="29" t="n">
        <f aca="false">MIN($T$6,T162+U162)</f>
        <v>0</v>
      </c>
      <c r="W162" s="30" t="n">
        <f aca="false">MAX(0,MIN(N162,T162+U162-V162))</f>
        <v>0</v>
      </c>
      <c r="X162" s="29" t="n">
        <f aca="false">N162-W162</f>
        <v>690</v>
      </c>
      <c r="Y162" s="34" t="n">
        <f aca="false">T162+U162-V162-W162</f>
        <v>0</v>
      </c>
      <c r="Z162" s="34" t="n">
        <f aca="false">AC161</f>
        <v>0</v>
      </c>
      <c r="AA162" s="34" t="n">
        <f aca="false">Z162*$T$5/12</f>
        <v>0</v>
      </c>
      <c r="AB162" s="29" t="n">
        <f aca="false">MIN($T$6,Z162+AA162)</f>
        <v>0</v>
      </c>
      <c r="AC162" s="34" t="n">
        <f aca="false">Z162+AA162-AB162</f>
        <v>0</v>
      </c>
      <c r="AD162" s="34" t="n">
        <f aca="false">AI161</f>
        <v>0</v>
      </c>
      <c r="AE162" s="34" t="n">
        <f aca="false">AD162*$AD$5/12</f>
        <v>0</v>
      </c>
      <c r="AF162" s="29" t="n">
        <f aca="false">MIN($AD$6,AD162+AE162)</f>
        <v>0</v>
      </c>
      <c r="AG162" s="30" t="n">
        <f aca="false">MAX(0,MIN(X162,AD162+AE162-AF162))</f>
        <v>0</v>
      </c>
      <c r="AH162" s="29" t="n">
        <f aca="false">X162-AG162</f>
        <v>690</v>
      </c>
      <c r="AI162" s="34" t="n">
        <f aca="false">AD162+AE162-AF162-AG162</f>
        <v>0</v>
      </c>
      <c r="AJ162" s="34" t="n">
        <f aca="false">AM161</f>
        <v>0</v>
      </c>
      <c r="AK162" s="34" t="n">
        <f aca="false">AJ162*$AD$5/12</f>
        <v>0</v>
      </c>
      <c r="AL162" s="29" t="n">
        <f aca="false">MIN($AD$6,AJ162+AK162)</f>
        <v>0</v>
      </c>
      <c r="AM162" s="34" t="n">
        <f aca="false">AJ162+AK162-AL162</f>
        <v>0</v>
      </c>
      <c r="AN162" s="34" t="n">
        <f aca="false">AS161</f>
        <v>0</v>
      </c>
      <c r="AO162" s="34" t="n">
        <f aca="false">AN162*$AN$5/12</f>
        <v>0</v>
      </c>
      <c r="AP162" s="29" t="n">
        <f aca="false">MIN($AN$6,AN162+AO162)</f>
        <v>0</v>
      </c>
      <c r="AQ162" s="30" t="n">
        <f aca="false">MAX(0,MIN(AH162,AN162+AO162-AP162))</f>
        <v>0</v>
      </c>
      <c r="AR162" s="29" t="n">
        <f aca="false">AH162-AQ162</f>
        <v>690</v>
      </c>
      <c r="AS162" s="34" t="n">
        <f aca="false">AN162+AO162-AP162-AQ162</f>
        <v>0</v>
      </c>
      <c r="AT162" s="34" t="n">
        <f aca="false">AW161</f>
        <v>0</v>
      </c>
      <c r="AU162" s="34" t="n">
        <f aca="false">AT162*$AN$5/12</f>
        <v>0</v>
      </c>
      <c r="AV162" s="29" t="n">
        <f aca="false">MIN($AN$6,AT162+AU162)</f>
        <v>0</v>
      </c>
      <c r="AW162" s="34" t="n">
        <f aca="false">AT162+AU162-AV162</f>
        <v>0</v>
      </c>
      <c r="AX162" s="30" t="n">
        <f aca="false">BC161</f>
        <v>0</v>
      </c>
      <c r="AY162" s="30" t="n">
        <f aca="false">AX162*$AX$5/12</f>
        <v>0</v>
      </c>
      <c r="AZ162" s="30" t="n">
        <f aca="false">MIN($AX$6,AX162+AY162)</f>
        <v>0</v>
      </c>
      <c r="BA162" s="30" t="n">
        <f aca="false">MAX(0,MIN(AR162,AX162+AY162-AZ162))</f>
        <v>0</v>
      </c>
      <c r="BB162" s="29" t="n">
        <f aca="false">AR162-BA162</f>
        <v>690</v>
      </c>
      <c r="BC162" s="30" t="n">
        <f aca="false">AX162+AY162-AZ162-BA162</f>
        <v>0</v>
      </c>
      <c r="BD162" s="30" t="n">
        <f aca="false">BG161</f>
        <v>0</v>
      </c>
      <c r="BE162" s="30" t="n">
        <f aca="false">BD162*$AX$5/12</f>
        <v>0</v>
      </c>
      <c r="BF162" s="30" t="n">
        <f aca="false">MIN($AX$6,BD162+BE162)</f>
        <v>0</v>
      </c>
      <c r="BG162" s="30" t="n">
        <f aca="false">BD162+BE162-BF162</f>
        <v>0</v>
      </c>
      <c r="BH162" s="30" t="n">
        <f aca="false">BM161</f>
        <v>0</v>
      </c>
      <c r="BI162" s="30" t="n">
        <f aca="false">BH162*$BH$5/12</f>
        <v>0</v>
      </c>
      <c r="BJ162" s="30" t="n">
        <f aca="false">MIN($BH$6,BH162+BI162)</f>
        <v>0</v>
      </c>
      <c r="BK162" s="30" t="n">
        <f aca="false">MAX(0,MIN(BB162,BH162+BI162-BJ162))</f>
        <v>0</v>
      </c>
      <c r="BL162" s="29" t="n">
        <f aca="false">BB162-BK162</f>
        <v>690</v>
      </c>
      <c r="BM162" s="30" t="n">
        <f aca="false">BH162+BI162-BJ162-BK162</f>
        <v>0</v>
      </c>
      <c r="BN162" s="30" t="n">
        <f aca="false">BQ161</f>
        <v>0</v>
      </c>
      <c r="BO162" s="30" t="n">
        <f aca="false">BN162*$BH$5/12</f>
        <v>0</v>
      </c>
      <c r="BP162" s="30" t="n">
        <f aca="false">MIN($BH$6,BN162+BO162)</f>
        <v>0</v>
      </c>
      <c r="BQ162" s="30" t="n">
        <f aca="false">BN162+BO162-BP162</f>
        <v>0</v>
      </c>
      <c r="BR162" s="30" t="n">
        <f aca="false">BW161</f>
        <v>0</v>
      </c>
      <c r="BS162" s="30" t="n">
        <f aca="false">BR162*$BR$5/12</f>
        <v>0</v>
      </c>
      <c r="BT162" s="30" t="n">
        <f aca="false">MIN($BR$6,BR162+BS162)</f>
        <v>0</v>
      </c>
      <c r="BU162" s="30" t="n">
        <f aca="false">MAX(0,MIN(BL162,BR162+BS162-BT162))</f>
        <v>0</v>
      </c>
      <c r="BV162" s="29" t="n">
        <f aca="false">BL162-BU162</f>
        <v>690</v>
      </c>
      <c r="BW162" s="30" t="n">
        <f aca="false">BR162+BS162-BT162-BU162</f>
        <v>0</v>
      </c>
      <c r="BX162" s="30" t="n">
        <f aca="false">CA161</f>
        <v>0</v>
      </c>
      <c r="BY162" s="30" t="n">
        <f aca="false">BX162*$BR$5/12</f>
        <v>0</v>
      </c>
      <c r="BZ162" s="30" t="n">
        <f aca="false">MIN($BR$6,BX162+BY162)</f>
        <v>0</v>
      </c>
      <c r="CA162" s="30" t="n">
        <f aca="false">BX162+BY162-BZ162</f>
        <v>0</v>
      </c>
      <c r="CB162" s="30" t="n">
        <f aca="false">CG161</f>
        <v>0</v>
      </c>
      <c r="CC162" s="30" t="n">
        <f aca="false">CB162*$CB$5/12</f>
        <v>0</v>
      </c>
      <c r="CD162" s="30" t="n">
        <f aca="false">MIN($CB$6,CB162+CC162)</f>
        <v>0</v>
      </c>
      <c r="CE162" s="30" t="n">
        <f aca="false">MAX(0,MIN(BV162,CB162+CC162-CD162))</f>
        <v>0</v>
      </c>
      <c r="CF162" s="29" t="n">
        <f aca="false">BV162-CE162</f>
        <v>690</v>
      </c>
      <c r="CG162" s="30" t="n">
        <f aca="false">CB162+CC162-CD162-CE162</f>
        <v>0</v>
      </c>
      <c r="CH162" s="30" t="n">
        <f aca="false">CK161</f>
        <v>0</v>
      </c>
      <c r="CI162" s="30" t="n">
        <f aca="false">CH162*$CB$5/12</f>
        <v>0</v>
      </c>
      <c r="CJ162" s="30" t="n">
        <f aca="false">MIN($CB$6,CH162+CI162)</f>
        <v>0</v>
      </c>
      <c r="CK162" s="30" t="n">
        <f aca="false">CH162+CI162-CJ162</f>
        <v>0</v>
      </c>
    </row>
    <row r="163" customFormat="false" ht="15" hidden="false" customHeight="false" outlineLevel="0" collapsed="false">
      <c r="A163" s="0" t="n">
        <v>155</v>
      </c>
      <c r="B163" s="29" t="n">
        <f aca="false">'1 Your debts'!$B$16-(L163+V163+AF163+AP163+AZ163+BJ163+BT163+CD163)</f>
        <v>690</v>
      </c>
      <c r="C163" s="34" t="n">
        <f aca="false">O163+Y163+AI163+AS163+BC163+BM163+BW163+CG163</f>
        <v>0</v>
      </c>
      <c r="D163" s="34" t="n">
        <f aca="false">K163+U163+AE163+AO163+AY163+BI163+BS163+CC163</f>
        <v>0</v>
      </c>
      <c r="F163" s="34" t="n">
        <f aca="false">S163+AC163+AM163+AW163+BG163+BQ163+CA163+CK163</f>
        <v>0</v>
      </c>
      <c r="G163" s="34" t="n">
        <f aca="false">Q163+AA163+AK163+AU163+BE163+BO163+BY163+CI163</f>
        <v>0</v>
      </c>
      <c r="J163" s="34" t="n">
        <f aca="false">O162</f>
        <v>0</v>
      </c>
      <c r="K163" s="34" t="n">
        <f aca="false">J163*$J$5/12</f>
        <v>0</v>
      </c>
      <c r="L163" s="29" t="n">
        <f aca="false">MIN($J$6,J163+K163)</f>
        <v>0</v>
      </c>
      <c r="M163" s="30" t="n">
        <f aca="false">MAX(0,MIN($B163,J163+K163-L163))</f>
        <v>0</v>
      </c>
      <c r="N163" s="29" t="n">
        <f aca="false">$B163-M163</f>
        <v>690</v>
      </c>
      <c r="O163" s="34" t="n">
        <f aca="false">J163+K163-L163-M163</f>
        <v>0</v>
      </c>
      <c r="P163" s="34" t="n">
        <f aca="false">S162</f>
        <v>0</v>
      </c>
      <c r="Q163" s="34" t="n">
        <f aca="false">P163*$J$5/12</f>
        <v>0</v>
      </c>
      <c r="R163" s="29" t="n">
        <f aca="false">MIN($J$6,P163+Q163)</f>
        <v>0</v>
      </c>
      <c r="S163" s="34" t="n">
        <f aca="false">P163+Q163-R163</f>
        <v>0</v>
      </c>
      <c r="T163" s="34" t="n">
        <f aca="false">Y162</f>
        <v>0</v>
      </c>
      <c r="U163" s="34" t="n">
        <f aca="false">T163*$T$5/12</f>
        <v>0</v>
      </c>
      <c r="V163" s="29" t="n">
        <f aca="false">MIN($T$6,T163+U163)</f>
        <v>0</v>
      </c>
      <c r="W163" s="30" t="n">
        <f aca="false">MAX(0,MIN(N163,T163+U163-V163))</f>
        <v>0</v>
      </c>
      <c r="X163" s="29" t="n">
        <f aca="false">N163-W163</f>
        <v>690</v>
      </c>
      <c r="Y163" s="34" t="n">
        <f aca="false">T163+U163-V163-W163</f>
        <v>0</v>
      </c>
      <c r="Z163" s="34" t="n">
        <f aca="false">AC162</f>
        <v>0</v>
      </c>
      <c r="AA163" s="34" t="n">
        <f aca="false">Z163*$T$5/12</f>
        <v>0</v>
      </c>
      <c r="AB163" s="29" t="n">
        <f aca="false">MIN($T$6,Z163+AA163)</f>
        <v>0</v>
      </c>
      <c r="AC163" s="34" t="n">
        <f aca="false">Z163+AA163-AB163</f>
        <v>0</v>
      </c>
      <c r="AD163" s="34" t="n">
        <f aca="false">AI162</f>
        <v>0</v>
      </c>
      <c r="AE163" s="34" t="n">
        <f aca="false">AD163*$AD$5/12</f>
        <v>0</v>
      </c>
      <c r="AF163" s="29" t="n">
        <f aca="false">MIN($AD$6,AD163+AE163)</f>
        <v>0</v>
      </c>
      <c r="AG163" s="30" t="n">
        <f aca="false">MAX(0,MIN(X163,AD163+AE163-AF163))</f>
        <v>0</v>
      </c>
      <c r="AH163" s="29" t="n">
        <f aca="false">X163-AG163</f>
        <v>690</v>
      </c>
      <c r="AI163" s="34" t="n">
        <f aca="false">AD163+AE163-AF163-AG163</f>
        <v>0</v>
      </c>
      <c r="AJ163" s="34" t="n">
        <f aca="false">AM162</f>
        <v>0</v>
      </c>
      <c r="AK163" s="34" t="n">
        <f aca="false">AJ163*$AD$5/12</f>
        <v>0</v>
      </c>
      <c r="AL163" s="29" t="n">
        <f aca="false">MIN($AD$6,AJ163+AK163)</f>
        <v>0</v>
      </c>
      <c r="AM163" s="34" t="n">
        <f aca="false">AJ163+AK163-AL163</f>
        <v>0</v>
      </c>
      <c r="AN163" s="34" t="n">
        <f aca="false">AS162</f>
        <v>0</v>
      </c>
      <c r="AO163" s="34" t="n">
        <f aca="false">AN163*$AN$5/12</f>
        <v>0</v>
      </c>
      <c r="AP163" s="29" t="n">
        <f aca="false">MIN($AN$6,AN163+AO163)</f>
        <v>0</v>
      </c>
      <c r="AQ163" s="30" t="n">
        <f aca="false">MAX(0,MIN(AH163,AN163+AO163-AP163))</f>
        <v>0</v>
      </c>
      <c r="AR163" s="29" t="n">
        <f aca="false">AH163-AQ163</f>
        <v>690</v>
      </c>
      <c r="AS163" s="34" t="n">
        <f aca="false">AN163+AO163-AP163-AQ163</f>
        <v>0</v>
      </c>
      <c r="AT163" s="34" t="n">
        <f aca="false">AW162</f>
        <v>0</v>
      </c>
      <c r="AU163" s="34" t="n">
        <f aca="false">AT163*$AN$5/12</f>
        <v>0</v>
      </c>
      <c r="AV163" s="29" t="n">
        <f aca="false">MIN($AN$6,AT163+AU163)</f>
        <v>0</v>
      </c>
      <c r="AW163" s="34" t="n">
        <f aca="false">AT163+AU163-AV163</f>
        <v>0</v>
      </c>
      <c r="AX163" s="30" t="n">
        <f aca="false">BC162</f>
        <v>0</v>
      </c>
      <c r="AY163" s="30" t="n">
        <f aca="false">AX163*$AX$5/12</f>
        <v>0</v>
      </c>
      <c r="AZ163" s="30" t="n">
        <f aca="false">MIN($AX$6,AX163+AY163)</f>
        <v>0</v>
      </c>
      <c r="BA163" s="30" t="n">
        <f aca="false">MAX(0,MIN(AR163,AX163+AY163-AZ163))</f>
        <v>0</v>
      </c>
      <c r="BB163" s="29" t="n">
        <f aca="false">AR163-BA163</f>
        <v>690</v>
      </c>
      <c r="BC163" s="30" t="n">
        <f aca="false">AX163+AY163-AZ163-BA163</f>
        <v>0</v>
      </c>
      <c r="BD163" s="30" t="n">
        <f aca="false">BG162</f>
        <v>0</v>
      </c>
      <c r="BE163" s="30" t="n">
        <f aca="false">BD163*$AX$5/12</f>
        <v>0</v>
      </c>
      <c r="BF163" s="30" t="n">
        <f aca="false">MIN($AX$6,BD163+BE163)</f>
        <v>0</v>
      </c>
      <c r="BG163" s="30" t="n">
        <f aca="false">BD163+BE163-BF163</f>
        <v>0</v>
      </c>
      <c r="BH163" s="30" t="n">
        <f aca="false">BM162</f>
        <v>0</v>
      </c>
      <c r="BI163" s="30" t="n">
        <f aca="false">BH163*$BH$5/12</f>
        <v>0</v>
      </c>
      <c r="BJ163" s="30" t="n">
        <f aca="false">MIN($BH$6,BH163+BI163)</f>
        <v>0</v>
      </c>
      <c r="BK163" s="30" t="n">
        <f aca="false">MAX(0,MIN(BB163,BH163+BI163-BJ163))</f>
        <v>0</v>
      </c>
      <c r="BL163" s="29" t="n">
        <f aca="false">BB163-BK163</f>
        <v>690</v>
      </c>
      <c r="BM163" s="30" t="n">
        <f aca="false">BH163+BI163-BJ163-BK163</f>
        <v>0</v>
      </c>
      <c r="BN163" s="30" t="n">
        <f aca="false">BQ162</f>
        <v>0</v>
      </c>
      <c r="BO163" s="30" t="n">
        <f aca="false">BN163*$BH$5/12</f>
        <v>0</v>
      </c>
      <c r="BP163" s="30" t="n">
        <f aca="false">MIN($BH$6,BN163+BO163)</f>
        <v>0</v>
      </c>
      <c r="BQ163" s="30" t="n">
        <f aca="false">BN163+BO163-BP163</f>
        <v>0</v>
      </c>
      <c r="BR163" s="30" t="n">
        <f aca="false">BW162</f>
        <v>0</v>
      </c>
      <c r="BS163" s="30" t="n">
        <f aca="false">BR163*$BR$5/12</f>
        <v>0</v>
      </c>
      <c r="BT163" s="30" t="n">
        <f aca="false">MIN($BR$6,BR163+BS163)</f>
        <v>0</v>
      </c>
      <c r="BU163" s="30" t="n">
        <f aca="false">MAX(0,MIN(BL163,BR163+BS163-BT163))</f>
        <v>0</v>
      </c>
      <c r="BV163" s="29" t="n">
        <f aca="false">BL163-BU163</f>
        <v>690</v>
      </c>
      <c r="BW163" s="30" t="n">
        <f aca="false">BR163+BS163-BT163-BU163</f>
        <v>0</v>
      </c>
      <c r="BX163" s="30" t="n">
        <f aca="false">CA162</f>
        <v>0</v>
      </c>
      <c r="BY163" s="30" t="n">
        <f aca="false">BX163*$BR$5/12</f>
        <v>0</v>
      </c>
      <c r="BZ163" s="30" t="n">
        <f aca="false">MIN($BR$6,BX163+BY163)</f>
        <v>0</v>
      </c>
      <c r="CA163" s="30" t="n">
        <f aca="false">BX163+BY163-BZ163</f>
        <v>0</v>
      </c>
      <c r="CB163" s="30" t="n">
        <f aca="false">CG162</f>
        <v>0</v>
      </c>
      <c r="CC163" s="30" t="n">
        <f aca="false">CB163*$CB$5/12</f>
        <v>0</v>
      </c>
      <c r="CD163" s="30" t="n">
        <f aca="false">MIN($CB$6,CB163+CC163)</f>
        <v>0</v>
      </c>
      <c r="CE163" s="30" t="n">
        <f aca="false">MAX(0,MIN(BV163,CB163+CC163-CD163))</f>
        <v>0</v>
      </c>
      <c r="CF163" s="29" t="n">
        <f aca="false">BV163-CE163</f>
        <v>690</v>
      </c>
      <c r="CG163" s="30" t="n">
        <f aca="false">CB163+CC163-CD163-CE163</f>
        <v>0</v>
      </c>
      <c r="CH163" s="30" t="n">
        <f aca="false">CK162</f>
        <v>0</v>
      </c>
      <c r="CI163" s="30" t="n">
        <f aca="false">CH163*$CB$5/12</f>
        <v>0</v>
      </c>
      <c r="CJ163" s="30" t="n">
        <f aca="false">MIN($CB$6,CH163+CI163)</f>
        <v>0</v>
      </c>
      <c r="CK163" s="30" t="n">
        <f aca="false">CH163+CI163-CJ163</f>
        <v>0</v>
      </c>
    </row>
    <row r="164" customFormat="false" ht="15" hidden="false" customHeight="false" outlineLevel="0" collapsed="false">
      <c r="A164" s="0" t="n">
        <v>156</v>
      </c>
      <c r="B164" s="29" t="n">
        <f aca="false">'1 Your debts'!$B$16-(L164+V164+AF164+AP164+AZ164+BJ164+BT164+CD164)</f>
        <v>690</v>
      </c>
      <c r="C164" s="34" t="n">
        <f aca="false">O164+Y164+AI164+AS164+BC164+BM164+BW164+CG164</f>
        <v>0</v>
      </c>
      <c r="D164" s="34" t="n">
        <f aca="false">K164+U164+AE164+AO164+AY164+BI164+BS164+CC164</f>
        <v>0</v>
      </c>
      <c r="F164" s="34" t="n">
        <f aca="false">S164+AC164+AM164+AW164+BG164+BQ164+CA164+CK164</f>
        <v>0</v>
      </c>
      <c r="G164" s="34" t="n">
        <f aca="false">Q164+AA164+AK164+AU164+BE164+BO164+BY164+CI164</f>
        <v>0</v>
      </c>
      <c r="J164" s="34" t="n">
        <f aca="false">O163</f>
        <v>0</v>
      </c>
      <c r="K164" s="34" t="n">
        <f aca="false">J164*$J$5/12</f>
        <v>0</v>
      </c>
      <c r="L164" s="29" t="n">
        <f aca="false">MIN($J$6,J164+K164)</f>
        <v>0</v>
      </c>
      <c r="M164" s="30" t="n">
        <f aca="false">MAX(0,MIN($B164,J164+K164-L164))</f>
        <v>0</v>
      </c>
      <c r="N164" s="29" t="n">
        <f aca="false">$B164-M164</f>
        <v>690</v>
      </c>
      <c r="O164" s="34" t="n">
        <f aca="false">J164+K164-L164-M164</f>
        <v>0</v>
      </c>
      <c r="P164" s="34" t="n">
        <f aca="false">S163</f>
        <v>0</v>
      </c>
      <c r="Q164" s="34" t="n">
        <f aca="false">P164*$J$5/12</f>
        <v>0</v>
      </c>
      <c r="R164" s="29" t="n">
        <f aca="false">MIN($J$6,P164+Q164)</f>
        <v>0</v>
      </c>
      <c r="S164" s="34" t="n">
        <f aca="false">P164+Q164-R164</f>
        <v>0</v>
      </c>
      <c r="T164" s="34" t="n">
        <f aca="false">Y163</f>
        <v>0</v>
      </c>
      <c r="U164" s="34" t="n">
        <f aca="false">T164*$T$5/12</f>
        <v>0</v>
      </c>
      <c r="V164" s="29" t="n">
        <f aca="false">MIN($T$6,T164+U164)</f>
        <v>0</v>
      </c>
      <c r="W164" s="30" t="n">
        <f aca="false">MAX(0,MIN(N164,T164+U164-V164))</f>
        <v>0</v>
      </c>
      <c r="X164" s="29" t="n">
        <f aca="false">N164-W164</f>
        <v>690</v>
      </c>
      <c r="Y164" s="34" t="n">
        <f aca="false">T164+U164-V164-W164</f>
        <v>0</v>
      </c>
      <c r="Z164" s="34" t="n">
        <f aca="false">AC163</f>
        <v>0</v>
      </c>
      <c r="AA164" s="34" t="n">
        <f aca="false">Z164*$T$5/12</f>
        <v>0</v>
      </c>
      <c r="AB164" s="29" t="n">
        <f aca="false">MIN($T$6,Z164+AA164)</f>
        <v>0</v>
      </c>
      <c r="AC164" s="34" t="n">
        <f aca="false">Z164+AA164-AB164</f>
        <v>0</v>
      </c>
      <c r="AD164" s="34" t="n">
        <f aca="false">AI163</f>
        <v>0</v>
      </c>
      <c r="AE164" s="34" t="n">
        <f aca="false">AD164*$AD$5/12</f>
        <v>0</v>
      </c>
      <c r="AF164" s="29" t="n">
        <f aca="false">MIN($AD$6,AD164+AE164)</f>
        <v>0</v>
      </c>
      <c r="AG164" s="30" t="n">
        <f aca="false">MAX(0,MIN(X164,AD164+AE164-AF164))</f>
        <v>0</v>
      </c>
      <c r="AH164" s="29" t="n">
        <f aca="false">X164-AG164</f>
        <v>690</v>
      </c>
      <c r="AI164" s="34" t="n">
        <f aca="false">AD164+AE164-AF164-AG164</f>
        <v>0</v>
      </c>
      <c r="AJ164" s="34" t="n">
        <f aca="false">AM163</f>
        <v>0</v>
      </c>
      <c r="AK164" s="34" t="n">
        <f aca="false">AJ164*$AD$5/12</f>
        <v>0</v>
      </c>
      <c r="AL164" s="29" t="n">
        <f aca="false">MIN($AD$6,AJ164+AK164)</f>
        <v>0</v>
      </c>
      <c r="AM164" s="34" t="n">
        <f aca="false">AJ164+AK164-AL164</f>
        <v>0</v>
      </c>
      <c r="AN164" s="34" t="n">
        <f aca="false">AS163</f>
        <v>0</v>
      </c>
      <c r="AO164" s="34" t="n">
        <f aca="false">AN164*$AN$5/12</f>
        <v>0</v>
      </c>
      <c r="AP164" s="29" t="n">
        <f aca="false">MIN($AN$6,AN164+AO164)</f>
        <v>0</v>
      </c>
      <c r="AQ164" s="30" t="n">
        <f aca="false">MAX(0,MIN(AH164,AN164+AO164-AP164))</f>
        <v>0</v>
      </c>
      <c r="AR164" s="29" t="n">
        <f aca="false">AH164-AQ164</f>
        <v>690</v>
      </c>
      <c r="AS164" s="34" t="n">
        <f aca="false">AN164+AO164-AP164-AQ164</f>
        <v>0</v>
      </c>
      <c r="AT164" s="34" t="n">
        <f aca="false">AW163</f>
        <v>0</v>
      </c>
      <c r="AU164" s="34" t="n">
        <f aca="false">AT164*$AN$5/12</f>
        <v>0</v>
      </c>
      <c r="AV164" s="29" t="n">
        <f aca="false">MIN($AN$6,AT164+AU164)</f>
        <v>0</v>
      </c>
      <c r="AW164" s="34" t="n">
        <f aca="false">AT164+AU164-AV164</f>
        <v>0</v>
      </c>
      <c r="AX164" s="30" t="n">
        <f aca="false">BC163</f>
        <v>0</v>
      </c>
      <c r="AY164" s="30" t="n">
        <f aca="false">AX164*$AX$5/12</f>
        <v>0</v>
      </c>
      <c r="AZ164" s="30" t="n">
        <f aca="false">MIN($AX$6,AX164+AY164)</f>
        <v>0</v>
      </c>
      <c r="BA164" s="30" t="n">
        <f aca="false">MAX(0,MIN(AR164,AX164+AY164-AZ164))</f>
        <v>0</v>
      </c>
      <c r="BB164" s="29" t="n">
        <f aca="false">AR164-BA164</f>
        <v>690</v>
      </c>
      <c r="BC164" s="30" t="n">
        <f aca="false">AX164+AY164-AZ164-BA164</f>
        <v>0</v>
      </c>
      <c r="BD164" s="30" t="n">
        <f aca="false">BG163</f>
        <v>0</v>
      </c>
      <c r="BE164" s="30" t="n">
        <f aca="false">BD164*$AX$5/12</f>
        <v>0</v>
      </c>
      <c r="BF164" s="30" t="n">
        <f aca="false">MIN($AX$6,BD164+BE164)</f>
        <v>0</v>
      </c>
      <c r="BG164" s="30" t="n">
        <f aca="false">BD164+BE164-BF164</f>
        <v>0</v>
      </c>
      <c r="BH164" s="30" t="n">
        <f aca="false">BM163</f>
        <v>0</v>
      </c>
      <c r="BI164" s="30" t="n">
        <f aca="false">BH164*$BH$5/12</f>
        <v>0</v>
      </c>
      <c r="BJ164" s="30" t="n">
        <f aca="false">MIN($BH$6,BH164+BI164)</f>
        <v>0</v>
      </c>
      <c r="BK164" s="30" t="n">
        <f aca="false">MAX(0,MIN(BB164,BH164+BI164-BJ164))</f>
        <v>0</v>
      </c>
      <c r="BL164" s="29" t="n">
        <f aca="false">BB164-BK164</f>
        <v>690</v>
      </c>
      <c r="BM164" s="30" t="n">
        <f aca="false">BH164+BI164-BJ164-BK164</f>
        <v>0</v>
      </c>
      <c r="BN164" s="30" t="n">
        <f aca="false">BQ163</f>
        <v>0</v>
      </c>
      <c r="BO164" s="30" t="n">
        <f aca="false">BN164*$BH$5/12</f>
        <v>0</v>
      </c>
      <c r="BP164" s="30" t="n">
        <f aca="false">MIN($BH$6,BN164+BO164)</f>
        <v>0</v>
      </c>
      <c r="BQ164" s="30" t="n">
        <f aca="false">BN164+BO164-BP164</f>
        <v>0</v>
      </c>
      <c r="BR164" s="30" t="n">
        <f aca="false">BW163</f>
        <v>0</v>
      </c>
      <c r="BS164" s="30" t="n">
        <f aca="false">BR164*$BR$5/12</f>
        <v>0</v>
      </c>
      <c r="BT164" s="30" t="n">
        <f aca="false">MIN($BR$6,BR164+BS164)</f>
        <v>0</v>
      </c>
      <c r="BU164" s="30" t="n">
        <f aca="false">MAX(0,MIN(BL164,BR164+BS164-BT164))</f>
        <v>0</v>
      </c>
      <c r="BV164" s="29" t="n">
        <f aca="false">BL164-BU164</f>
        <v>690</v>
      </c>
      <c r="BW164" s="30" t="n">
        <f aca="false">BR164+BS164-BT164-BU164</f>
        <v>0</v>
      </c>
      <c r="BX164" s="30" t="n">
        <f aca="false">CA163</f>
        <v>0</v>
      </c>
      <c r="BY164" s="30" t="n">
        <f aca="false">BX164*$BR$5/12</f>
        <v>0</v>
      </c>
      <c r="BZ164" s="30" t="n">
        <f aca="false">MIN($BR$6,BX164+BY164)</f>
        <v>0</v>
      </c>
      <c r="CA164" s="30" t="n">
        <f aca="false">BX164+BY164-BZ164</f>
        <v>0</v>
      </c>
      <c r="CB164" s="30" t="n">
        <f aca="false">CG163</f>
        <v>0</v>
      </c>
      <c r="CC164" s="30" t="n">
        <f aca="false">CB164*$CB$5/12</f>
        <v>0</v>
      </c>
      <c r="CD164" s="30" t="n">
        <f aca="false">MIN($CB$6,CB164+CC164)</f>
        <v>0</v>
      </c>
      <c r="CE164" s="30" t="n">
        <f aca="false">MAX(0,MIN(BV164,CB164+CC164-CD164))</f>
        <v>0</v>
      </c>
      <c r="CF164" s="29" t="n">
        <f aca="false">BV164-CE164</f>
        <v>690</v>
      </c>
      <c r="CG164" s="30" t="n">
        <f aca="false">CB164+CC164-CD164-CE164</f>
        <v>0</v>
      </c>
      <c r="CH164" s="30" t="n">
        <f aca="false">CK163</f>
        <v>0</v>
      </c>
      <c r="CI164" s="30" t="n">
        <f aca="false">CH164*$CB$5/12</f>
        <v>0</v>
      </c>
      <c r="CJ164" s="30" t="n">
        <f aca="false">MIN($CB$6,CH164+CI164)</f>
        <v>0</v>
      </c>
      <c r="CK164" s="30" t="n">
        <f aca="false">CH164+CI164-CJ164</f>
        <v>0</v>
      </c>
    </row>
    <row r="165" customFormat="false" ht="15" hidden="false" customHeight="false" outlineLevel="0" collapsed="false">
      <c r="A165" s="0" t="n">
        <v>157</v>
      </c>
      <c r="B165" s="29" t="n">
        <f aca="false">'1 Your debts'!$B$16-(L165+V165+AF165+AP165+AZ165+BJ165+BT165+CD165)</f>
        <v>690</v>
      </c>
      <c r="C165" s="34" t="n">
        <f aca="false">O165+Y165+AI165+AS165+BC165+BM165+BW165+CG165</f>
        <v>0</v>
      </c>
      <c r="D165" s="34" t="n">
        <f aca="false">K165+U165+AE165+AO165+AY165+BI165+BS165+CC165</f>
        <v>0</v>
      </c>
      <c r="F165" s="34" t="n">
        <f aca="false">S165+AC165+AM165+AW165+BG165+BQ165+CA165+CK165</f>
        <v>0</v>
      </c>
      <c r="G165" s="34" t="n">
        <f aca="false">Q165+AA165+AK165+AU165+BE165+BO165+BY165+CI165</f>
        <v>0</v>
      </c>
      <c r="J165" s="34" t="n">
        <f aca="false">O164</f>
        <v>0</v>
      </c>
      <c r="K165" s="34" t="n">
        <f aca="false">J165*$J$5/12</f>
        <v>0</v>
      </c>
      <c r="L165" s="29" t="n">
        <f aca="false">MIN($J$6,J165+K165)</f>
        <v>0</v>
      </c>
      <c r="M165" s="30" t="n">
        <f aca="false">MAX(0,MIN($B165,J165+K165-L165))</f>
        <v>0</v>
      </c>
      <c r="N165" s="29" t="n">
        <f aca="false">$B165-M165</f>
        <v>690</v>
      </c>
      <c r="O165" s="34" t="n">
        <f aca="false">J165+K165-L165-M165</f>
        <v>0</v>
      </c>
      <c r="P165" s="34" t="n">
        <f aca="false">S164</f>
        <v>0</v>
      </c>
      <c r="Q165" s="34" t="n">
        <f aca="false">P165*$J$5/12</f>
        <v>0</v>
      </c>
      <c r="R165" s="29" t="n">
        <f aca="false">MIN($J$6,P165+Q165)</f>
        <v>0</v>
      </c>
      <c r="S165" s="34" t="n">
        <f aca="false">P165+Q165-R165</f>
        <v>0</v>
      </c>
      <c r="T165" s="34" t="n">
        <f aca="false">Y164</f>
        <v>0</v>
      </c>
      <c r="U165" s="34" t="n">
        <f aca="false">T165*$T$5/12</f>
        <v>0</v>
      </c>
      <c r="V165" s="29" t="n">
        <f aca="false">MIN($T$6,T165+U165)</f>
        <v>0</v>
      </c>
      <c r="W165" s="30" t="n">
        <f aca="false">MAX(0,MIN(N165,T165+U165-V165))</f>
        <v>0</v>
      </c>
      <c r="X165" s="29" t="n">
        <f aca="false">N165-W165</f>
        <v>690</v>
      </c>
      <c r="Y165" s="34" t="n">
        <f aca="false">T165+U165-V165-W165</f>
        <v>0</v>
      </c>
      <c r="Z165" s="34" t="n">
        <f aca="false">AC164</f>
        <v>0</v>
      </c>
      <c r="AA165" s="34" t="n">
        <f aca="false">Z165*$T$5/12</f>
        <v>0</v>
      </c>
      <c r="AB165" s="29" t="n">
        <f aca="false">MIN($T$6,Z165+AA165)</f>
        <v>0</v>
      </c>
      <c r="AC165" s="34" t="n">
        <f aca="false">Z165+AA165-AB165</f>
        <v>0</v>
      </c>
      <c r="AD165" s="34" t="n">
        <f aca="false">AI164</f>
        <v>0</v>
      </c>
      <c r="AE165" s="34" t="n">
        <f aca="false">AD165*$AD$5/12</f>
        <v>0</v>
      </c>
      <c r="AF165" s="29" t="n">
        <f aca="false">MIN($AD$6,AD165+AE165)</f>
        <v>0</v>
      </c>
      <c r="AG165" s="30" t="n">
        <f aca="false">MAX(0,MIN(X165,AD165+AE165-AF165))</f>
        <v>0</v>
      </c>
      <c r="AH165" s="29" t="n">
        <f aca="false">X165-AG165</f>
        <v>690</v>
      </c>
      <c r="AI165" s="34" t="n">
        <f aca="false">AD165+AE165-AF165-AG165</f>
        <v>0</v>
      </c>
      <c r="AJ165" s="34" t="n">
        <f aca="false">AM164</f>
        <v>0</v>
      </c>
      <c r="AK165" s="34" t="n">
        <f aca="false">AJ165*$AD$5/12</f>
        <v>0</v>
      </c>
      <c r="AL165" s="29" t="n">
        <f aca="false">MIN($AD$6,AJ165+AK165)</f>
        <v>0</v>
      </c>
      <c r="AM165" s="34" t="n">
        <f aca="false">AJ165+AK165-AL165</f>
        <v>0</v>
      </c>
      <c r="AN165" s="34" t="n">
        <f aca="false">AS164</f>
        <v>0</v>
      </c>
      <c r="AO165" s="34" t="n">
        <f aca="false">AN165*$AN$5/12</f>
        <v>0</v>
      </c>
      <c r="AP165" s="29" t="n">
        <f aca="false">MIN($AN$6,AN165+AO165)</f>
        <v>0</v>
      </c>
      <c r="AQ165" s="30" t="n">
        <f aca="false">MAX(0,MIN(AH165,AN165+AO165-AP165))</f>
        <v>0</v>
      </c>
      <c r="AR165" s="29" t="n">
        <f aca="false">AH165-AQ165</f>
        <v>690</v>
      </c>
      <c r="AS165" s="34" t="n">
        <f aca="false">AN165+AO165-AP165-AQ165</f>
        <v>0</v>
      </c>
      <c r="AT165" s="34" t="n">
        <f aca="false">AW164</f>
        <v>0</v>
      </c>
      <c r="AU165" s="34" t="n">
        <f aca="false">AT165*$AN$5/12</f>
        <v>0</v>
      </c>
      <c r="AV165" s="29" t="n">
        <f aca="false">MIN($AN$6,AT165+AU165)</f>
        <v>0</v>
      </c>
      <c r="AW165" s="34" t="n">
        <f aca="false">AT165+AU165-AV165</f>
        <v>0</v>
      </c>
      <c r="AX165" s="30" t="n">
        <f aca="false">BC164</f>
        <v>0</v>
      </c>
      <c r="AY165" s="30" t="n">
        <f aca="false">AX165*$AX$5/12</f>
        <v>0</v>
      </c>
      <c r="AZ165" s="30" t="n">
        <f aca="false">MIN($AX$6,AX165+AY165)</f>
        <v>0</v>
      </c>
      <c r="BA165" s="30" t="n">
        <f aca="false">MAX(0,MIN(AR165,AX165+AY165-AZ165))</f>
        <v>0</v>
      </c>
      <c r="BB165" s="29" t="n">
        <f aca="false">AR165-BA165</f>
        <v>690</v>
      </c>
      <c r="BC165" s="30" t="n">
        <f aca="false">AX165+AY165-AZ165-BA165</f>
        <v>0</v>
      </c>
      <c r="BD165" s="30" t="n">
        <f aca="false">BG164</f>
        <v>0</v>
      </c>
      <c r="BE165" s="30" t="n">
        <f aca="false">BD165*$AX$5/12</f>
        <v>0</v>
      </c>
      <c r="BF165" s="30" t="n">
        <f aca="false">MIN($AX$6,BD165+BE165)</f>
        <v>0</v>
      </c>
      <c r="BG165" s="30" t="n">
        <f aca="false">BD165+BE165-BF165</f>
        <v>0</v>
      </c>
      <c r="BH165" s="30" t="n">
        <f aca="false">BM164</f>
        <v>0</v>
      </c>
      <c r="BI165" s="30" t="n">
        <f aca="false">BH165*$BH$5/12</f>
        <v>0</v>
      </c>
      <c r="BJ165" s="30" t="n">
        <f aca="false">MIN($BH$6,BH165+BI165)</f>
        <v>0</v>
      </c>
      <c r="BK165" s="30" t="n">
        <f aca="false">MAX(0,MIN(BB165,BH165+BI165-BJ165))</f>
        <v>0</v>
      </c>
      <c r="BL165" s="29" t="n">
        <f aca="false">BB165-BK165</f>
        <v>690</v>
      </c>
      <c r="BM165" s="30" t="n">
        <f aca="false">BH165+BI165-BJ165-BK165</f>
        <v>0</v>
      </c>
      <c r="BN165" s="30" t="n">
        <f aca="false">BQ164</f>
        <v>0</v>
      </c>
      <c r="BO165" s="30" t="n">
        <f aca="false">BN165*$BH$5/12</f>
        <v>0</v>
      </c>
      <c r="BP165" s="30" t="n">
        <f aca="false">MIN($BH$6,BN165+BO165)</f>
        <v>0</v>
      </c>
      <c r="BQ165" s="30" t="n">
        <f aca="false">BN165+BO165-BP165</f>
        <v>0</v>
      </c>
      <c r="BR165" s="30" t="n">
        <f aca="false">BW164</f>
        <v>0</v>
      </c>
      <c r="BS165" s="30" t="n">
        <f aca="false">BR165*$BR$5/12</f>
        <v>0</v>
      </c>
      <c r="BT165" s="30" t="n">
        <f aca="false">MIN($BR$6,BR165+BS165)</f>
        <v>0</v>
      </c>
      <c r="BU165" s="30" t="n">
        <f aca="false">MAX(0,MIN(BL165,BR165+BS165-BT165))</f>
        <v>0</v>
      </c>
      <c r="BV165" s="29" t="n">
        <f aca="false">BL165-BU165</f>
        <v>690</v>
      </c>
      <c r="BW165" s="30" t="n">
        <f aca="false">BR165+BS165-BT165-BU165</f>
        <v>0</v>
      </c>
      <c r="BX165" s="30" t="n">
        <f aca="false">CA164</f>
        <v>0</v>
      </c>
      <c r="BY165" s="30" t="n">
        <f aca="false">BX165*$BR$5/12</f>
        <v>0</v>
      </c>
      <c r="BZ165" s="30" t="n">
        <f aca="false">MIN($BR$6,BX165+BY165)</f>
        <v>0</v>
      </c>
      <c r="CA165" s="30" t="n">
        <f aca="false">BX165+BY165-BZ165</f>
        <v>0</v>
      </c>
      <c r="CB165" s="30" t="n">
        <f aca="false">CG164</f>
        <v>0</v>
      </c>
      <c r="CC165" s="30" t="n">
        <f aca="false">CB165*$CB$5/12</f>
        <v>0</v>
      </c>
      <c r="CD165" s="30" t="n">
        <f aca="false">MIN($CB$6,CB165+CC165)</f>
        <v>0</v>
      </c>
      <c r="CE165" s="30" t="n">
        <f aca="false">MAX(0,MIN(BV165,CB165+CC165-CD165))</f>
        <v>0</v>
      </c>
      <c r="CF165" s="29" t="n">
        <f aca="false">BV165-CE165</f>
        <v>690</v>
      </c>
      <c r="CG165" s="30" t="n">
        <f aca="false">CB165+CC165-CD165-CE165</f>
        <v>0</v>
      </c>
      <c r="CH165" s="30" t="n">
        <f aca="false">CK164</f>
        <v>0</v>
      </c>
      <c r="CI165" s="30" t="n">
        <f aca="false">CH165*$CB$5/12</f>
        <v>0</v>
      </c>
      <c r="CJ165" s="30" t="n">
        <f aca="false">MIN($CB$6,CH165+CI165)</f>
        <v>0</v>
      </c>
      <c r="CK165" s="30" t="n">
        <f aca="false">CH165+CI165-CJ165</f>
        <v>0</v>
      </c>
    </row>
    <row r="166" customFormat="false" ht="15" hidden="false" customHeight="false" outlineLevel="0" collapsed="false">
      <c r="A166" s="0" t="n">
        <v>158</v>
      </c>
      <c r="B166" s="29" t="n">
        <f aca="false">'1 Your debts'!$B$16-(L166+V166+AF166+AP166+AZ166+BJ166+BT166+CD166)</f>
        <v>690</v>
      </c>
      <c r="C166" s="34" t="n">
        <f aca="false">O166+Y166+AI166+AS166+BC166+BM166+BW166+CG166</f>
        <v>0</v>
      </c>
      <c r="D166" s="34" t="n">
        <f aca="false">K166+U166+AE166+AO166+AY166+BI166+BS166+CC166</f>
        <v>0</v>
      </c>
      <c r="F166" s="34" t="n">
        <f aca="false">S166+AC166+AM166+AW166+BG166+BQ166+CA166+CK166</f>
        <v>0</v>
      </c>
      <c r="G166" s="34" t="n">
        <f aca="false">Q166+AA166+AK166+AU166+BE166+BO166+BY166+CI166</f>
        <v>0</v>
      </c>
      <c r="J166" s="34" t="n">
        <f aca="false">O165</f>
        <v>0</v>
      </c>
      <c r="K166" s="34" t="n">
        <f aca="false">J166*$J$5/12</f>
        <v>0</v>
      </c>
      <c r="L166" s="29" t="n">
        <f aca="false">MIN($J$6,J166+K166)</f>
        <v>0</v>
      </c>
      <c r="M166" s="30" t="n">
        <f aca="false">MAX(0,MIN($B166,J166+K166-L166))</f>
        <v>0</v>
      </c>
      <c r="N166" s="29" t="n">
        <f aca="false">$B166-M166</f>
        <v>690</v>
      </c>
      <c r="O166" s="34" t="n">
        <f aca="false">J166+K166-L166-M166</f>
        <v>0</v>
      </c>
      <c r="P166" s="34" t="n">
        <f aca="false">S165</f>
        <v>0</v>
      </c>
      <c r="Q166" s="34" t="n">
        <f aca="false">P166*$J$5/12</f>
        <v>0</v>
      </c>
      <c r="R166" s="29" t="n">
        <f aca="false">MIN($J$6,P166+Q166)</f>
        <v>0</v>
      </c>
      <c r="S166" s="34" t="n">
        <f aca="false">P166+Q166-R166</f>
        <v>0</v>
      </c>
      <c r="T166" s="34" t="n">
        <f aca="false">Y165</f>
        <v>0</v>
      </c>
      <c r="U166" s="34" t="n">
        <f aca="false">T166*$T$5/12</f>
        <v>0</v>
      </c>
      <c r="V166" s="29" t="n">
        <f aca="false">MIN($T$6,T166+U166)</f>
        <v>0</v>
      </c>
      <c r="W166" s="30" t="n">
        <f aca="false">MAX(0,MIN(N166,T166+U166-V166))</f>
        <v>0</v>
      </c>
      <c r="X166" s="29" t="n">
        <f aca="false">N166-W166</f>
        <v>690</v>
      </c>
      <c r="Y166" s="34" t="n">
        <f aca="false">T166+U166-V166-W166</f>
        <v>0</v>
      </c>
      <c r="Z166" s="34" t="n">
        <f aca="false">AC165</f>
        <v>0</v>
      </c>
      <c r="AA166" s="34" t="n">
        <f aca="false">Z166*$T$5/12</f>
        <v>0</v>
      </c>
      <c r="AB166" s="29" t="n">
        <f aca="false">MIN($T$6,Z166+AA166)</f>
        <v>0</v>
      </c>
      <c r="AC166" s="34" t="n">
        <f aca="false">Z166+AA166-AB166</f>
        <v>0</v>
      </c>
      <c r="AD166" s="34" t="n">
        <f aca="false">AI165</f>
        <v>0</v>
      </c>
      <c r="AE166" s="34" t="n">
        <f aca="false">AD166*$AD$5/12</f>
        <v>0</v>
      </c>
      <c r="AF166" s="29" t="n">
        <f aca="false">MIN($AD$6,AD166+AE166)</f>
        <v>0</v>
      </c>
      <c r="AG166" s="30" t="n">
        <f aca="false">MAX(0,MIN(X166,AD166+AE166-AF166))</f>
        <v>0</v>
      </c>
      <c r="AH166" s="29" t="n">
        <f aca="false">X166-AG166</f>
        <v>690</v>
      </c>
      <c r="AI166" s="34" t="n">
        <f aca="false">AD166+AE166-AF166-AG166</f>
        <v>0</v>
      </c>
      <c r="AJ166" s="34" t="n">
        <f aca="false">AM165</f>
        <v>0</v>
      </c>
      <c r="AK166" s="34" t="n">
        <f aca="false">AJ166*$AD$5/12</f>
        <v>0</v>
      </c>
      <c r="AL166" s="29" t="n">
        <f aca="false">MIN($AD$6,AJ166+AK166)</f>
        <v>0</v>
      </c>
      <c r="AM166" s="34" t="n">
        <f aca="false">AJ166+AK166-AL166</f>
        <v>0</v>
      </c>
      <c r="AN166" s="34" t="n">
        <f aca="false">AS165</f>
        <v>0</v>
      </c>
      <c r="AO166" s="34" t="n">
        <f aca="false">AN166*$AN$5/12</f>
        <v>0</v>
      </c>
      <c r="AP166" s="29" t="n">
        <f aca="false">MIN($AN$6,AN166+AO166)</f>
        <v>0</v>
      </c>
      <c r="AQ166" s="30" t="n">
        <f aca="false">MAX(0,MIN(AH166,AN166+AO166-AP166))</f>
        <v>0</v>
      </c>
      <c r="AR166" s="29" t="n">
        <f aca="false">AH166-AQ166</f>
        <v>690</v>
      </c>
      <c r="AS166" s="34" t="n">
        <f aca="false">AN166+AO166-AP166-AQ166</f>
        <v>0</v>
      </c>
      <c r="AT166" s="34" t="n">
        <f aca="false">AW165</f>
        <v>0</v>
      </c>
      <c r="AU166" s="34" t="n">
        <f aca="false">AT166*$AN$5/12</f>
        <v>0</v>
      </c>
      <c r="AV166" s="29" t="n">
        <f aca="false">MIN($AN$6,AT166+AU166)</f>
        <v>0</v>
      </c>
      <c r="AW166" s="34" t="n">
        <f aca="false">AT166+AU166-AV166</f>
        <v>0</v>
      </c>
      <c r="AX166" s="30" t="n">
        <f aca="false">BC165</f>
        <v>0</v>
      </c>
      <c r="AY166" s="30" t="n">
        <f aca="false">AX166*$AX$5/12</f>
        <v>0</v>
      </c>
      <c r="AZ166" s="30" t="n">
        <f aca="false">MIN($AX$6,AX166+AY166)</f>
        <v>0</v>
      </c>
      <c r="BA166" s="30" t="n">
        <f aca="false">MAX(0,MIN(AR166,AX166+AY166-AZ166))</f>
        <v>0</v>
      </c>
      <c r="BB166" s="29" t="n">
        <f aca="false">AR166-BA166</f>
        <v>690</v>
      </c>
      <c r="BC166" s="30" t="n">
        <f aca="false">AX166+AY166-AZ166-BA166</f>
        <v>0</v>
      </c>
      <c r="BD166" s="30" t="n">
        <f aca="false">BG165</f>
        <v>0</v>
      </c>
      <c r="BE166" s="30" t="n">
        <f aca="false">BD166*$AX$5/12</f>
        <v>0</v>
      </c>
      <c r="BF166" s="30" t="n">
        <f aca="false">MIN($AX$6,BD166+BE166)</f>
        <v>0</v>
      </c>
      <c r="BG166" s="30" t="n">
        <f aca="false">BD166+BE166-BF166</f>
        <v>0</v>
      </c>
      <c r="BH166" s="30" t="n">
        <f aca="false">BM165</f>
        <v>0</v>
      </c>
      <c r="BI166" s="30" t="n">
        <f aca="false">BH166*$BH$5/12</f>
        <v>0</v>
      </c>
      <c r="BJ166" s="30" t="n">
        <f aca="false">MIN($BH$6,BH166+BI166)</f>
        <v>0</v>
      </c>
      <c r="BK166" s="30" t="n">
        <f aca="false">MAX(0,MIN(BB166,BH166+BI166-BJ166))</f>
        <v>0</v>
      </c>
      <c r="BL166" s="29" t="n">
        <f aca="false">BB166-BK166</f>
        <v>690</v>
      </c>
      <c r="BM166" s="30" t="n">
        <f aca="false">BH166+BI166-BJ166-BK166</f>
        <v>0</v>
      </c>
      <c r="BN166" s="30" t="n">
        <f aca="false">BQ165</f>
        <v>0</v>
      </c>
      <c r="BO166" s="30" t="n">
        <f aca="false">BN166*$BH$5/12</f>
        <v>0</v>
      </c>
      <c r="BP166" s="30" t="n">
        <f aca="false">MIN($BH$6,BN166+BO166)</f>
        <v>0</v>
      </c>
      <c r="BQ166" s="30" t="n">
        <f aca="false">BN166+BO166-BP166</f>
        <v>0</v>
      </c>
      <c r="BR166" s="30" t="n">
        <f aca="false">BW165</f>
        <v>0</v>
      </c>
      <c r="BS166" s="30" t="n">
        <f aca="false">BR166*$BR$5/12</f>
        <v>0</v>
      </c>
      <c r="BT166" s="30" t="n">
        <f aca="false">MIN($BR$6,BR166+BS166)</f>
        <v>0</v>
      </c>
      <c r="BU166" s="30" t="n">
        <f aca="false">MAX(0,MIN(BL166,BR166+BS166-BT166))</f>
        <v>0</v>
      </c>
      <c r="BV166" s="29" t="n">
        <f aca="false">BL166-BU166</f>
        <v>690</v>
      </c>
      <c r="BW166" s="30" t="n">
        <f aca="false">BR166+BS166-BT166-BU166</f>
        <v>0</v>
      </c>
      <c r="BX166" s="30" t="n">
        <f aca="false">CA165</f>
        <v>0</v>
      </c>
      <c r="BY166" s="30" t="n">
        <f aca="false">BX166*$BR$5/12</f>
        <v>0</v>
      </c>
      <c r="BZ166" s="30" t="n">
        <f aca="false">MIN($BR$6,BX166+BY166)</f>
        <v>0</v>
      </c>
      <c r="CA166" s="30" t="n">
        <f aca="false">BX166+BY166-BZ166</f>
        <v>0</v>
      </c>
      <c r="CB166" s="30" t="n">
        <f aca="false">CG165</f>
        <v>0</v>
      </c>
      <c r="CC166" s="30" t="n">
        <f aca="false">CB166*$CB$5/12</f>
        <v>0</v>
      </c>
      <c r="CD166" s="30" t="n">
        <f aca="false">MIN($CB$6,CB166+CC166)</f>
        <v>0</v>
      </c>
      <c r="CE166" s="30" t="n">
        <f aca="false">MAX(0,MIN(BV166,CB166+CC166-CD166))</f>
        <v>0</v>
      </c>
      <c r="CF166" s="29" t="n">
        <f aca="false">BV166-CE166</f>
        <v>690</v>
      </c>
      <c r="CG166" s="30" t="n">
        <f aca="false">CB166+CC166-CD166-CE166</f>
        <v>0</v>
      </c>
      <c r="CH166" s="30" t="n">
        <f aca="false">CK165</f>
        <v>0</v>
      </c>
      <c r="CI166" s="30" t="n">
        <f aca="false">CH166*$CB$5/12</f>
        <v>0</v>
      </c>
      <c r="CJ166" s="30" t="n">
        <f aca="false">MIN($CB$6,CH166+CI166)</f>
        <v>0</v>
      </c>
      <c r="CK166" s="30" t="n">
        <f aca="false">CH166+CI166-CJ166</f>
        <v>0</v>
      </c>
    </row>
    <row r="167" customFormat="false" ht="15" hidden="false" customHeight="false" outlineLevel="0" collapsed="false">
      <c r="A167" s="0" t="n">
        <v>159</v>
      </c>
      <c r="B167" s="29" t="n">
        <f aca="false">'1 Your debts'!$B$16-(L167+V167+AF167+AP167+AZ167+BJ167+BT167+CD167)</f>
        <v>690</v>
      </c>
      <c r="C167" s="34" t="n">
        <f aca="false">O167+Y167+AI167+AS167+BC167+BM167+BW167+CG167</f>
        <v>0</v>
      </c>
      <c r="D167" s="34" t="n">
        <f aca="false">K167+U167+AE167+AO167+AY167+BI167+BS167+CC167</f>
        <v>0</v>
      </c>
      <c r="F167" s="34" t="n">
        <f aca="false">S167+AC167+AM167+AW167+BG167+BQ167+CA167+CK167</f>
        <v>0</v>
      </c>
      <c r="G167" s="34" t="n">
        <f aca="false">Q167+AA167+AK167+AU167+BE167+BO167+BY167+CI167</f>
        <v>0</v>
      </c>
      <c r="J167" s="34" t="n">
        <f aca="false">O166</f>
        <v>0</v>
      </c>
      <c r="K167" s="34" t="n">
        <f aca="false">J167*$J$5/12</f>
        <v>0</v>
      </c>
      <c r="L167" s="29" t="n">
        <f aca="false">MIN($J$6,J167+K167)</f>
        <v>0</v>
      </c>
      <c r="M167" s="30" t="n">
        <f aca="false">MAX(0,MIN($B167,J167+K167-L167))</f>
        <v>0</v>
      </c>
      <c r="N167" s="29" t="n">
        <f aca="false">$B167-M167</f>
        <v>690</v>
      </c>
      <c r="O167" s="34" t="n">
        <f aca="false">J167+K167-L167-M167</f>
        <v>0</v>
      </c>
      <c r="P167" s="34" t="n">
        <f aca="false">S166</f>
        <v>0</v>
      </c>
      <c r="Q167" s="34" t="n">
        <f aca="false">P167*$J$5/12</f>
        <v>0</v>
      </c>
      <c r="R167" s="29" t="n">
        <f aca="false">MIN($J$6,P167+Q167)</f>
        <v>0</v>
      </c>
      <c r="S167" s="34" t="n">
        <f aca="false">P167+Q167-R167</f>
        <v>0</v>
      </c>
      <c r="T167" s="34" t="n">
        <f aca="false">Y166</f>
        <v>0</v>
      </c>
      <c r="U167" s="34" t="n">
        <f aca="false">T167*$T$5/12</f>
        <v>0</v>
      </c>
      <c r="V167" s="29" t="n">
        <f aca="false">MIN($T$6,T167+U167)</f>
        <v>0</v>
      </c>
      <c r="W167" s="30" t="n">
        <f aca="false">MAX(0,MIN(N167,T167+U167-V167))</f>
        <v>0</v>
      </c>
      <c r="X167" s="29" t="n">
        <f aca="false">N167-W167</f>
        <v>690</v>
      </c>
      <c r="Y167" s="34" t="n">
        <f aca="false">T167+U167-V167-W167</f>
        <v>0</v>
      </c>
      <c r="Z167" s="34" t="n">
        <f aca="false">AC166</f>
        <v>0</v>
      </c>
      <c r="AA167" s="34" t="n">
        <f aca="false">Z167*$T$5/12</f>
        <v>0</v>
      </c>
      <c r="AB167" s="29" t="n">
        <f aca="false">MIN($T$6,Z167+AA167)</f>
        <v>0</v>
      </c>
      <c r="AC167" s="34" t="n">
        <f aca="false">Z167+AA167-AB167</f>
        <v>0</v>
      </c>
      <c r="AD167" s="34" t="n">
        <f aca="false">AI166</f>
        <v>0</v>
      </c>
      <c r="AE167" s="34" t="n">
        <f aca="false">AD167*$AD$5/12</f>
        <v>0</v>
      </c>
      <c r="AF167" s="29" t="n">
        <f aca="false">MIN($AD$6,AD167+AE167)</f>
        <v>0</v>
      </c>
      <c r="AG167" s="30" t="n">
        <f aca="false">MAX(0,MIN(X167,AD167+AE167-AF167))</f>
        <v>0</v>
      </c>
      <c r="AH167" s="29" t="n">
        <f aca="false">X167-AG167</f>
        <v>690</v>
      </c>
      <c r="AI167" s="34" t="n">
        <f aca="false">AD167+AE167-AF167-AG167</f>
        <v>0</v>
      </c>
      <c r="AJ167" s="34" t="n">
        <f aca="false">AM166</f>
        <v>0</v>
      </c>
      <c r="AK167" s="34" t="n">
        <f aca="false">AJ167*$AD$5/12</f>
        <v>0</v>
      </c>
      <c r="AL167" s="29" t="n">
        <f aca="false">MIN($AD$6,AJ167+AK167)</f>
        <v>0</v>
      </c>
      <c r="AM167" s="34" t="n">
        <f aca="false">AJ167+AK167-AL167</f>
        <v>0</v>
      </c>
      <c r="AN167" s="34" t="n">
        <f aca="false">AS166</f>
        <v>0</v>
      </c>
      <c r="AO167" s="34" t="n">
        <f aca="false">AN167*$AN$5/12</f>
        <v>0</v>
      </c>
      <c r="AP167" s="29" t="n">
        <f aca="false">MIN($AN$6,AN167+AO167)</f>
        <v>0</v>
      </c>
      <c r="AQ167" s="30" t="n">
        <f aca="false">MAX(0,MIN(AH167,AN167+AO167-AP167))</f>
        <v>0</v>
      </c>
      <c r="AR167" s="29" t="n">
        <f aca="false">AH167-AQ167</f>
        <v>690</v>
      </c>
      <c r="AS167" s="34" t="n">
        <f aca="false">AN167+AO167-AP167-AQ167</f>
        <v>0</v>
      </c>
      <c r="AT167" s="34" t="n">
        <f aca="false">AW166</f>
        <v>0</v>
      </c>
      <c r="AU167" s="34" t="n">
        <f aca="false">AT167*$AN$5/12</f>
        <v>0</v>
      </c>
      <c r="AV167" s="29" t="n">
        <f aca="false">MIN($AN$6,AT167+AU167)</f>
        <v>0</v>
      </c>
      <c r="AW167" s="34" t="n">
        <f aca="false">AT167+AU167-AV167</f>
        <v>0</v>
      </c>
      <c r="AX167" s="30" t="n">
        <f aca="false">BC166</f>
        <v>0</v>
      </c>
      <c r="AY167" s="30" t="n">
        <f aca="false">AX167*$AX$5/12</f>
        <v>0</v>
      </c>
      <c r="AZ167" s="30" t="n">
        <f aca="false">MIN($AX$6,AX167+AY167)</f>
        <v>0</v>
      </c>
      <c r="BA167" s="30" t="n">
        <f aca="false">MAX(0,MIN(AR167,AX167+AY167-AZ167))</f>
        <v>0</v>
      </c>
      <c r="BB167" s="29" t="n">
        <f aca="false">AR167-BA167</f>
        <v>690</v>
      </c>
      <c r="BC167" s="30" t="n">
        <f aca="false">AX167+AY167-AZ167-BA167</f>
        <v>0</v>
      </c>
      <c r="BD167" s="30" t="n">
        <f aca="false">BG166</f>
        <v>0</v>
      </c>
      <c r="BE167" s="30" t="n">
        <f aca="false">BD167*$AX$5/12</f>
        <v>0</v>
      </c>
      <c r="BF167" s="30" t="n">
        <f aca="false">MIN($AX$6,BD167+BE167)</f>
        <v>0</v>
      </c>
      <c r="BG167" s="30" t="n">
        <f aca="false">BD167+BE167-BF167</f>
        <v>0</v>
      </c>
      <c r="BH167" s="30" t="n">
        <f aca="false">BM166</f>
        <v>0</v>
      </c>
      <c r="BI167" s="30" t="n">
        <f aca="false">BH167*$BH$5/12</f>
        <v>0</v>
      </c>
      <c r="BJ167" s="30" t="n">
        <f aca="false">MIN($BH$6,BH167+BI167)</f>
        <v>0</v>
      </c>
      <c r="BK167" s="30" t="n">
        <f aca="false">MAX(0,MIN(BB167,BH167+BI167-BJ167))</f>
        <v>0</v>
      </c>
      <c r="BL167" s="29" t="n">
        <f aca="false">BB167-BK167</f>
        <v>690</v>
      </c>
      <c r="BM167" s="30" t="n">
        <f aca="false">BH167+BI167-BJ167-BK167</f>
        <v>0</v>
      </c>
      <c r="BN167" s="30" t="n">
        <f aca="false">BQ166</f>
        <v>0</v>
      </c>
      <c r="BO167" s="30" t="n">
        <f aca="false">BN167*$BH$5/12</f>
        <v>0</v>
      </c>
      <c r="BP167" s="30" t="n">
        <f aca="false">MIN($BH$6,BN167+BO167)</f>
        <v>0</v>
      </c>
      <c r="BQ167" s="30" t="n">
        <f aca="false">BN167+BO167-BP167</f>
        <v>0</v>
      </c>
      <c r="BR167" s="30" t="n">
        <f aca="false">BW166</f>
        <v>0</v>
      </c>
      <c r="BS167" s="30" t="n">
        <f aca="false">BR167*$BR$5/12</f>
        <v>0</v>
      </c>
      <c r="BT167" s="30" t="n">
        <f aca="false">MIN($BR$6,BR167+BS167)</f>
        <v>0</v>
      </c>
      <c r="BU167" s="30" t="n">
        <f aca="false">MAX(0,MIN(BL167,BR167+BS167-BT167))</f>
        <v>0</v>
      </c>
      <c r="BV167" s="29" t="n">
        <f aca="false">BL167-BU167</f>
        <v>690</v>
      </c>
      <c r="BW167" s="30" t="n">
        <f aca="false">BR167+BS167-BT167-BU167</f>
        <v>0</v>
      </c>
      <c r="BX167" s="30" t="n">
        <f aca="false">CA166</f>
        <v>0</v>
      </c>
      <c r="BY167" s="30" t="n">
        <f aca="false">BX167*$BR$5/12</f>
        <v>0</v>
      </c>
      <c r="BZ167" s="30" t="n">
        <f aca="false">MIN($BR$6,BX167+BY167)</f>
        <v>0</v>
      </c>
      <c r="CA167" s="30" t="n">
        <f aca="false">BX167+BY167-BZ167</f>
        <v>0</v>
      </c>
      <c r="CB167" s="30" t="n">
        <f aca="false">CG166</f>
        <v>0</v>
      </c>
      <c r="CC167" s="30" t="n">
        <f aca="false">CB167*$CB$5/12</f>
        <v>0</v>
      </c>
      <c r="CD167" s="30" t="n">
        <f aca="false">MIN($CB$6,CB167+CC167)</f>
        <v>0</v>
      </c>
      <c r="CE167" s="30" t="n">
        <f aca="false">MAX(0,MIN(BV167,CB167+CC167-CD167))</f>
        <v>0</v>
      </c>
      <c r="CF167" s="29" t="n">
        <f aca="false">BV167-CE167</f>
        <v>690</v>
      </c>
      <c r="CG167" s="30" t="n">
        <f aca="false">CB167+CC167-CD167-CE167</f>
        <v>0</v>
      </c>
      <c r="CH167" s="30" t="n">
        <f aca="false">CK166</f>
        <v>0</v>
      </c>
      <c r="CI167" s="30" t="n">
        <f aca="false">CH167*$CB$5/12</f>
        <v>0</v>
      </c>
      <c r="CJ167" s="30" t="n">
        <f aca="false">MIN($CB$6,CH167+CI167)</f>
        <v>0</v>
      </c>
      <c r="CK167" s="30" t="n">
        <f aca="false">CH167+CI167-CJ167</f>
        <v>0</v>
      </c>
    </row>
    <row r="168" customFormat="false" ht="15" hidden="false" customHeight="false" outlineLevel="0" collapsed="false">
      <c r="A168" s="0" t="n">
        <v>160</v>
      </c>
      <c r="B168" s="29" t="n">
        <f aca="false">'1 Your debts'!$B$16-(L168+V168+AF168+AP168+AZ168+BJ168+BT168+CD168)</f>
        <v>690</v>
      </c>
      <c r="C168" s="34" t="n">
        <f aca="false">O168+Y168+AI168+AS168+BC168+BM168+BW168+CG168</f>
        <v>0</v>
      </c>
      <c r="D168" s="34" t="n">
        <f aca="false">K168+U168+AE168+AO168+AY168+BI168+BS168+CC168</f>
        <v>0</v>
      </c>
      <c r="F168" s="34" t="n">
        <f aca="false">S168+AC168+AM168+AW168+BG168+BQ168+CA168+CK168</f>
        <v>0</v>
      </c>
      <c r="G168" s="34" t="n">
        <f aca="false">Q168+AA168+AK168+AU168+BE168+BO168+BY168+CI168</f>
        <v>0</v>
      </c>
      <c r="J168" s="34" t="n">
        <f aca="false">O167</f>
        <v>0</v>
      </c>
      <c r="K168" s="34" t="n">
        <f aca="false">J168*$J$5/12</f>
        <v>0</v>
      </c>
      <c r="L168" s="29" t="n">
        <f aca="false">MIN($J$6,J168+K168)</f>
        <v>0</v>
      </c>
      <c r="M168" s="30" t="n">
        <f aca="false">MAX(0,MIN($B168,J168+K168-L168))</f>
        <v>0</v>
      </c>
      <c r="N168" s="29" t="n">
        <f aca="false">$B168-M168</f>
        <v>690</v>
      </c>
      <c r="O168" s="34" t="n">
        <f aca="false">J168+K168-L168-M168</f>
        <v>0</v>
      </c>
      <c r="P168" s="34" t="n">
        <f aca="false">S167</f>
        <v>0</v>
      </c>
      <c r="Q168" s="34" t="n">
        <f aca="false">P168*$J$5/12</f>
        <v>0</v>
      </c>
      <c r="R168" s="29" t="n">
        <f aca="false">MIN($J$6,P168+Q168)</f>
        <v>0</v>
      </c>
      <c r="S168" s="34" t="n">
        <f aca="false">P168+Q168-R168</f>
        <v>0</v>
      </c>
      <c r="T168" s="34" t="n">
        <f aca="false">Y167</f>
        <v>0</v>
      </c>
      <c r="U168" s="34" t="n">
        <f aca="false">T168*$T$5/12</f>
        <v>0</v>
      </c>
      <c r="V168" s="29" t="n">
        <f aca="false">MIN($T$6,T168+U168)</f>
        <v>0</v>
      </c>
      <c r="W168" s="30" t="n">
        <f aca="false">MAX(0,MIN(N168,T168+U168-V168))</f>
        <v>0</v>
      </c>
      <c r="X168" s="29" t="n">
        <f aca="false">N168-W168</f>
        <v>690</v>
      </c>
      <c r="Y168" s="34" t="n">
        <f aca="false">T168+U168-V168-W168</f>
        <v>0</v>
      </c>
      <c r="Z168" s="34" t="n">
        <f aca="false">AC167</f>
        <v>0</v>
      </c>
      <c r="AA168" s="34" t="n">
        <f aca="false">Z168*$T$5/12</f>
        <v>0</v>
      </c>
      <c r="AB168" s="29" t="n">
        <f aca="false">MIN($T$6,Z168+AA168)</f>
        <v>0</v>
      </c>
      <c r="AC168" s="34" t="n">
        <f aca="false">Z168+AA168-AB168</f>
        <v>0</v>
      </c>
      <c r="AD168" s="34" t="n">
        <f aca="false">AI167</f>
        <v>0</v>
      </c>
      <c r="AE168" s="34" t="n">
        <f aca="false">AD168*$AD$5/12</f>
        <v>0</v>
      </c>
      <c r="AF168" s="29" t="n">
        <f aca="false">MIN($AD$6,AD168+AE168)</f>
        <v>0</v>
      </c>
      <c r="AG168" s="30" t="n">
        <f aca="false">MAX(0,MIN(X168,AD168+AE168-AF168))</f>
        <v>0</v>
      </c>
      <c r="AH168" s="29" t="n">
        <f aca="false">X168-AG168</f>
        <v>690</v>
      </c>
      <c r="AI168" s="34" t="n">
        <f aca="false">AD168+AE168-AF168-AG168</f>
        <v>0</v>
      </c>
      <c r="AJ168" s="34" t="n">
        <f aca="false">AM167</f>
        <v>0</v>
      </c>
      <c r="AK168" s="34" t="n">
        <f aca="false">AJ168*$AD$5/12</f>
        <v>0</v>
      </c>
      <c r="AL168" s="29" t="n">
        <f aca="false">MIN($AD$6,AJ168+AK168)</f>
        <v>0</v>
      </c>
      <c r="AM168" s="34" t="n">
        <f aca="false">AJ168+AK168-AL168</f>
        <v>0</v>
      </c>
      <c r="AN168" s="34" t="n">
        <f aca="false">AS167</f>
        <v>0</v>
      </c>
      <c r="AO168" s="34" t="n">
        <f aca="false">AN168*$AN$5/12</f>
        <v>0</v>
      </c>
      <c r="AP168" s="29" t="n">
        <f aca="false">MIN($AN$6,AN168+AO168)</f>
        <v>0</v>
      </c>
      <c r="AQ168" s="30" t="n">
        <f aca="false">MAX(0,MIN(AH168,AN168+AO168-AP168))</f>
        <v>0</v>
      </c>
      <c r="AR168" s="29" t="n">
        <f aca="false">AH168-AQ168</f>
        <v>690</v>
      </c>
      <c r="AS168" s="34" t="n">
        <f aca="false">AN168+AO168-AP168-AQ168</f>
        <v>0</v>
      </c>
      <c r="AT168" s="34" t="n">
        <f aca="false">AW167</f>
        <v>0</v>
      </c>
      <c r="AU168" s="34" t="n">
        <f aca="false">AT168*$AN$5/12</f>
        <v>0</v>
      </c>
      <c r="AV168" s="29" t="n">
        <f aca="false">MIN($AN$6,AT168+AU168)</f>
        <v>0</v>
      </c>
      <c r="AW168" s="34" t="n">
        <f aca="false">AT168+AU168-AV168</f>
        <v>0</v>
      </c>
      <c r="AX168" s="30" t="n">
        <f aca="false">BC167</f>
        <v>0</v>
      </c>
      <c r="AY168" s="30" t="n">
        <f aca="false">AX168*$AX$5/12</f>
        <v>0</v>
      </c>
      <c r="AZ168" s="30" t="n">
        <f aca="false">MIN($AX$6,AX168+AY168)</f>
        <v>0</v>
      </c>
      <c r="BA168" s="30" t="n">
        <f aca="false">MAX(0,MIN(AR168,AX168+AY168-AZ168))</f>
        <v>0</v>
      </c>
      <c r="BB168" s="29" t="n">
        <f aca="false">AR168-BA168</f>
        <v>690</v>
      </c>
      <c r="BC168" s="30" t="n">
        <f aca="false">AX168+AY168-AZ168-BA168</f>
        <v>0</v>
      </c>
      <c r="BD168" s="30" t="n">
        <f aca="false">BG167</f>
        <v>0</v>
      </c>
      <c r="BE168" s="30" t="n">
        <f aca="false">BD168*$AX$5/12</f>
        <v>0</v>
      </c>
      <c r="BF168" s="30" t="n">
        <f aca="false">MIN($AX$6,BD168+BE168)</f>
        <v>0</v>
      </c>
      <c r="BG168" s="30" t="n">
        <f aca="false">BD168+BE168-BF168</f>
        <v>0</v>
      </c>
      <c r="BH168" s="30" t="n">
        <f aca="false">BM167</f>
        <v>0</v>
      </c>
      <c r="BI168" s="30" t="n">
        <f aca="false">BH168*$BH$5/12</f>
        <v>0</v>
      </c>
      <c r="BJ168" s="30" t="n">
        <f aca="false">MIN($BH$6,BH168+BI168)</f>
        <v>0</v>
      </c>
      <c r="BK168" s="30" t="n">
        <f aca="false">MAX(0,MIN(BB168,BH168+BI168-BJ168))</f>
        <v>0</v>
      </c>
      <c r="BL168" s="29" t="n">
        <f aca="false">BB168-BK168</f>
        <v>690</v>
      </c>
      <c r="BM168" s="30" t="n">
        <f aca="false">BH168+BI168-BJ168-BK168</f>
        <v>0</v>
      </c>
      <c r="BN168" s="30" t="n">
        <f aca="false">BQ167</f>
        <v>0</v>
      </c>
      <c r="BO168" s="30" t="n">
        <f aca="false">BN168*$BH$5/12</f>
        <v>0</v>
      </c>
      <c r="BP168" s="30" t="n">
        <f aca="false">MIN($BH$6,BN168+BO168)</f>
        <v>0</v>
      </c>
      <c r="BQ168" s="30" t="n">
        <f aca="false">BN168+BO168-BP168</f>
        <v>0</v>
      </c>
      <c r="BR168" s="30" t="n">
        <f aca="false">BW167</f>
        <v>0</v>
      </c>
      <c r="BS168" s="30" t="n">
        <f aca="false">BR168*$BR$5/12</f>
        <v>0</v>
      </c>
      <c r="BT168" s="30" t="n">
        <f aca="false">MIN($BR$6,BR168+BS168)</f>
        <v>0</v>
      </c>
      <c r="BU168" s="30" t="n">
        <f aca="false">MAX(0,MIN(BL168,BR168+BS168-BT168))</f>
        <v>0</v>
      </c>
      <c r="BV168" s="29" t="n">
        <f aca="false">BL168-BU168</f>
        <v>690</v>
      </c>
      <c r="BW168" s="30" t="n">
        <f aca="false">BR168+BS168-BT168-BU168</f>
        <v>0</v>
      </c>
      <c r="BX168" s="30" t="n">
        <f aca="false">CA167</f>
        <v>0</v>
      </c>
      <c r="BY168" s="30" t="n">
        <f aca="false">BX168*$BR$5/12</f>
        <v>0</v>
      </c>
      <c r="BZ168" s="30" t="n">
        <f aca="false">MIN($BR$6,BX168+BY168)</f>
        <v>0</v>
      </c>
      <c r="CA168" s="30" t="n">
        <f aca="false">BX168+BY168-BZ168</f>
        <v>0</v>
      </c>
      <c r="CB168" s="30" t="n">
        <f aca="false">CG167</f>
        <v>0</v>
      </c>
      <c r="CC168" s="30" t="n">
        <f aca="false">CB168*$CB$5/12</f>
        <v>0</v>
      </c>
      <c r="CD168" s="30" t="n">
        <f aca="false">MIN($CB$6,CB168+CC168)</f>
        <v>0</v>
      </c>
      <c r="CE168" s="30" t="n">
        <f aca="false">MAX(0,MIN(BV168,CB168+CC168-CD168))</f>
        <v>0</v>
      </c>
      <c r="CF168" s="29" t="n">
        <f aca="false">BV168-CE168</f>
        <v>690</v>
      </c>
      <c r="CG168" s="30" t="n">
        <f aca="false">CB168+CC168-CD168-CE168</f>
        <v>0</v>
      </c>
      <c r="CH168" s="30" t="n">
        <f aca="false">CK167</f>
        <v>0</v>
      </c>
      <c r="CI168" s="30" t="n">
        <f aca="false">CH168*$CB$5/12</f>
        <v>0</v>
      </c>
      <c r="CJ168" s="30" t="n">
        <f aca="false">MIN($CB$6,CH168+CI168)</f>
        <v>0</v>
      </c>
      <c r="CK168" s="30" t="n">
        <f aca="false">CH168+CI168-CJ168</f>
        <v>0</v>
      </c>
    </row>
    <row r="169" customFormat="false" ht="15" hidden="false" customHeight="false" outlineLevel="0" collapsed="false">
      <c r="A169" s="0" t="n">
        <v>161</v>
      </c>
      <c r="B169" s="29" t="n">
        <f aca="false">'1 Your debts'!$B$16-(L169+V169+AF169+AP169+AZ169+BJ169+BT169+CD169)</f>
        <v>690</v>
      </c>
      <c r="C169" s="34" t="n">
        <f aca="false">O169+Y169+AI169+AS169+BC169+BM169+BW169+CG169</f>
        <v>0</v>
      </c>
      <c r="D169" s="34" t="n">
        <f aca="false">K169+U169+AE169+AO169+AY169+BI169+BS169+CC169</f>
        <v>0</v>
      </c>
      <c r="F169" s="34" t="n">
        <f aca="false">S169+AC169+AM169+AW169+BG169+BQ169+CA169+CK169</f>
        <v>0</v>
      </c>
      <c r="G169" s="34" t="n">
        <f aca="false">Q169+AA169+AK169+AU169+BE169+BO169+BY169+CI169</f>
        <v>0</v>
      </c>
      <c r="J169" s="34" t="n">
        <f aca="false">O168</f>
        <v>0</v>
      </c>
      <c r="K169" s="34" t="n">
        <f aca="false">J169*$J$5/12</f>
        <v>0</v>
      </c>
      <c r="L169" s="29" t="n">
        <f aca="false">MIN($J$6,J169+K169)</f>
        <v>0</v>
      </c>
      <c r="M169" s="30" t="n">
        <f aca="false">MAX(0,MIN($B169,J169+K169-L169))</f>
        <v>0</v>
      </c>
      <c r="N169" s="29" t="n">
        <f aca="false">$B169-M169</f>
        <v>690</v>
      </c>
      <c r="O169" s="34" t="n">
        <f aca="false">J169+K169-L169-M169</f>
        <v>0</v>
      </c>
      <c r="P169" s="34" t="n">
        <f aca="false">S168</f>
        <v>0</v>
      </c>
      <c r="Q169" s="34" t="n">
        <f aca="false">P169*$J$5/12</f>
        <v>0</v>
      </c>
      <c r="R169" s="29" t="n">
        <f aca="false">MIN($J$6,P169+Q169)</f>
        <v>0</v>
      </c>
      <c r="S169" s="34" t="n">
        <f aca="false">P169+Q169-R169</f>
        <v>0</v>
      </c>
      <c r="T169" s="34" t="n">
        <f aca="false">Y168</f>
        <v>0</v>
      </c>
      <c r="U169" s="34" t="n">
        <f aca="false">T169*$T$5/12</f>
        <v>0</v>
      </c>
      <c r="V169" s="29" t="n">
        <f aca="false">MIN($T$6,T169+U169)</f>
        <v>0</v>
      </c>
      <c r="W169" s="30" t="n">
        <f aca="false">MAX(0,MIN(N169,T169+U169-V169))</f>
        <v>0</v>
      </c>
      <c r="X169" s="29" t="n">
        <f aca="false">N169-W169</f>
        <v>690</v>
      </c>
      <c r="Y169" s="34" t="n">
        <f aca="false">T169+U169-V169-W169</f>
        <v>0</v>
      </c>
      <c r="Z169" s="34" t="n">
        <f aca="false">AC168</f>
        <v>0</v>
      </c>
      <c r="AA169" s="34" t="n">
        <f aca="false">Z169*$T$5/12</f>
        <v>0</v>
      </c>
      <c r="AB169" s="29" t="n">
        <f aca="false">MIN($T$6,Z169+AA169)</f>
        <v>0</v>
      </c>
      <c r="AC169" s="34" t="n">
        <f aca="false">Z169+AA169-AB169</f>
        <v>0</v>
      </c>
      <c r="AD169" s="34" t="n">
        <f aca="false">AI168</f>
        <v>0</v>
      </c>
      <c r="AE169" s="34" t="n">
        <f aca="false">AD169*$AD$5/12</f>
        <v>0</v>
      </c>
      <c r="AF169" s="29" t="n">
        <f aca="false">MIN($AD$6,AD169+AE169)</f>
        <v>0</v>
      </c>
      <c r="AG169" s="30" t="n">
        <f aca="false">MAX(0,MIN(X169,AD169+AE169-AF169))</f>
        <v>0</v>
      </c>
      <c r="AH169" s="29" t="n">
        <f aca="false">X169-AG169</f>
        <v>690</v>
      </c>
      <c r="AI169" s="34" t="n">
        <f aca="false">AD169+AE169-AF169-AG169</f>
        <v>0</v>
      </c>
      <c r="AJ169" s="34" t="n">
        <f aca="false">AM168</f>
        <v>0</v>
      </c>
      <c r="AK169" s="34" t="n">
        <f aca="false">AJ169*$AD$5/12</f>
        <v>0</v>
      </c>
      <c r="AL169" s="29" t="n">
        <f aca="false">MIN($AD$6,AJ169+AK169)</f>
        <v>0</v>
      </c>
      <c r="AM169" s="34" t="n">
        <f aca="false">AJ169+AK169-AL169</f>
        <v>0</v>
      </c>
      <c r="AN169" s="34" t="n">
        <f aca="false">AS168</f>
        <v>0</v>
      </c>
      <c r="AO169" s="34" t="n">
        <f aca="false">AN169*$AN$5/12</f>
        <v>0</v>
      </c>
      <c r="AP169" s="29" t="n">
        <f aca="false">MIN($AN$6,AN169+AO169)</f>
        <v>0</v>
      </c>
      <c r="AQ169" s="30" t="n">
        <f aca="false">MAX(0,MIN(AH169,AN169+AO169-AP169))</f>
        <v>0</v>
      </c>
      <c r="AR169" s="29" t="n">
        <f aca="false">AH169-AQ169</f>
        <v>690</v>
      </c>
      <c r="AS169" s="34" t="n">
        <f aca="false">AN169+AO169-AP169-AQ169</f>
        <v>0</v>
      </c>
      <c r="AT169" s="34" t="n">
        <f aca="false">AW168</f>
        <v>0</v>
      </c>
      <c r="AU169" s="34" t="n">
        <f aca="false">AT169*$AN$5/12</f>
        <v>0</v>
      </c>
      <c r="AV169" s="29" t="n">
        <f aca="false">MIN($AN$6,AT169+AU169)</f>
        <v>0</v>
      </c>
      <c r="AW169" s="34" t="n">
        <f aca="false">AT169+AU169-AV169</f>
        <v>0</v>
      </c>
      <c r="AX169" s="30" t="n">
        <f aca="false">BC168</f>
        <v>0</v>
      </c>
      <c r="AY169" s="30" t="n">
        <f aca="false">AX169*$AX$5/12</f>
        <v>0</v>
      </c>
      <c r="AZ169" s="30" t="n">
        <f aca="false">MIN($AX$6,AX169+AY169)</f>
        <v>0</v>
      </c>
      <c r="BA169" s="30" t="n">
        <f aca="false">MAX(0,MIN(AR169,AX169+AY169-AZ169))</f>
        <v>0</v>
      </c>
      <c r="BB169" s="29" t="n">
        <f aca="false">AR169-BA169</f>
        <v>690</v>
      </c>
      <c r="BC169" s="30" t="n">
        <f aca="false">AX169+AY169-AZ169-BA169</f>
        <v>0</v>
      </c>
      <c r="BD169" s="30" t="n">
        <f aca="false">BG168</f>
        <v>0</v>
      </c>
      <c r="BE169" s="30" t="n">
        <f aca="false">BD169*$AX$5/12</f>
        <v>0</v>
      </c>
      <c r="BF169" s="30" t="n">
        <f aca="false">MIN($AX$6,BD169+BE169)</f>
        <v>0</v>
      </c>
      <c r="BG169" s="30" t="n">
        <f aca="false">BD169+BE169-BF169</f>
        <v>0</v>
      </c>
      <c r="BH169" s="30" t="n">
        <f aca="false">BM168</f>
        <v>0</v>
      </c>
      <c r="BI169" s="30" t="n">
        <f aca="false">BH169*$BH$5/12</f>
        <v>0</v>
      </c>
      <c r="BJ169" s="30" t="n">
        <f aca="false">MIN($BH$6,BH169+BI169)</f>
        <v>0</v>
      </c>
      <c r="BK169" s="30" t="n">
        <f aca="false">MAX(0,MIN(BB169,BH169+BI169-BJ169))</f>
        <v>0</v>
      </c>
      <c r="BL169" s="29" t="n">
        <f aca="false">BB169-BK169</f>
        <v>690</v>
      </c>
      <c r="BM169" s="30" t="n">
        <f aca="false">BH169+BI169-BJ169-BK169</f>
        <v>0</v>
      </c>
      <c r="BN169" s="30" t="n">
        <f aca="false">BQ168</f>
        <v>0</v>
      </c>
      <c r="BO169" s="30" t="n">
        <f aca="false">BN169*$BH$5/12</f>
        <v>0</v>
      </c>
      <c r="BP169" s="30" t="n">
        <f aca="false">MIN($BH$6,BN169+BO169)</f>
        <v>0</v>
      </c>
      <c r="BQ169" s="30" t="n">
        <f aca="false">BN169+BO169-BP169</f>
        <v>0</v>
      </c>
      <c r="BR169" s="30" t="n">
        <f aca="false">BW168</f>
        <v>0</v>
      </c>
      <c r="BS169" s="30" t="n">
        <f aca="false">BR169*$BR$5/12</f>
        <v>0</v>
      </c>
      <c r="BT169" s="30" t="n">
        <f aca="false">MIN($BR$6,BR169+BS169)</f>
        <v>0</v>
      </c>
      <c r="BU169" s="30" t="n">
        <f aca="false">MAX(0,MIN(BL169,BR169+BS169-BT169))</f>
        <v>0</v>
      </c>
      <c r="BV169" s="29" t="n">
        <f aca="false">BL169-BU169</f>
        <v>690</v>
      </c>
      <c r="BW169" s="30" t="n">
        <f aca="false">BR169+BS169-BT169-BU169</f>
        <v>0</v>
      </c>
      <c r="BX169" s="30" t="n">
        <f aca="false">CA168</f>
        <v>0</v>
      </c>
      <c r="BY169" s="30" t="n">
        <f aca="false">BX169*$BR$5/12</f>
        <v>0</v>
      </c>
      <c r="BZ169" s="30" t="n">
        <f aca="false">MIN($BR$6,BX169+BY169)</f>
        <v>0</v>
      </c>
      <c r="CA169" s="30" t="n">
        <f aca="false">BX169+BY169-BZ169</f>
        <v>0</v>
      </c>
      <c r="CB169" s="30" t="n">
        <f aca="false">CG168</f>
        <v>0</v>
      </c>
      <c r="CC169" s="30" t="n">
        <f aca="false">CB169*$CB$5/12</f>
        <v>0</v>
      </c>
      <c r="CD169" s="30" t="n">
        <f aca="false">MIN($CB$6,CB169+CC169)</f>
        <v>0</v>
      </c>
      <c r="CE169" s="30" t="n">
        <f aca="false">MAX(0,MIN(BV169,CB169+CC169-CD169))</f>
        <v>0</v>
      </c>
      <c r="CF169" s="29" t="n">
        <f aca="false">BV169-CE169</f>
        <v>690</v>
      </c>
      <c r="CG169" s="30" t="n">
        <f aca="false">CB169+CC169-CD169-CE169</f>
        <v>0</v>
      </c>
      <c r="CH169" s="30" t="n">
        <f aca="false">CK168</f>
        <v>0</v>
      </c>
      <c r="CI169" s="30" t="n">
        <f aca="false">CH169*$CB$5/12</f>
        <v>0</v>
      </c>
      <c r="CJ169" s="30" t="n">
        <f aca="false">MIN($CB$6,CH169+CI169)</f>
        <v>0</v>
      </c>
      <c r="CK169" s="30" t="n">
        <f aca="false">CH169+CI169-CJ169</f>
        <v>0</v>
      </c>
    </row>
    <row r="170" customFormat="false" ht="15" hidden="false" customHeight="false" outlineLevel="0" collapsed="false">
      <c r="A170" s="0" t="n">
        <v>162</v>
      </c>
      <c r="B170" s="29" t="n">
        <f aca="false">'1 Your debts'!$B$16-(L170+V170+AF170+AP170+AZ170+BJ170+BT170+CD170)</f>
        <v>690</v>
      </c>
      <c r="C170" s="34" t="n">
        <f aca="false">O170+Y170+AI170+AS170+BC170+BM170+BW170+CG170</f>
        <v>0</v>
      </c>
      <c r="D170" s="34" t="n">
        <f aca="false">K170+U170+AE170+AO170+AY170+BI170+BS170+CC170</f>
        <v>0</v>
      </c>
      <c r="F170" s="34" t="n">
        <f aca="false">S170+AC170+AM170+AW170+BG170+BQ170+CA170+CK170</f>
        <v>0</v>
      </c>
      <c r="G170" s="34" t="n">
        <f aca="false">Q170+AA170+AK170+AU170+BE170+BO170+BY170+CI170</f>
        <v>0</v>
      </c>
      <c r="J170" s="34" t="n">
        <f aca="false">O169</f>
        <v>0</v>
      </c>
      <c r="K170" s="34" t="n">
        <f aca="false">J170*$J$5/12</f>
        <v>0</v>
      </c>
      <c r="L170" s="29" t="n">
        <f aca="false">MIN($J$6,J170+K170)</f>
        <v>0</v>
      </c>
      <c r="M170" s="30" t="n">
        <f aca="false">MAX(0,MIN($B170,J170+K170-L170))</f>
        <v>0</v>
      </c>
      <c r="N170" s="29" t="n">
        <f aca="false">$B170-M170</f>
        <v>690</v>
      </c>
      <c r="O170" s="34" t="n">
        <f aca="false">J170+K170-L170-M170</f>
        <v>0</v>
      </c>
      <c r="P170" s="34" t="n">
        <f aca="false">S169</f>
        <v>0</v>
      </c>
      <c r="Q170" s="34" t="n">
        <f aca="false">P170*$J$5/12</f>
        <v>0</v>
      </c>
      <c r="R170" s="29" t="n">
        <f aca="false">MIN($J$6,P170+Q170)</f>
        <v>0</v>
      </c>
      <c r="S170" s="34" t="n">
        <f aca="false">P170+Q170-R170</f>
        <v>0</v>
      </c>
      <c r="T170" s="34" t="n">
        <f aca="false">Y169</f>
        <v>0</v>
      </c>
      <c r="U170" s="34" t="n">
        <f aca="false">T170*$T$5/12</f>
        <v>0</v>
      </c>
      <c r="V170" s="29" t="n">
        <f aca="false">MIN($T$6,T170+U170)</f>
        <v>0</v>
      </c>
      <c r="W170" s="30" t="n">
        <f aca="false">MAX(0,MIN(N170,T170+U170-V170))</f>
        <v>0</v>
      </c>
      <c r="X170" s="29" t="n">
        <f aca="false">N170-W170</f>
        <v>690</v>
      </c>
      <c r="Y170" s="34" t="n">
        <f aca="false">T170+U170-V170-W170</f>
        <v>0</v>
      </c>
      <c r="Z170" s="34" t="n">
        <f aca="false">AC169</f>
        <v>0</v>
      </c>
      <c r="AA170" s="34" t="n">
        <f aca="false">Z170*$T$5/12</f>
        <v>0</v>
      </c>
      <c r="AB170" s="29" t="n">
        <f aca="false">MIN($T$6,Z170+AA170)</f>
        <v>0</v>
      </c>
      <c r="AC170" s="34" t="n">
        <f aca="false">Z170+AA170-AB170</f>
        <v>0</v>
      </c>
      <c r="AD170" s="34" t="n">
        <f aca="false">AI169</f>
        <v>0</v>
      </c>
      <c r="AE170" s="34" t="n">
        <f aca="false">AD170*$AD$5/12</f>
        <v>0</v>
      </c>
      <c r="AF170" s="29" t="n">
        <f aca="false">MIN($AD$6,AD170+AE170)</f>
        <v>0</v>
      </c>
      <c r="AG170" s="30" t="n">
        <f aca="false">MAX(0,MIN(X170,AD170+AE170-AF170))</f>
        <v>0</v>
      </c>
      <c r="AH170" s="29" t="n">
        <f aca="false">X170-AG170</f>
        <v>690</v>
      </c>
      <c r="AI170" s="34" t="n">
        <f aca="false">AD170+AE170-AF170-AG170</f>
        <v>0</v>
      </c>
      <c r="AJ170" s="34" t="n">
        <f aca="false">AM169</f>
        <v>0</v>
      </c>
      <c r="AK170" s="34" t="n">
        <f aca="false">AJ170*$AD$5/12</f>
        <v>0</v>
      </c>
      <c r="AL170" s="29" t="n">
        <f aca="false">MIN($AD$6,AJ170+AK170)</f>
        <v>0</v>
      </c>
      <c r="AM170" s="34" t="n">
        <f aca="false">AJ170+AK170-AL170</f>
        <v>0</v>
      </c>
      <c r="AN170" s="34" t="n">
        <f aca="false">AS169</f>
        <v>0</v>
      </c>
      <c r="AO170" s="34" t="n">
        <f aca="false">AN170*$AN$5/12</f>
        <v>0</v>
      </c>
      <c r="AP170" s="29" t="n">
        <f aca="false">MIN($AN$6,AN170+AO170)</f>
        <v>0</v>
      </c>
      <c r="AQ170" s="30" t="n">
        <f aca="false">MAX(0,MIN(AH170,AN170+AO170-AP170))</f>
        <v>0</v>
      </c>
      <c r="AR170" s="29" t="n">
        <f aca="false">AH170-AQ170</f>
        <v>690</v>
      </c>
      <c r="AS170" s="34" t="n">
        <f aca="false">AN170+AO170-AP170-AQ170</f>
        <v>0</v>
      </c>
      <c r="AT170" s="34" t="n">
        <f aca="false">AW169</f>
        <v>0</v>
      </c>
      <c r="AU170" s="34" t="n">
        <f aca="false">AT170*$AN$5/12</f>
        <v>0</v>
      </c>
      <c r="AV170" s="29" t="n">
        <f aca="false">MIN($AN$6,AT170+AU170)</f>
        <v>0</v>
      </c>
      <c r="AW170" s="34" t="n">
        <f aca="false">AT170+AU170-AV170</f>
        <v>0</v>
      </c>
      <c r="AX170" s="30" t="n">
        <f aca="false">BC169</f>
        <v>0</v>
      </c>
      <c r="AY170" s="30" t="n">
        <f aca="false">AX170*$AX$5/12</f>
        <v>0</v>
      </c>
      <c r="AZ170" s="30" t="n">
        <f aca="false">MIN($AX$6,AX170+AY170)</f>
        <v>0</v>
      </c>
      <c r="BA170" s="30" t="n">
        <f aca="false">MAX(0,MIN(AR170,AX170+AY170-AZ170))</f>
        <v>0</v>
      </c>
      <c r="BB170" s="29" t="n">
        <f aca="false">AR170-BA170</f>
        <v>690</v>
      </c>
      <c r="BC170" s="30" t="n">
        <f aca="false">AX170+AY170-AZ170-BA170</f>
        <v>0</v>
      </c>
      <c r="BD170" s="30" t="n">
        <f aca="false">BG169</f>
        <v>0</v>
      </c>
      <c r="BE170" s="30" t="n">
        <f aca="false">BD170*$AX$5/12</f>
        <v>0</v>
      </c>
      <c r="BF170" s="30" t="n">
        <f aca="false">MIN($AX$6,BD170+BE170)</f>
        <v>0</v>
      </c>
      <c r="BG170" s="30" t="n">
        <f aca="false">BD170+BE170-BF170</f>
        <v>0</v>
      </c>
      <c r="BH170" s="30" t="n">
        <f aca="false">BM169</f>
        <v>0</v>
      </c>
      <c r="BI170" s="30" t="n">
        <f aca="false">BH170*$BH$5/12</f>
        <v>0</v>
      </c>
      <c r="BJ170" s="30" t="n">
        <f aca="false">MIN($BH$6,BH170+BI170)</f>
        <v>0</v>
      </c>
      <c r="BK170" s="30" t="n">
        <f aca="false">MAX(0,MIN(BB170,BH170+BI170-BJ170))</f>
        <v>0</v>
      </c>
      <c r="BL170" s="29" t="n">
        <f aca="false">BB170-BK170</f>
        <v>690</v>
      </c>
      <c r="BM170" s="30" t="n">
        <f aca="false">BH170+BI170-BJ170-BK170</f>
        <v>0</v>
      </c>
      <c r="BN170" s="30" t="n">
        <f aca="false">BQ169</f>
        <v>0</v>
      </c>
      <c r="BO170" s="30" t="n">
        <f aca="false">BN170*$BH$5/12</f>
        <v>0</v>
      </c>
      <c r="BP170" s="30" t="n">
        <f aca="false">MIN($BH$6,BN170+BO170)</f>
        <v>0</v>
      </c>
      <c r="BQ170" s="30" t="n">
        <f aca="false">BN170+BO170-BP170</f>
        <v>0</v>
      </c>
      <c r="BR170" s="30" t="n">
        <f aca="false">BW169</f>
        <v>0</v>
      </c>
      <c r="BS170" s="30" t="n">
        <f aca="false">BR170*$BR$5/12</f>
        <v>0</v>
      </c>
      <c r="BT170" s="30" t="n">
        <f aca="false">MIN($BR$6,BR170+BS170)</f>
        <v>0</v>
      </c>
      <c r="BU170" s="30" t="n">
        <f aca="false">MAX(0,MIN(BL170,BR170+BS170-BT170))</f>
        <v>0</v>
      </c>
      <c r="BV170" s="29" t="n">
        <f aca="false">BL170-BU170</f>
        <v>690</v>
      </c>
      <c r="BW170" s="30" t="n">
        <f aca="false">BR170+BS170-BT170-BU170</f>
        <v>0</v>
      </c>
      <c r="BX170" s="30" t="n">
        <f aca="false">CA169</f>
        <v>0</v>
      </c>
      <c r="BY170" s="30" t="n">
        <f aca="false">BX170*$BR$5/12</f>
        <v>0</v>
      </c>
      <c r="BZ170" s="30" t="n">
        <f aca="false">MIN($BR$6,BX170+BY170)</f>
        <v>0</v>
      </c>
      <c r="CA170" s="30" t="n">
        <f aca="false">BX170+BY170-BZ170</f>
        <v>0</v>
      </c>
      <c r="CB170" s="30" t="n">
        <f aca="false">CG169</f>
        <v>0</v>
      </c>
      <c r="CC170" s="30" t="n">
        <f aca="false">CB170*$CB$5/12</f>
        <v>0</v>
      </c>
      <c r="CD170" s="30" t="n">
        <f aca="false">MIN($CB$6,CB170+CC170)</f>
        <v>0</v>
      </c>
      <c r="CE170" s="30" t="n">
        <f aca="false">MAX(0,MIN(BV170,CB170+CC170-CD170))</f>
        <v>0</v>
      </c>
      <c r="CF170" s="29" t="n">
        <f aca="false">BV170-CE170</f>
        <v>690</v>
      </c>
      <c r="CG170" s="30" t="n">
        <f aca="false">CB170+CC170-CD170-CE170</f>
        <v>0</v>
      </c>
      <c r="CH170" s="30" t="n">
        <f aca="false">CK169</f>
        <v>0</v>
      </c>
      <c r="CI170" s="30" t="n">
        <f aca="false">CH170*$CB$5/12</f>
        <v>0</v>
      </c>
      <c r="CJ170" s="30" t="n">
        <f aca="false">MIN($CB$6,CH170+CI170)</f>
        <v>0</v>
      </c>
      <c r="CK170" s="30" t="n">
        <f aca="false">CH170+CI170-CJ170</f>
        <v>0</v>
      </c>
    </row>
    <row r="171" customFormat="false" ht="15" hidden="false" customHeight="false" outlineLevel="0" collapsed="false">
      <c r="A171" s="0" t="n">
        <v>163</v>
      </c>
      <c r="B171" s="29" t="n">
        <f aca="false">'1 Your debts'!$B$16-(L171+V171+AF171+AP171+AZ171+BJ171+BT171+CD171)</f>
        <v>690</v>
      </c>
      <c r="C171" s="34" t="n">
        <f aca="false">O171+Y171+AI171+AS171+BC171+BM171+BW171+CG171</f>
        <v>0</v>
      </c>
      <c r="D171" s="34" t="n">
        <f aca="false">K171+U171+AE171+AO171+AY171+BI171+BS171+CC171</f>
        <v>0</v>
      </c>
      <c r="F171" s="34" t="n">
        <f aca="false">S171+AC171+AM171+AW171+BG171+BQ171+CA171+CK171</f>
        <v>0</v>
      </c>
      <c r="G171" s="34" t="n">
        <f aca="false">Q171+AA171+AK171+AU171+BE171+BO171+BY171+CI171</f>
        <v>0</v>
      </c>
      <c r="J171" s="34" t="n">
        <f aca="false">O170</f>
        <v>0</v>
      </c>
      <c r="K171" s="34" t="n">
        <f aca="false">J171*$J$5/12</f>
        <v>0</v>
      </c>
      <c r="L171" s="29" t="n">
        <f aca="false">MIN($J$6,J171+K171)</f>
        <v>0</v>
      </c>
      <c r="M171" s="30" t="n">
        <f aca="false">MAX(0,MIN($B171,J171+K171-L171))</f>
        <v>0</v>
      </c>
      <c r="N171" s="29" t="n">
        <f aca="false">$B171-M171</f>
        <v>690</v>
      </c>
      <c r="O171" s="34" t="n">
        <f aca="false">J171+K171-L171-M171</f>
        <v>0</v>
      </c>
      <c r="P171" s="34" t="n">
        <f aca="false">S170</f>
        <v>0</v>
      </c>
      <c r="Q171" s="34" t="n">
        <f aca="false">P171*$J$5/12</f>
        <v>0</v>
      </c>
      <c r="R171" s="29" t="n">
        <f aca="false">MIN($J$6,P171+Q171)</f>
        <v>0</v>
      </c>
      <c r="S171" s="34" t="n">
        <f aca="false">P171+Q171-R171</f>
        <v>0</v>
      </c>
      <c r="T171" s="34" t="n">
        <f aca="false">Y170</f>
        <v>0</v>
      </c>
      <c r="U171" s="34" t="n">
        <f aca="false">T171*$T$5/12</f>
        <v>0</v>
      </c>
      <c r="V171" s="29" t="n">
        <f aca="false">MIN($T$6,T171+U171)</f>
        <v>0</v>
      </c>
      <c r="W171" s="30" t="n">
        <f aca="false">MAX(0,MIN(N171,T171+U171-V171))</f>
        <v>0</v>
      </c>
      <c r="X171" s="29" t="n">
        <f aca="false">N171-W171</f>
        <v>690</v>
      </c>
      <c r="Y171" s="34" t="n">
        <f aca="false">T171+U171-V171-W171</f>
        <v>0</v>
      </c>
      <c r="Z171" s="34" t="n">
        <f aca="false">AC170</f>
        <v>0</v>
      </c>
      <c r="AA171" s="34" t="n">
        <f aca="false">Z171*$T$5/12</f>
        <v>0</v>
      </c>
      <c r="AB171" s="29" t="n">
        <f aca="false">MIN($T$6,Z171+AA171)</f>
        <v>0</v>
      </c>
      <c r="AC171" s="34" t="n">
        <f aca="false">Z171+AA171-AB171</f>
        <v>0</v>
      </c>
      <c r="AD171" s="34" t="n">
        <f aca="false">AI170</f>
        <v>0</v>
      </c>
      <c r="AE171" s="34" t="n">
        <f aca="false">AD171*$AD$5/12</f>
        <v>0</v>
      </c>
      <c r="AF171" s="29" t="n">
        <f aca="false">MIN($AD$6,AD171+AE171)</f>
        <v>0</v>
      </c>
      <c r="AG171" s="30" t="n">
        <f aca="false">MAX(0,MIN(X171,AD171+AE171-AF171))</f>
        <v>0</v>
      </c>
      <c r="AH171" s="29" t="n">
        <f aca="false">X171-AG171</f>
        <v>690</v>
      </c>
      <c r="AI171" s="34" t="n">
        <f aca="false">AD171+AE171-AF171-AG171</f>
        <v>0</v>
      </c>
      <c r="AJ171" s="34" t="n">
        <f aca="false">AM170</f>
        <v>0</v>
      </c>
      <c r="AK171" s="34" t="n">
        <f aca="false">AJ171*$AD$5/12</f>
        <v>0</v>
      </c>
      <c r="AL171" s="29" t="n">
        <f aca="false">MIN($AD$6,AJ171+AK171)</f>
        <v>0</v>
      </c>
      <c r="AM171" s="34" t="n">
        <f aca="false">AJ171+AK171-AL171</f>
        <v>0</v>
      </c>
      <c r="AN171" s="34" t="n">
        <f aca="false">AS170</f>
        <v>0</v>
      </c>
      <c r="AO171" s="34" t="n">
        <f aca="false">AN171*$AN$5/12</f>
        <v>0</v>
      </c>
      <c r="AP171" s="29" t="n">
        <f aca="false">MIN($AN$6,AN171+AO171)</f>
        <v>0</v>
      </c>
      <c r="AQ171" s="30" t="n">
        <f aca="false">MAX(0,MIN(AH171,AN171+AO171-AP171))</f>
        <v>0</v>
      </c>
      <c r="AR171" s="29" t="n">
        <f aca="false">AH171-AQ171</f>
        <v>690</v>
      </c>
      <c r="AS171" s="34" t="n">
        <f aca="false">AN171+AO171-AP171-AQ171</f>
        <v>0</v>
      </c>
      <c r="AT171" s="34" t="n">
        <f aca="false">AW170</f>
        <v>0</v>
      </c>
      <c r="AU171" s="34" t="n">
        <f aca="false">AT171*$AN$5/12</f>
        <v>0</v>
      </c>
      <c r="AV171" s="29" t="n">
        <f aca="false">MIN($AN$6,AT171+AU171)</f>
        <v>0</v>
      </c>
      <c r="AW171" s="34" t="n">
        <f aca="false">AT171+AU171-AV171</f>
        <v>0</v>
      </c>
      <c r="AX171" s="30" t="n">
        <f aca="false">BC170</f>
        <v>0</v>
      </c>
      <c r="AY171" s="30" t="n">
        <f aca="false">AX171*$AX$5/12</f>
        <v>0</v>
      </c>
      <c r="AZ171" s="30" t="n">
        <f aca="false">MIN($AX$6,AX171+AY171)</f>
        <v>0</v>
      </c>
      <c r="BA171" s="30" t="n">
        <f aca="false">MAX(0,MIN(AR171,AX171+AY171-AZ171))</f>
        <v>0</v>
      </c>
      <c r="BB171" s="29" t="n">
        <f aca="false">AR171-BA171</f>
        <v>690</v>
      </c>
      <c r="BC171" s="30" t="n">
        <f aca="false">AX171+AY171-AZ171-BA171</f>
        <v>0</v>
      </c>
      <c r="BD171" s="30" t="n">
        <f aca="false">BG170</f>
        <v>0</v>
      </c>
      <c r="BE171" s="30" t="n">
        <f aca="false">BD171*$AX$5/12</f>
        <v>0</v>
      </c>
      <c r="BF171" s="30" t="n">
        <f aca="false">MIN($AX$6,BD171+BE171)</f>
        <v>0</v>
      </c>
      <c r="BG171" s="30" t="n">
        <f aca="false">BD171+BE171-BF171</f>
        <v>0</v>
      </c>
      <c r="BH171" s="30" t="n">
        <f aca="false">BM170</f>
        <v>0</v>
      </c>
      <c r="BI171" s="30" t="n">
        <f aca="false">BH171*$BH$5/12</f>
        <v>0</v>
      </c>
      <c r="BJ171" s="30" t="n">
        <f aca="false">MIN($BH$6,BH171+BI171)</f>
        <v>0</v>
      </c>
      <c r="BK171" s="30" t="n">
        <f aca="false">MAX(0,MIN(BB171,BH171+BI171-BJ171))</f>
        <v>0</v>
      </c>
      <c r="BL171" s="29" t="n">
        <f aca="false">BB171-BK171</f>
        <v>690</v>
      </c>
      <c r="BM171" s="30" t="n">
        <f aca="false">BH171+BI171-BJ171-BK171</f>
        <v>0</v>
      </c>
      <c r="BN171" s="30" t="n">
        <f aca="false">BQ170</f>
        <v>0</v>
      </c>
      <c r="BO171" s="30" t="n">
        <f aca="false">BN171*$BH$5/12</f>
        <v>0</v>
      </c>
      <c r="BP171" s="30" t="n">
        <f aca="false">MIN($BH$6,BN171+BO171)</f>
        <v>0</v>
      </c>
      <c r="BQ171" s="30" t="n">
        <f aca="false">BN171+BO171-BP171</f>
        <v>0</v>
      </c>
      <c r="BR171" s="30" t="n">
        <f aca="false">BW170</f>
        <v>0</v>
      </c>
      <c r="BS171" s="30" t="n">
        <f aca="false">BR171*$BR$5/12</f>
        <v>0</v>
      </c>
      <c r="BT171" s="30" t="n">
        <f aca="false">MIN($BR$6,BR171+BS171)</f>
        <v>0</v>
      </c>
      <c r="BU171" s="30" t="n">
        <f aca="false">MAX(0,MIN(BL171,BR171+BS171-BT171))</f>
        <v>0</v>
      </c>
      <c r="BV171" s="29" t="n">
        <f aca="false">BL171-BU171</f>
        <v>690</v>
      </c>
      <c r="BW171" s="30" t="n">
        <f aca="false">BR171+BS171-BT171-BU171</f>
        <v>0</v>
      </c>
      <c r="BX171" s="30" t="n">
        <f aca="false">CA170</f>
        <v>0</v>
      </c>
      <c r="BY171" s="30" t="n">
        <f aca="false">BX171*$BR$5/12</f>
        <v>0</v>
      </c>
      <c r="BZ171" s="30" t="n">
        <f aca="false">MIN($BR$6,BX171+BY171)</f>
        <v>0</v>
      </c>
      <c r="CA171" s="30" t="n">
        <f aca="false">BX171+BY171-BZ171</f>
        <v>0</v>
      </c>
      <c r="CB171" s="30" t="n">
        <f aca="false">CG170</f>
        <v>0</v>
      </c>
      <c r="CC171" s="30" t="n">
        <f aca="false">CB171*$CB$5/12</f>
        <v>0</v>
      </c>
      <c r="CD171" s="30" t="n">
        <f aca="false">MIN($CB$6,CB171+CC171)</f>
        <v>0</v>
      </c>
      <c r="CE171" s="30" t="n">
        <f aca="false">MAX(0,MIN(BV171,CB171+CC171-CD171))</f>
        <v>0</v>
      </c>
      <c r="CF171" s="29" t="n">
        <f aca="false">BV171-CE171</f>
        <v>690</v>
      </c>
      <c r="CG171" s="30" t="n">
        <f aca="false">CB171+CC171-CD171-CE171</f>
        <v>0</v>
      </c>
      <c r="CH171" s="30" t="n">
        <f aca="false">CK170</f>
        <v>0</v>
      </c>
      <c r="CI171" s="30" t="n">
        <f aca="false">CH171*$CB$5/12</f>
        <v>0</v>
      </c>
      <c r="CJ171" s="30" t="n">
        <f aca="false">MIN($CB$6,CH171+CI171)</f>
        <v>0</v>
      </c>
      <c r="CK171" s="30" t="n">
        <f aca="false">CH171+CI171-CJ171</f>
        <v>0</v>
      </c>
    </row>
    <row r="172" customFormat="false" ht="15" hidden="false" customHeight="false" outlineLevel="0" collapsed="false">
      <c r="A172" s="0" t="n">
        <v>164</v>
      </c>
      <c r="B172" s="29" t="n">
        <f aca="false">'1 Your debts'!$B$16-(L172+V172+AF172+AP172+AZ172+BJ172+BT172+CD172)</f>
        <v>690</v>
      </c>
      <c r="C172" s="34" t="n">
        <f aca="false">O172+Y172+AI172+AS172+BC172+BM172+BW172+CG172</f>
        <v>0</v>
      </c>
      <c r="D172" s="34" t="n">
        <f aca="false">K172+U172+AE172+AO172+AY172+BI172+BS172+CC172</f>
        <v>0</v>
      </c>
      <c r="F172" s="34" t="n">
        <f aca="false">S172+AC172+AM172+AW172+BG172+BQ172+CA172+CK172</f>
        <v>0</v>
      </c>
      <c r="G172" s="34" t="n">
        <f aca="false">Q172+AA172+AK172+AU172+BE172+BO172+BY172+CI172</f>
        <v>0</v>
      </c>
      <c r="J172" s="34" t="n">
        <f aca="false">O171</f>
        <v>0</v>
      </c>
      <c r="K172" s="34" t="n">
        <f aca="false">J172*$J$5/12</f>
        <v>0</v>
      </c>
      <c r="L172" s="29" t="n">
        <f aca="false">MIN($J$6,J172+K172)</f>
        <v>0</v>
      </c>
      <c r="M172" s="30" t="n">
        <f aca="false">MAX(0,MIN($B172,J172+K172-L172))</f>
        <v>0</v>
      </c>
      <c r="N172" s="29" t="n">
        <f aca="false">$B172-M172</f>
        <v>690</v>
      </c>
      <c r="O172" s="34" t="n">
        <f aca="false">J172+K172-L172-M172</f>
        <v>0</v>
      </c>
      <c r="P172" s="34" t="n">
        <f aca="false">S171</f>
        <v>0</v>
      </c>
      <c r="Q172" s="34" t="n">
        <f aca="false">P172*$J$5/12</f>
        <v>0</v>
      </c>
      <c r="R172" s="29" t="n">
        <f aca="false">MIN($J$6,P172+Q172)</f>
        <v>0</v>
      </c>
      <c r="S172" s="34" t="n">
        <f aca="false">P172+Q172-R172</f>
        <v>0</v>
      </c>
      <c r="T172" s="34" t="n">
        <f aca="false">Y171</f>
        <v>0</v>
      </c>
      <c r="U172" s="34" t="n">
        <f aca="false">T172*$T$5/12</f>
        <v>0</v>
      </c>
      <c r="V172" s="29" t="n">
        <f aca="false">MIN($T$6,T172+U172)</f>
        <v>0</v>
      </c>
      <c r="W172" s="30" t="n">
        <f aca="false">MAX(0,MIN(N172,T172+U172-V172))</f>
        <v>0</v>
      </c>
      <c r="X172" s="29" t="n">
        <f aca="false">N172-W172</f>
        <v>690</v>
      </c>
      <c r="Y172" s="34" t="n">
        <f aca="false">T172+U172-V172-W172</f>
        <v>0</v>
      </c>
      <c r="Z172" s="34" t="n">
        <f aca="false">AC171</f>
        <v>0</v>
      </c>
      <c r="AA172" s="34" t="n">
        <f aca="false">Z172*$T$5/12</f>
        <v>0</v>
      </c>
      <c r="AB172" s="29" t="n">
        <f aca="false">MIN($T$6,Z172+AA172)</f>
        <v>0</v>
      </c>
      <c r="AC172" s="34" t="n">
        <f aca="false">Z172+AA172-AB172</f>
        <v>0</v>
      </c>
      <c r="AD172" s="34" t="n">
        <f aca="false">AI171</f>
        <v>0</v>
      </c>
      <c r="AE172" s="34" t="n">
        <f aca="false">AD172*$AD$5/12</f>
        <v>0</v>
      </c>
      <c r="AF172" s="29" t="n">
        <f aca="false">MIN($AD$6,AD172+AE172)</f>
        <v>0</v>
      </c>
      <c r="AG172" s="30" t="n">
        <f aca="false">MAX(0,MIN(X172,AD172+AE172-AF172))</f>
        <v>0</v>
      </c>
      <c r="AH172" s="29" t="n">
        <f aca="false">X172-AG172</f>
        <v>690</v>
      </c>
      <c r="AI172" s="34" t="n">
        <f aca="false">AD172+AE172-AF172-AG172</f>
        <v>0</v>
      </c>
      <c r="AJ172" s="34" t="n">
        <f aca="false">AM171</f>
        <v>0</v>
      </c>
      <c r="AK172" s="34" t="n">
        <f aca="false">AJ172*$AD$5/12</f>
        <v>0</v>
      </c>
      <c r="AL172" s="29" t="n">
        <f aca="false">MIN($AD$6,AJ172+AK172)</f>
        <v>0</v>
      </c>
      <c r="AM172" s="34" t="n">
        <f aca="false">AJ172+AK172-AL172</f>
        <v>0</v>
      </c>
      <c r="AN172" s="34" t="n">
        <f aca="false">AS171</f>
        <v>0</v>
      </c>
      <c r="AO172" s="34" t="n">
        <f aca="false">AN172*$AN$5/12</f>
        <v>0</v>
      </c>
      <c r="AP172" s="29" t="n">
        <f aca="false">MIN($AN$6,AN172+AO172)</f>
        <v>0</v>
      </c>
      <c r="AQ172" s="30" t="n">
        <f aca="false">MAX(0,MIN(AH172,AN172+AO172-AP172))</f>
        <v>0</v>
      </c>
      <c r="AR172" s="29" t="n">
        <f aca="false">AH172-AQ172</f>
        <v>690</v>
      </c>
      <c r="AS172" s="34" t="n">
        <f aca="false">AN172+AO172-AP172-AQ172</f>
        <v>0</v>
      </c>
      <c r="AT172" s="34" t="n">
        <f aca="false">AW171</f>
        <v>0</v>
      </c>
      <c r="AU172" s="34" t="n">
        <f aca="false">AT172*$AN$5/12</f>
        <v>0</v>
      </c>
      <c r="AV172" s="29" t="n">
        <f aca="false">MIN($AN$6,AT172+AU172)</f>
        <v>0</v>
      </c>
      <c r="AW172" s="34" t="n">
        <f aca="false">AT172+AU172-AV172</f>
        <v>0</v>
      </c>
      <c r="AX172" s="30" t="n">
        <f aca="false">BC171</f>
        <v>0</v>
      </c>
      <c r="AY172" s="30" t="n">
        <f aca="false">AX172*$AX$5/12</f>
        <v>0</v>
      </c>
      <c r="AZ172" s="30" t="n">
        <f aca="false">MIN($AX$6,AX172+AY172)</f>
        <v>0</v>
      </c>
      <c r="BA172" s="30" t="n">
        <f aca="false">MAX(0,MIN(AR172,AX172+AY172-AZ172))</f>
        <v>0</v>
      </c>
      <c r="BB172" s="29" t="n">
        <f aca="false">AR172-BA172</f>
        <v>690</v>
      </c>
      <c r="BC172" s="30" t="n">
        <f aca="false">AX172+AY172-AZ172-BA172</f>
        <v>0</v>
      </c>
      <c r="BD172" s="30" t="n">
        <f aca="false">BG171</f>
        <v>0</v>
      </c>
      <c r="BE172" s="30" t="n">
        <f aca="false">BD172*$AX$5/12</f>
        <v>0</v>
      </c>
      <c r="BF172" s="30" t="n">
        <f aca="false">MIN($AX$6,BD172+BE172)</f>
        <v>0</v>
      </c>
      <c r="BG172" s="30" t="n">
        <f aca="false">BD172+BE172-BF172</f>
        <v>0</v>
      </c>
      <c r="BH172" s="30" t="n">
        <f aca="false">BM171</f>
        <v>0</v>
      </c>
      <c r="BI172" s="30" t="n">
        <f aca="false">BH172*$BH$5/12</f>
        <v>0</v>
      </c>
      <c r="BJ172" s="30" t="n">
        <f aca="false">MIN($BH$6,BH172+BI172)</f>
        <v>0</v>
      </c>
      <c r="BK172" s="30" t="n">
        <f aca="false">MAX(0,MIN(BB172,BH172+BI172-BJ172))</f>
        <v>0</v>
      </c>
      <c r="BL172" s="29" t="n">
        <f aca="false">BB172-BK172</f>
        <v>690</v>
      </c>
      <c r="BM172" s="30" t="n">
        <f aca="false">BH172+BI172-BJ172-BK172</f>
        <v>0</v>
      </c>
      <c r="BN172" s="30" t="n">
        <f aca="false">BQ171</f>
        <v>0</v>
      </c>
      <c r="BO172" s="30" t="n">
        <f aca="false">BN172*$BH$5/12</f>
        <v>0</v>
      </c>
      <c r="BP172" s="30" t="n">
        <f aca="false">MIN($BH$6,BN172+BO172)</f>
        <v>0</v>
      </c>
      <c r="BQ172" s="30" t="n">
        <f aca="false">BN172+BO172-BP172</f>
        <v>0</v>
      </c>
      <c r="BR172" s="30" t="n">
        <f aca="false">BW171</f>
        <v>0</v>
      </c>
      <c r="BS172" s="30" t="n">
        <f aca="false">BR172*$BR$5/12</f>
        <v>0</v>
      </c>
      <c r="BT172" s="30" t="n">
        <f aca="false">MIN($BR$6,BR172+BS172)</f>
        <v>0</v>
      </c>
      <c r="BU172" s="30" t="n">
        <f aca="false">MAX(0,MIN(BL172,BR172+BS172-BT172))</f>
        <v>0</v>
      </c>
      <c r="BV172" s="29" t="n">
        <f aca="false">BL172-BU172</f>
        <v>690</v>
      </c>
      <c r="BW172" s="30" t="n">
        <f aca="false">BR172+BS172-BT172-BU172</f>
        <v>0</v>
      </c>
      <c r="BX172" s="30" t="n">
        <f aca="false">CA171</f>
        <v>0</v>
      </c>
      <c r="BY172" s="30" t="n">
        <f aca="false">BX172*$BR$5/12</f>
        <v>0</v>
      </c>
      <c r="BZ172" s="30" t="n">
        <f aca="false">MIN($BR$6,BX172+BY172)</f>
        <v>0</v>
      </c>
      <c r="CA172" s="30" t="n">
        <f aca="false">BX172+BY172-BZ172</f>
        <v>0</v>
      </c>
      <c r="CB172" s="30" t="n">
        <f aca="false">CG171</f>
        <v>0</v>
      </c>
      <c r="CC172" s="30" t="n">
        <f aca="false">CB172*$CB$5/12</f>
        <v>0</v>
      </c>
      <c r="CD172" s="30" t="n">
        <f aca="false">MIN($CB$6,CB172+CC172)</f>
        <v>0</v>
      </c>
      <c r="CE172" s="30" t="n">
        <f aca="false">MAX(0,MIN(BV172,CB172+CC172-CD172))</f>
        <v>0</v>
      </c>
      <c r="CF172" s="29" t="n">
        <f aca="false">BV172-CE172</f>
        <v>690</v>
      </c>
      <c r="CG172" s="30" t="n">
        <f aca="false">CB172+CC172-CD172-CE172</f>
        <v>0</v>
      </c>
      <c r="CH172" s="30" t="n">
        <f aca="false">CK171</f>
        <v>0</v>
      </c>
      <c r="CI172" s="30" t="n">
        <f aca="false">CH172*$CB$5/12</f>
        <v>0</v>
      </c>
      <c r="CJ172" s="30" t="n">
        <f aca="false">MIN($CB$6,CH172+CI172)</f>
        <v>0</v>
      </c>
      <c r="CK172" s="30" t="n">
        <f aca="false">CH172+CI172-CJ172</f>
        <v>0</v>
      </c>
    </row>
    <row r="173" customFormat="false" ht="15" hidden="false" customHeight="false" outlineLevel="0" collapsed="false">
      <c r="A173" s="0" t="n">
        <v>165</v>
      </c>
      <c r="B173" s="29" t="n">
        <f aca="false">'1 Your debts'!$B$16-(L173+V173+AF173+AP173+AZ173+BJ173+BT173+CD173)</f>
        <v>690</v>
      </c>
      <c r="C173" s="34" t="n">
        <f aca="false">O173+Y173+AI173+AS173+BC173+BM173+BW173+CG173</f>
        <v>0</v>
      </c>
      <c r="D173" s="34" t="n">
        <f aca="false">K173+U173+AE173+AO173+AY173+BI173+BS173+CC173</f>
        <v>0</v>
      </c>
      <c r="F173" s="34" t="n">
        <f aca="false">S173+AC173+AM173+AW173+BG173+BQ173+CA173+CK173</f>
        <v>0</v>
      </c>
      <c r="G173" s="34" t="n">
        <f aca="false">Q173+AA173+AK173+AU173+BE173+BO173+BY173+CI173</f>
        <v>0</v>
      </c>
      <c r="J173" s="34" t="n">
        <f aca="false">O172</f>
        <v>0</v>
      </c>
      <c r="K173" s="34" t="n">
        <f aca="false">J173*$J$5/12</f>
        <v>0</v>
      </c>
      <c r="L173" s="29" t="n">
        <f aca="false">MIN($J$6,J173+K173)</f>
        <v>0</v>
      </c>
      <c r="M173" s="30" t="n">
        <f aca="false">MAX(0,MIN($B173,J173+K173-L173))</f>
        <v>0</v>
      </c>
      <c r="N173" s="29" t="n">
        <f aca="false">$B173-M173</f>
        <v>690</v>
      </c>
      <c r="O173" s="34" t="n">
        <f aca="false">J173+K173-L173-M173</f>
        <v>0</v>
      </c>
      <c r="P173" s="34" t="n">
        <f aca="false">S172</f>
        <v>0</v>
      </c>
      <c r="Q173" s="34" t="n">
        <f aca="false">P173*$J$5/12</f>
        <v>0</v>
      </c>
      <c r="R173" s="29" t="n">
        <f aca="false">MIN($J$6,P173+Q173)</f>
        <v>0</v>
      </c>
      <c r="S173" s="34" t="n">
        <f aca="false">P173+Q173-R173</f>
        <v>0</v>
      </c>
      <c r="T173" s="34" t="n">
        <f aca="false">Y172</f>
        <v>0</v>
      </c>
      <c r="U173" s="34" t="n">
        <f aca="false">T173*$T$5/12</f>
        <v>0</v>
      </c>
      <c r="V173" s="29" t="n">
        <f aca="false">MIN($T$6,T173+U173)</f>
        <v>0</v>
      </c>
      <c r="W173" s="30" t="n">
        <f aca="false">MAX(0,MIN(N173,T173+U173-V173))</f>
        <v>0</v>
      </c>
      <c r="X173" s="29" t="n">
        <f aca="false">N173-W173</f>
        <v>690</v>
      </c>
      <c r="Y173" s="34" t="n">
        <f aca="false">T173+U173-V173-W173</f>
        <v>0</v>
      </c>
      <c r="Z173" s="34" t="n">
        <f aca="false">AC172</f>
        <v>0</v>
      </c>
      <c r="AA173" s="34" t="n">
        <f aca="false">Z173*$T$5/12</f>
        <v>0</v>
      </c>
      <c r="AB173" s="29" t="n">
        <f aca="false">MIN($T$6,Z173+AA173)</f>
        <v>0</v>
      </c>
      <c r="AC173" s="34" t="n">
        <f aca="false">Z173+AA173-AB173</f>
        <v>0</v>
      </c>
      <c r="AD173" s="34" t="n">
        <f aca="false">AI172</f>
        <v>0</v>
      </c>
      <c r="AE173" s="34" t="n">
        <f aca="false">AD173*$AD$5/12</f>
        <v>0</v>
      </c>
      <c r="AF173" s="29" t="n">
        <f aca="false">MIN($AD$6,AD173+AE173)</f>
        <v>0</v>
      </c>
      <c r="AG173" s="30" t="n">
        <f aca="false">MAX(0,MIN(X173,AD173+AE173-AF173))</f>
        <v>0</v>
      </c>
      <c r="AH173" s="29" t="n">
        <f aca="false">X173-AG173</f>
        <v>690</v>
      </c>
      <c r="AI173" s="34" t="n">
        <f aca="false">AD173+AE173-AF173-AG173</f>
        <v>0</v>
      </c>
      <c r="AJ173" s="34" t="n">
        <f aca="false">AM172</f>
        <v>0</v>
      </c>
      <c r="AK173" s="34" t="n">
        <f aca="false">AJ173*$AD$5/12</f>
        <v>0</v>
      </c>
      <c r="AL173" s="29" t="n">
        <f aca="false">MIN($AD$6,AJ173+AK173)</f>
        <v>0</v>
      </c>
      <c r="AM173" s="34" t="n">
        <f aca="false">AJ173+AK173-AL173</f>
        <v>0</v>
      </c>
      <c r="AN173" s="34" t="n">
        <f aca="false">AS172</f>
        <v>0</v>
      </c>
      <c r="AO173" s="34" t="n">
        <f aca="false">AN173*$AN$5/12</f>
        <v>0</v>
      </c>
      <c r="AP173" s="29" t="n">
        <f aca="false">MIN($AN$6,AN173+AO173)</f>
        <v>0</v>
      </c>
      <c r="AQ173" s="30" t="n">
        <f aca="false">MAX(0,MIN(AH173,AN173+AO173-AP173))</f>
        <v>0</v>
      </c>
      <c r="AR173" s="29" t="n">
        <f aca="false">AH173-AQ173</f>
        <v>690</v>
      </c>
      <c r="AS173" s="34" t="n">
        <f aca="false">AN173+AO173-AP173-AQ173</f>
        <v>0</v>
      </c>
      <c r="AT173" s="34" t="n">
        <f aca="false">AW172</f>
        <v>0</v>
      </c>
      <c r="AU173" s="34" t="n">
        <f aca="false">AT173*$AN$5/12</f>
        <v>0</v>
      </c>
      <c r="AV173" s="29" t="n">
        <f aca="false">MIN($AN$6,AT173+AU173)</f>
        <v>0</v>
      </c>
      <c r="AW173" s="34" t="n">
        <f aca="false">AT173+AU173-AV173</f>
        <v>0</v>
      </c>
      <c r="AX173" s="30" t="n">
        <f aca="false">BC172</f>
        <v>0</v>
      </c>
      <c r="AY173" s="30" t="n">
        <f aca="false">AX173*$AX$5/12</f>
        <v>0</v>
      </c>
      <c r="AZ173" s="30" t="n">
        <f aca="false">MIN($AX$6,AX173+AY173)</f>
        <v>0</v>
      </c>
      <c r="BA173" s="30" t="n">
        <f aca="false">MAX(0,MIN(AR173,AX173+AY173-AZ173))</f>
        <v>0</v>
      </c>
      <c r="BB173" s="29" t="n">
        <f aca="false">AR173-BA173</f>
        <v>690</v>
      </c>
      <c r="BC173" s="30" t="n">
        <f aca="false">AX173+AY173-AZ173-BA173</f>
        <v>0</v>
      </c>
      <c r="BD173" s="30" t="n">
        <f aca="false">BG172</f>
        <v>0</v>
      </c>
      <c r="BE173" s="30" t="n">
        <f aca="false">BD173*$AX$5/12</f>
        <v>0</v>
      </c>
      <c r="BF173" s="30" t="n">
        <f aca="false">MIN($AX$6,BD173+BE173)</f>
        <v>0</v>
      </c>
      <c r="BG173" s="30" t="n">
        <f aca="false">BD173+BE173-BF173</f>
        <v>0</v>
      </c>
      <c r="BH173" s="30" t="n">
        <f aca="false">BM172</f>
        <v>0</v>
      </c>
      <c r="BI173" s="30" t="n">
        <f aca="false">BH173*$BH$5/12</f>
        <v>0</v>
      </c>
      <c r="BJ173" s="30" t="n">
        <f aca="false">MIN($BH$6,BH173+BI173)</f>
        <v>0</v>
      </c>
      <c r="BK173" s="30" t="n">
        <f aca="false">MAX(0,MIN(BB173,BH173+BI173-BJ173))</f>
        <v>0</v>
      </c>
      <c r="BL173" s="29" t="n">
        <f aca="false">BB173-BK173</f>
        <v>690</v>
      </c>
      <c r="BM173" s="30" t="n">
        <f aca="false">BH173+BI173-BJ173-BK173</f>
        <v>0</v>
      </c>
      <c r="BN173" s="30" t="n">
        <f aca="false">BQ172</f>
        <v>0</v>
      </c>
      <c r="BO173" s="30" t="n">
        <f aca="false">BN173*$BH$5/12</f>
        <v>0</v>
      </c>
      <c r="BP173" s="30" t="n">
        <f aca="false">MIN($BH$6,BN173+BO173)</f>
        <v>0</v>
      </c>
      <c r="BQ173" s="30" t="n">
        <f aca="false">BN173+BO173-BP173</f>
        <v>0</v>
      </c>
      <c r="BR173" s="30" t="n">
        <f aca="false">BW172</f>
        <v>0</v>
      </c>
      <c r="BS173" s="30" t="n">
        <f aca="false">BR173*$BR$5/12</f>
        <v>0</v>
      </c>
      <c r="BT173" s="30" t="n">
        <f aca="false">MIN($BR$6,BR173+BS173)</f>
        <v>0</v>
      </c>
      <c r="BU173" s="30" t="n">
        <f aca="false">MAX(0,MIN(BL173,BR173+BS173-BT173))</f>
        <v>0</v>
      </c>
      <c r="BV173" s="29" t="n">
        <f aca="false">BL173-BU173</f>
        <v>690</v>
      </c>
      <c r="BW173" s="30" t="n">
        <f aca="false">BR173+BS173-BT173-BU173</f>
        <v>0</v>
      </c>
      <c r="BX173" s="30" t="n">
        <f aca="false">CA172</f>
        <v>0</v>
      </c>
      <c r="BY173" s="30" t="n">
        <f aca="false">BX173*$BR$5/12</f>
        <v>0</v>
      </c>
      <c r="BZ173" s="30" t="n">
        <f aca="false">MIN($BR$6,BX173+BY173)</f>
        <v>0</v>
      </c>
      <c r="CA173" s="30" t="n">
        <f aca="false">BX173+BY173-BZ173</f>
        <v>0</v>
      </c>
      <c r="CB173" s="30" t="n">
        <f aca="false">CG172</f>
        <v>0</v>
      </c>
      <c r="CC173" s="30" t="n">
        <f aca="false">CB173*$CB$5/12</f>
        <v>0</v>
      </c>
      <c r="CD173" s="30" t="n">
        <f aca="false">MIN($CB$6,CB173+CC173)</f>
        <v>0</v>
      </c>
      <c r="CE173" s="30" t="n">
        <f aca="false">MAX(0,MIN(BV173,CB173+CC173-CD173))</f>
        <v>0</v>
      </c>
      <c r="CF173" s="29" t="n">
        <f aca="false">BV173-CE173</f>
        <v>690</v>
      </c>
      <c r="CG173" s="30" t="n">
        <f aca="false">CB173+CC173-CD173-CE173</f>
        <v>0</v>
      </c>
      <c r="CH173" s="30" t="n">
        <f aca="false">CK172</f>
        <v>0</v>
      </c>
      <c r="CI173" s="30" t="n">
        <f aca="false">CH173*$CB$5/12</f>
        <v>0</v>
      </c>
      <c r="CJ173" s="30" t="n">
        <f aca="false">MIN($CB$6,CH173+CI173)</f>
        <v>0</v>
      </c>
      <c r="CK173" s="30" t="n">
        <f aca="false">CH173+CI173-CJ173</f>
        <v>0</v>
      </c>
    </row>
    <row r="174" customFormat="false" ht="15" hidden="false" customHeight="false" outlineLevel="0" collapsed="false">
      <c r="A174" s="0" t="n">
        <v>166</v>
      </c>
      <c r="B174" s="29" t="n">
        <f aca="false">'1 Your debts'!$B$16-(L174+V174+AF174+AP174+AZ174+BJ174+BT174+CD174)</f>
        <v>690</v>
      </c>
      <c r="C174" s="34" t="n">
        <f aca="false">O174+Y174+AI174+AS174+BC174+BM174+BW174+CG174</f>
        <v>0</v>
      </c>
      <c r="D174" s="34" t="n">
        <f aca="false">K174+U174+AE174+AO174+AY174+BI174+BS174+CC174</f>
        <v>0</v>
      </c>
      <c r="F174" s="34" t="n">
        <f aca="false">S174+AC174+AM174+AW174+BG174+BQ174+CA174+CK174</f>
        <v>0</v>
      </c>
      <c r="G174" s="34" t="n">
        <f aca="false">Q174+AA174+AK174+AU174+BE174+BO174+BY174+CI174</f>
        <v>0</v>
      </c>
      <c r="J174" s="34" t="n">
        <f aca="false">O173</f>
        <v>0</v>
      </c>
      <c r="K174" s="34" t="n">
        <f aca="false">J174*$J$5/12</f>
        <v>0</v>
      </c>
      <c r="L174" s="29" t="n">
        <f aca="false">MIN($J$6,J174+K174)</f>
        <v>0</v>
      </c>
      <c r="M174" s="30" t="n">
        <f aca="false">MAX(0,MIN($B174,J174+K174-L174))</f>
        <v>0</v>
      </c>
      <c r="N174" s="29" t="n">
        <f aca="false">$B174-M174</f>
        <v>690</v>
      </c>
      <c r="O174" s="34" t="n">
        <f aca="false">J174+K174-L174-M174</f>
        <v>0</v>
      </c>
      <c r="P174" s="34" t="n">
        <f aca="false">S173</f>
        <v>0</v>
      </c>
      <c r="Q174" s="34" t="n">
        <f aca="false">P174*$J$5/12</f>
        <v>0</v>
      </c>
      <c r="R174" s="29" t="n">
        <f aca="false">MIN($J$6,P174+Q174)</f>
        <v>0</v>
      </c>
      <c r="S174" s="34" t="n">
        <f aca="false">P174+Q174-R174</f>
        <v>0</v>
      </c>
      <c r="T174" s="34" t="n">
        <f aca="false">Y173</f>
        <v>0</v>
      </c>
      <c r="U174" s="34" t="n">
        <f aca="false">T174*$T$5/12</f>
        <v>0</v>
      </c>
      <c r="V174" s="29" t="n">
        <f aca="false">MIN($T$6,T174+U174)</f>
        <v>0</v>
      </c>
      <c r="W174" s="30" t="n">
        <f aca="false">MAX(0,MIN(N174,T174+U174-V174))</f>
        <v>0</v>
      </c>
      <c r="X174" s="29" t="n">
        <f aca="false">N174-W174</f>
        <v>690</v>
      </c>
      <c r="Y174" s="34" t="n">
        <f aca="false">T174+U174-V174-W174</f>
        <v>0</v>
      </c>
      <c r="Z174" s="34" t="n">
        <f aca="false">AC173</f>
        <v>0</v>
      </c>
      <c r="AA174" s="34" t="n">
        <f aca="false">Z174*$T$5/12</f>
        <v>0</v>
      </c>
      <c r="AB174" s="29" t="n">
        <f aca="false">MIN($T$6,Z174+AA174)</f>
        <v>0</v>
      </c>
      <c r="AC174" s="34" t="n">
        <f aca="false">Z174+AA174-AB174</f>
        <v>0</v>
      </c>
      <c r="AD174" s="34" t="n">
        <f aca="false">AI173</f>
        <v>0</v>
      </c>
      <c r="AE174" s="34" t="n">
        <f aca="false">AD174*$AD$5/12</f>
        <v>0</v>
      </c>
      <c r="AF174" s="29" t="n">
        <f aca="false">MIN($AD$6,AD174+AE174)</f>
        <v>0</v>
      </c>
      <c r="AG174" s="30" t="n">
        <f aca="false">MAX(0,MIN(X174,AD174+AE174-AF174))</f>
        <v>0</v>
      </c>
      <c r="AH174" s="29" t="n">
        <f aca="false">X174-AG174</f>
        <v>690</v>
      </c>
      <c r="AI174" s="34" t="n">
        <f aca="false">AD174+AE174-AF174-AG174</f>
        <v>0</v>
      </c>
      <c r="AJ174" s="34" t="n">
        <f aca="false">AM173</f>
        <v>0</v>
      </c>
      <c r="AK174" s="34" t="n">
        <f aca="false">AJ174*$AD$5/12</f>
        <v>0</v>
      </c>
      <c r="AL174" s="29" t="n">
        <f aca="false">MIN($AD$6,AJ174+AK174)</f>
        <v>0</v>
      </c>
      <c r="AM174" s="34" t="n">
        <f aca="false">AJ174+AK174-AL174</f>
        <v>0</v>
      </c>
      <c r="AN174" s="34" t="n">
        <f aca="false">AS173</f>
        <v>0</v>
      </c>
      <c r="AO174" s="34" t="n">
        <f aca="false">AN174*$AN$5/12</f>
        <v>0</v>
      </c>
      <c r="AP174" s="29" t="n">
        <f aca="false">MIN($AN$6,AN174+AO174)</f>
        <v>0</v>
      </c>
      <c r="AQ174" s="30" t="n">
        <f aca="false">MAX(0,MIN(AH174,AN174+AO174-AP174))</f>
        <v>0</v>
      </c>
      <c r="AR174" s="29" t="n">
        <f aca="false">AH174-AQ174</f>
        <v>690</v>
      </c>
      <c r="AS174" s="34" t="n">
        <f aca="false">AN174+AO174-AP174-AQ174</f>
        <v>0</v>
      </c>
      <c r="AT174" s="34" t="n">
        <f aca="false">AW173</f>
        <v>0</v>
      </c>
      <c r="AU174" s="34" t="n">
        <f aca="false">AT174*$AN$5/12</f>
        <v>0</v>
      </c>
      <c r="AV174" s="29" t="n">
        <f aca="false">MIN($AN$6,AT174+AU174)</f>
        <v>0</v>
      </c>
      <c r="AW174" s="34" t="n">
        <f aca="false">AT174+AU174-AV174</f>
        <v>0</v>
      </c>
      <c r="AX174" s="30" t="n">
        <f aca="false">BC173</f>
        <v>0</v>
      </c>
      <c r="AY174" s="30" t="n">
        <f aca="false">AX174*$AX$5/12</f>
        <v>0</v>
      </c>
      <c r="AZ174" s="30" t="n">
        <f aca="false">MIN($AX$6,AX174+AY174)</f>
        <v>0</v>
      </c>
      <c r="BA174" s="30" t="n">
        <f aca="false">MAX(0,MIN(AR174,AX174+AY174-AZ174))</f>
        <v>0</v>
      </c>
      <c r="BB174" s="29" t="n">
        <f aca="false">AR174-BA174</f>
        <v>690</v>
      </c>
      <c r="BC174" s="30" t="n">
        <f aca="false">AX174+AY174-AZ174-BA174</f>
        <v>0</v>
      </c>
      <c r="BD174" s="30" t="n">
        <f aca="false">BG173</f>
        <v>0</v>
      </c>
      <c r="BE174" s="30" t="n">
        <f aca="false">BD174*$AX$5/12</f>
        <v>0</v>
      </c>
      <c r="BF174" s="30" t="n">
        <f aca="false">MIN($AX$6,BD174+BE174)</f>
        <v>0</v>
      </c>
      <c r="BG174" s="30" t="n">
        <f aca="false">BD174+BE174-BF174</f>
        <v>0</v>
      </c>
      <c r="BH174" s="30" t="n">
        <f aca="false">BM173</f>
        <v>0</v>
      </c>
      <c r="BI174" s="30" t="n">
        <f aca="false">BH174*$BH$5/12</f>
        <v>0</v>
      </c>
      <c r="BJ174" s="30" t="n">
        <f aca="false">MIN($BH$6,BH174+BI174)</f>
        <v>0</v>
      </c>
      <c r="BK174" s="30" t="n">
        <f aca="false">MAX(0,MIN(BB174,BH174+BI174-BJ174))</f>
        <v>0</v>
      </c>
      <c r="BL174" s="29" t="n">
        <f aca="false">BB174-BK174</f>
        <v>690</v>
      </c>
      <c r="BM174" s="30" t="n">
        <f aca="false">BH174+BI174-BJ174-BK174</f>
        <v>0</v>
      </c>
      <c r="BN174" s="30" t="n">
        <f aca="false">BQ173</f>
        <v>0</v>
      </c>
      <c r="BO174" s="30" t="n">
        <f aca="false">BN174*$BH$5/12</f>
        <v>0</v>
      </c>
      <c r="BP174" s="30" t="n">
        <f aca="false">MIN($BH$6,BN174+BO174)</f>
        <v>0</v>
      </c>
      <c r="BQ174" s="30" t="n">
        <f aca="false">BN174+BO174-BP174</f>
        <v>0</v>
      </c>
      <c r="BR174" s="30" t="n">
        <f aca="false">BW173</f>
        <v>0</v>
      </c>
      <c r="BS174" s="30" t="n">
        <f aca="false">BR174*$BR$5/12</f>
        <v>0</v>
      </c>
      <c r="BT174" s="30" t="n">
        <f aca="false">MIN($BR$6,BR174+BS174)</f>
        <v>0</v>
      </c>
      <c r="BU174" s="30" t="n">
        <f aca="false">MAX(0,MIN(BL174,BR174+BS174-BT174))</f>
        <v>0</v>
      </c>
      <c r="BV174" s="29" t="n">
        <f aca="false">BL174-BU174</f>
        <v>690</v>
      </c>
      <c r="BW174" s="30" t="n">
        <f aca="false">BR174+BS174-BT174-BU174</f>
        <v>0</v>
      </c>
      <c r="BX174" s="30" t="n">
        <f aca="false">CA173</f>
        <v>0</v>
      </c>
      <c r="BY174" s="30" t="n">
        <f aca="false">BX174*$BR$5/12</f>
        <v>0</v>
      </c>
      <c r="BZ174" s="30" t="n">
        <f aca="false">MIN($BR$6,BX174+BY174)</f>
        <v>0</v>
      </c>
      <c r="CA174" s="30" t="n">
        <f aca="false">BX174+BY174-BZ174</f>
        <v>0</v>
      </c>
      <c r="CB174" s="30" t="n">
        <f aca="false">CG173</f>
        <v>0</v>
      </c>
      <c r="CC174" s="30" t="n">
        <f aca="false">CB174*$CB$5/12</f>
        <v>0</v>
      </c>
      <c r="CD174" s="30" t="n">
        <f aca="false">MIN($CB$6,CB174+CC174)</f>
        <v>0</v>
      </c>
      <c r="CE174" s="30" t="n">
        <f aca="false">MAX(0,MIN(BV174,CB174+CC174-CD174))</f>
        <v>0</v>
      </c>
      <c r="CF174" s="29" t="n">
        <f aca="false">BV174-CE174</f>
        <v>690</v>
      </c>
      <c r="CG174" s="30" t="n">
        <f aca="false">CB174+CC174-CD174-CE174</f>
        <v>0</v>
      </c>
      <c r="CH174" s="30" t="n">
        <f aca="false">CK173</f>
        <v>0</v>
      </c>
      <c r="CI174" s="30" t="n">
        <f aca="false">CH174*$CB$5/12</f>
        <v>0</v>
      </c>
      <c r="CJ174" s="30" t="n">
        <f aca="false">MIN($CB$6,CH174+CI174)</f>
        <v>0</v>
      </c>
      <c r="CK174" s="30" t="n">
        <f aca="false">CH174+CI174-CJ174</f>
        <v>0</v>
      </c>
    </row>
    <row r="175" customFormat="false" ht="15" hidden="false" customHeight="false" outlineLevel="0" collapsed="false">
      <c r="A175" s="0" t="n">
        <v>167</v>
      </c>
      <c r="B175" s="29" t="n">
        <f aca="false">'1 Your debts'!$B$16-(L175+V175+AF175+AP175+AZ175+BJ175+BT175+CD175)</f>
        <v>690</v>
      </c>
      <c r="C175" s="34" t="n">
        <f aca="false">O175+Y175+AI175+AS175+BC175+BM175+BW175+CG175</f>
        <v>0</v>
      </c>
      <c r="D175" s="34" t="n">
        <f aca="false">K175+U175+AE175+AO175+AY175+BI175+BS175+CC175</f>
        <v>0</v>
      </c>
      <c r="F175" s="34" t="n">
        <f aca="false">S175+AC175+AM175+AW175+BG175+BQ175+CA175+CK175</f>
        <v>0</v>
      </c>
      <c r="G175" s="34" t="n">
        <f aca="false">Q175+AA175+AK175+AU175+BE175+BO175+BY175+CI175</f>
        <v>0</v>
      </c>
      <c r="J175" s="34" t="n">
        <f aca="false">O174</f>
        <v>0</v>
      </c>
      <c r="K175" s="34" t="n">
        <f aca="false">J175*$J$5/12</f>
        <v>0</v>
      </c>
      <c r="L175" s="29" t="n">
        <f aca="false">MIN($J$6,J175+K175)</f>
        <v>0</v>
      </c>
      <c r="M175" s="30" t="n">
        <f aca="false">MAX(0,MIN($B175,J175+K175-L175))</f>
        <v>0</v>
      </c>
      <c r="N175" s="29" t="n">
        <f aca="false">$B175-M175</f>
        <v>690</v>
      </c>
      <c r="O175" s="34" t="n">
        <f aca="false">J175+K175-L175-M175</f>
        <v>0</v>
      </c>
      <c r="P175" s="34" t="n">
        <f aca="false">S174</f>
        <v>0</v>
      </c>
      <c r="Q175" s="34" t="n">
        <f aca="false">P175*$J$5/12</f>
        <v>0</v>
      </c>
      <c r="R175" s="29" t="n">
        <f aca="false">MIN($J$6,P175+Q175)</f>
        <v>0</v>
      </c>
      <c r="S175" s="34" t="n">
        <f aca="false">P175+Q175-R175</f>
        <v>0</v>
      </c>
      <c r="T175" s="34" t="n">
        <f aca="false">Y174</f>
        <v>0</v>
      </c>
      <c r="U175" s="34" t="n">
        <f aca="false">T175*$T$5/12</f>
        <v>0</v>
      </c>
      <c r="V175" s="29" t="n">
        <f aca="false">MIN($T$6,T175+U175)</f>
        <v>0</v>
      </c>
      <c r="W175" s="30" t="n">
        <f aca="false">MAX(0,MIN(N175,T175+U175-V175))</f>
        <v>0</v>
      </c>
      <c r="X175" s="29" t="n">
        <f aca="false">N175-W175</f>
        <v>690</v>
      </c>
      <c r="Y175" s="34" t="n">
        <f aca="false">T175+U175-V175-W175</f>
        <v>0</v>
      </c>
      <c r="Z175" s="34" t="n">
        <f aca="false">AC174</f>
        <v>0</v>
      </c>
      <c r="AA175" s="34" t="n">
        <f aca="false">Z175*$T$5/12</f>
        <v>0</v>
      </c>
      <c r="AB175" s="29" t="n">
        <f aca="false">MIN($T$6,Z175+AA175)</f>
        <v>0</v>
      </c>
      <c r="AC175" s="34" t="n">
        <f aca="false">Z175+AA175-AB175</f>
        <v>0</v>
      </c>
      <c r="AD175" s="34" t="n">
        <f aca="false">AI174</f>
        <v>0</v>
      </c>
      <c r="AE175" s="34" t="n">
        <f aca="false">AD175*$AD$5/12</f>
        <v>0</v>
      </c>
      <c r="AF175" s="29" t="n">
        <f aca="false">MIN($AD$6,AD175+AE175)</f>
        <v>0</v>
      </c>
      <c r="AG175" s="30" t="n">
        <f aca="false">MAX(0,MIN(X175,AD175+AE175-AF175))</f>
        <v>0</v>
      </c>
      <c r="AH175" s="29" t="n">
        <f aca="false">X175-AG175</f>
        <v>690</v>
      </c>
      <c r="AI175" s="34" t="n">
        <f aca="false">AD175+AE175-AF175-AG175</f>
        <v>0</v>
      </c>
      <c r="AJ175" s="34" t="n">
        <f aca="false">AM174</f>
        <v>0</v>
      </c>
      <c r="AK175" s="34" t="n">
        <f aca="false">AJ175*$AD$5/12</f>
        <v>0</v>
      </c>
      <c r="AL175" s="29" t="n">
        <f aca="false">MIN($AD$6,AJ175+AK175)</f>
        <v>0</v>
      </c>
      <c r="AM175" s="34" t="n">
        <f aca="false">AJ175+AK175-AL175</f>
        <v>0</v>
      </c>
      <c r="AN175" s="34" t="n">
        <f aca="false">AS174</f>
        <v>0</v>
      </c>
      <c r="AO175" s="34" t="n">
        <f aca="false">AN175*$AN$5/12</f>
        <v>0</v>
      </c>
      <c r="AP175" s="29" t="n">
        <f aca="false">MIN($AN$6,AN175+AO175)</f>
        <v>0</v>
      </c>
      <c r="AQ175" s="30" t="n">
        <f aca="false">MAX(0,MIN(AH175,AN175+AO175-AP175))</f>
        <v>0</v>
      </c>
      <c r="AR175" s="29" t="n">
        <f aca="false">AH175-AQ175</f>
        <v>690</v>
      </c>
      <c r="AS175" s="34" t="n">
        <f aca="false">AN175+AO175-AP175-AQ175</f>
        <v>0</v>
      </c>
      <c r="AT175" s="34" t="n">
        <f aca="false">AW174</f>
        <v>0</v>
      </c>
      <c r="AU175" s="34" t="n">
        <f aca="false">AT175*$AN$5/12</f>
        <v>0</v>
      </c>
      <c r="AV175" s="29" t="n">
        <f aca="false">MIN($AN$6,AT175+AU175)</f>
        <v>0</v>
      </c>
      <c r="AW175" s="34" t="n">
        <f aca="false">AT175+AU175-AV175</f>
        <v>0</v>
      </c>
      <c r="AX175" s="30" t="n">
        <f aca="false">BC174</f>
        <v>0</v>
      </c>
      <c r="AY175" s="30" t="n">
        <f aca="false">AX175*$AX$5/12</f>
        <v>0</v>
      </c>
      <c r="AZ175" s="30" t="n">
        <f aca="false">MIN($AX$6,AX175+AY175)</f>
        <v>0</v>
      </c>
      <c r="BA175" s="30" t="n">
        <f aca="false">MAX(0,MIN(AR175,AX175+AY175-AZ175))</f>
        <v>0</v>
      </c>
      <c r="BB175" s="29" t="n">
        <f aca="false">AR175-BA175</f>
        <v>690</v>
      </c>
      <c r="BC175" s="30" t="n">
        <f aca="false">AX175+AY175-AZ175-BA175</f>
        <v>0</v>
      </c>
      <c r="BD175" s="30" t="n">
        <f aca="false">BG174</f>
        <v>0</v>
      </c>
      <c r="BE175" s="30" t="n">
        <f aca="false">BD175*$AX$5/12</f>
        <v>0</v>
      </c>
      <c r="BF175" s="30" t="n">
        <f aca="false">MIN($AX$6,BD175+BE175)</f>
        <v>0</v>
      </c>
      <c r="BG175" s="30" t="n">
        <f aca="false">BD175+BE175-BF175</f>
        <v>0</v>
      </c>
      <c r="BH175" s="30" t="n">
        <f aca="false">BM174</f>
        <v>0</v>
      </c>
      <c r="BI175" s="30" t="n">
        <f aca="false">BH175*$BH$5/12</f>
        <v>0</v>
      </c>
      <c r="BJ175" s="30" t="n">
        <f aca="false">MIN($BH$6,BH175+BI175)</f>
        <v>0</v>
      </c>
      <c r="BK175" s="30" t="n">
        <f aca="false">MAX(0,MIN(BB175,BH175+BI175-BJ175))</f>
        <v>0</v>
      </c>
      <c r="BL175" s="29" t="n">
        <f aca="false">BB175-BK175</f>
        <v>690</v>
      </c>
      <c r="BM175" s="30" t="n">
        <f aca="false">BH175+BI175-BJ175-BK175</f>
        <v>0</v>
      </c>
      <c r="BN175" s="30" t="n">
        <f aca="false">BQ174</f>
        <v>0</v>
      </c>
      <c r="BO175" s="30" t="n">
        <f aca="false">BN175*$BH$5/12</f>
        <v>0</v>
      </c>
      <c r="BP175" s="30" t="n">
        <f aca="false">MIN($BH$6,BN175+BO175)</f>
        <v>0</v>
      </c>
      <c r="BQ175" s="30" t="n">
        <f aca="false">BN175+BO175-BP175</f>
        <v>0</v>
      </c>
      <c r="BR175" s="30" t="n">
        <f aca="false">BW174</f>
        <v>0</v>
      </c>
      <c r="BS175" s="30" t="n">
        <f aca="false">BR175*$BR$5/12</f>
        <v>0</v>
      </c>
      <c r="BT175" s="30" t="n">
        <f aca="false">MIN($BR$6,BR175+BS175)</f>
        <v>0</v>
      </c>
      <c r="BU175" s="30" t="n">
        <f aca="false">MAX(0,MIN(BL175,BR175+BS175-BT175))</f>
        <v>0</v>
      </c>
      <c r="BV175" s="29" t="n">
        <f aca="false">BL175-BU175</f>
        <v>690</v>
      </c>
      <c r="BW175" s="30" t="n">
        <f aca="false">BR175+BS175-BT175-BU175</f>
        <v>0</v>
      </c>
      <c r="BX175" s="30" t="n">
        <f aca="false">CA174</f>
        <v>0</v>
      </c>
      <c r="BY175" s="30" t="n">
        <f aca="false">BX175*$BR$5/12</f>
        <v>0</v>
      </c>
      <c r="BZ175" s="30" t="n">
        <f aca="false">MIN($BR$6,BX175+BY175)</f>
        <v>0</v>
      </c>
      <c r="CA175" s="30" t="n">
        <f aca="false">BX175+BY175-BZ175</f>
        <v>0</v>
      </c>
      <c r="CB175" s="30" t="n">
        <f aca="false">CG174</f>
        <v>0</v>
      </c>
      <c r="CC175" s="30" t="n">
        <f aca="false">CB175*$CB$5/12</f>
        <v>0</v>
      </c>
      <c r="CD175" s="30" t="n">
        <f aca="false">MIN($CB$6,CB175+CC175)</f>
        <v>0</v>
      </c>
      <c r="CE175" s="30" t="n">
        <f aca="false">MAX(0,MIN(BV175,CB175+CC175-CD175))</f>
        <v>0</v>
      </c>
      <c r="CF175" s="29" t="n">
        <f aca="false">BV175-CE175</f>
        <v>690</v>
      </c>
      <c r="CG175" s="30" t="n">
        <f aca="false">CB175+CC175-CD175-CE175</f>
        <v>0</v>
      </c>
      <c r="CH175" s="30" t="n">
        <f aca="false">CK174</f>
        <v>0</v>
      </c>
      <c r="CI175" s="30" t="n">
        <f aca="false">CH175*$CB$5/12</f>
        <v>0</v>
      </c>
      <c r="CJ175" s="30" t="n">
        <f aca="false">MIN($CB$6,CH175+CI175)</f>
        <v>0</v>
      </c>
      <c r="CK175" s="30" t="n">
        <f aca="false">CH175+CI175-CJ175</f>
        <v>0</v>
      </c>
    </row>
    <row r="176" customFormat="false" ht="15" hidden="false" customHeight="false" outlineLevel="0" collapsed="false">
      <c r="A176" s="0" t="n">
        <v>168</v>
      </c>
      <c r="B176" s="29" t="n">
        <f aca="false">'1 Your debts'!$B$16-(L176+V176+AF176+AP176+AZ176+BJ176+BT176+CD176)</f>
        <v>690</v>
      </c>
      <c r="C176" s="34" t="n">
        <f aca="false">O176+Y176+AI176+AS176+BC176+BM176+BW176+CG176</f>
        <v>0</v>
      </c>
      <c r="D176" s="34" t="n">
        <f aca="false">K176+U176+AE176+AO176+AY176+BI176+BS176+CC176</f>
        <v>0</v>
      </c>
      <c r="F176" s="34" t="n">
        <f aca="false">S176+AC176+AM176+AW176+BG176+BQ176+CA176+CK176</f>
        <v>0</v>
      </c>
      <c r="G176" s="34" t="n">
        <f aca="false">Q176+AA176+AK176+AU176+BE176+BO176+BY176+CI176</f>
        <v>0</v>
      </c>
      <c r="J176" s="34" t="n">
        <f aca="false">O175</f>
        <v>0</v>
      </c>
      <c r="K176" s="34" t="n">
        <f aca="false">J176*$J$5/12</f>
        <v>0</v>
      </c>
      <c r="L176" s="29" t="n">
        <f aca="false">MIN($J$6,J176+K176)</f>
        <v>0</v>
      </c>
      <c r="M176" s="30" t="n">
        <f aca="false">MAX(0,MIN($B176,J176+K176-L176))</f>
        <v>0</v>
      </c>
      <c r="N176" s="29" t="n">
        <f aca="false">$B176-M176</f>
        <v>690</v>
      </c>
      <c r="O176" s="34" t="n">
        <f aca="false">J176+K176-L176-M176</f>
        <v>0</v>
      </c>
      <c r="P176" s="34" t="n">
        <f aca="false">S175</f>
        <v>0</v>
      </c>
      <c r="Q176" s="34" t="n">
        <f aca="false">P176*$J$5/12</f>
        <v>0</v>
      </c>
      <c r="R176" s="29" t="n">
        <f aca="false">MIN($J$6,P176+Q176)</f>
        <v>0</v>
      </c>
      <c r="S176" s="34" t="n">
        <f aca="false">P176+Q176-R176</f>
        <v>0</v>
      </c>
      <c r="T176" s="34" t="n">
        <f aca="false">Y175</f>
        <v>0</v>
      </c>
      <c r="U176" s="34" t="n">
        <f aca="false">T176*$T$5/12</f>
        <v>0</v>
      </c>
      <c r="V176" s="29" t="n">
        <f aca="false">MIN($T$6,T176+U176)</f>
        <v>0</v>
      </c>
      <c r="W176" s="30" t="n">
        <f aca="false">MAX(0,MIN(N176,T176+U176-V176))</f>
        <v>0</v>
      </c>
      <c r="X176" s="29" t="n">
        <f aca="false">N176-W176</f>
        <v>690</v>
      </c>
      <c r="Y176" s="34" t="n">
        <f aca="false">T176+U176-V176-W176</f>
        <v>0</v>
      </c>
      <c r="Z176" s="34" t="n">
        <f aca="false">AC175</f>
        <v>0</v>
      </c>
      <c r="AA176" s="34" t="n">
        <f aca="false">Z176*$T$5/12</f>
        <v>0</v>
      </c>
      <c r="AB176" s="29" t="n">
        <f aca="false">MIN($T$6,Z176+AA176)</f>
        <v>0</v>
      </c>
      <c r="AC176" s="34" t="n">
        <f aca="false">Z176+AA176-AB176</f>
        <v>0</v>
      </c>
      <c r="AD176" s="34" t="n">
        <f aca="false">AI175</f>
        <v>0</v>
      </c>
      <c r="AE176" s="34" t="n">
        <f aca="false">AD176*$AD$5/12</f>
        <v>0</v>
      </c>
      <c r="AF176" s="29" t="n">
        <f aca="false">MIN($AD$6,AD176+AE176)</f>
        <v>0</v>
      </c>
      <c r="AG176" s="30" t="n">
        <f aca="false">MAX(0,MIN(X176,AD176+AE176-AF176))</f>
        <v>0</v>
      </c>
      <c r="AH176" s="29" t="n">
        <f aca="false">X176-AG176</f>
        <v>690</v>
      </c>
      <c r="AI176" s="34" t="n">
        <f aca="false">AD176+AE176-AF176-AG176</f>
        <v>0</v>
      </c>
      <c r="AJ176" s="34" t="n">
        <f aca="false">AM175</f>
        <v>0</v>
      </c>
      <c r="AK176" s="34" t="n">
        <f aca="false">AJ176*$AD$5/12</f>
        <v>0</v>
      </c>
      <c r="AL176" s="29" t="n">
        <f aca="false">MIN($AD$6,AJ176+AK176)</f>
        <v>0</v>
      </c>
      <c r="AM176" s="34" t="n">
        <f aca="false">AJ176+AK176-AL176</f>
        <v>0</v>
      </c>
      <c r="AN176" s="34" t="n">
        <f aca="false">AS175</f>
        <v>0</v>
      </c>
      <c r="AO176" s="34" t="n">
        <f aca="false">AN176*$AN$5/12</f>
        <v>0</v>
      </c>
      <c r="AP176" s="29" t="n">
        <f aca="false">MIN($AN$6,AN176+AO176)</f>
        <v>0</v>
      </c>
      <c r="AQ176" s="30" t="n">
        <f aca="false">MAX(0,MIN(AH176,AN176+AO176-AP176))</f>
        <v>0</v>
      </c>
      <c r="AR176" s="29" t="n">
        <f aca="false">AH176-AQ176</f>
        <v>690</v>
      </c>
      <c r="AS176" s="34" t="n">
        <f aca="false">AN176+AO176-AP176-AQ176</f>
        <v>0</v>
      </c>
      <c r="AT176" s="34" t="n">
        <f aca="false">AW175</f>
        <v>0</v>
      </c>
      <c r="AU176" s="34" t="n">
        <f aca="false">AT176*$AN$5/12</f>
        <v>0</v>
      </c>
      <c r="AV176" s="29" t="n">
        <f aca="false">MIN($AN$6,AT176+AU176)</f>
        <v>0</v>
      </c>
      <c r="AW176" s="34" t="n">
        <f aca="false">AT176+AU176-AV176</f>
        <v>0</v>
      </c>
      <c r="AX176" s="30" t="n">
        <f aca="false">BC175</f>
        <v>0</v>
      </c>
      <c r="AY176" s="30" t="n">
        <f aca="false">AX176*$AX$5/12</f>
        <v>0</v>
      </c>
      <c r="AZ176" s="30" t="n">
        <f aca="false">MIN($AX$6,AX176+AY176)</f>
        <v>0</v>
      </c>
      <c r="BA176" s="30" t="n">
        <f aca="false">MAX(0,MIN(AR176,AX176+AY176-AZ176))</f>
        <v>0</v>
      </c>
      <c r="BB176" s="29" t="n">
        <f aca="false">AR176-BA176</f>
        <v>690</v>
      </c>
      <c r="BC176" s="30" t="n">
        <f aca="false">AX176+AY176-AZ176-BA176</f>
        <v>0</v>
      </c>
      <c r="BD176" s="30" t="n">
        <f aca="false">BG175</f>
        <v>0</v>
      </c>
      <c r="BE176" s="30" t="n">
        <f aca="false">BD176*$AX$5/12</f>
        <v>0</v>
      </c>
      <c r="BF176" s="30" t="n">
        <f aca="false">MIN($AX$6,BD176+BE176)</f>
        <v>0</v>
      </c>
      <c r="BG176" s="30" t="n">
        <f aca="false">BD176+BE176-BF176</f>
        <v>0</v>
      </c>
      <c r="BH176" s="30" t="n">
        <f aca="false">BM175</f>
        <v>0</v>
      </c>
      <c r="BI176" s="30" t="n">
        <f aca="false">BH176*$BH$5/12</f>
        <v>0</v>
      </c>
      <c r="BJ176" s="30" t="n">
        <f aca="false">MIN($BH$6,BH176+BI176)</f>
        <v>0</v>
      </c>
      <c r="BK176" s="30" t="n">
        <f aca="false">MAX(0,MIN(BB176,BH176+BI176-BJ176))</f>
        <v>0</v>
      </c>
      <c r="BL176" s="29" t="n">
        <f aca="false">BB176-BK176</f>
        <v>690</v>
      </c>
      <c r="BM176" s="30" t="n">
        <f aca="false">BH176+BI176-BJ176-BK176</f>
        <v>0</v>
      </c>
      <c r="BN176" s="30" t="n">
        <f aca="false">BQ175</f>
        <v>0</v>
      </c>
      <c r="BO176" s="30" t="n">
        <f aca="false">BN176*$BH$5/12</f>
        <v>0</v>
      </c>
      <c r="BP176" s="30" t="n">
        <f aca="false">MIN($BH$6,BN176+BO176)</f>
        <v>0</v>
      </c>
      <c r="BQ176" s="30" t="n">
        <f aca="false">BN176+BO176-BP176</f>
        <v>0</v>
      </c>
      <c r="BR176" s="30" t="n">
        <f aca="false">BW175</f>
        <v>0</v>
      </c>
      <c r="BS176" s="30" t="n">
        <f aca="false">BR176*$BR$5/12</f>
        <v>0</v>
      </c>
      <c r="BT176" s="30" t="n">
        <f aca="false">MIN($BR$6,BR176+BS176)</f>
        <v>0</v>
      </c>
      <c r="BU176" s="30" t="n">
        <f aca="false">MAX(0,MIN(BL176,BR176+BS176-BT176))</f>
        <v>0</v>
      </c>
      <c r="BV176" s="29" t="n">
        <f aca="false">BL176-BU176</f>
        <v>690</v>
      </c>
      <c r="BW176" s="30" t="n">
        <f aca="false">BR176+BS176-BT176-BU176</f>
        <v>0</v>
      </c>
      <c r="BX176" s="30" t="n">
        <f aca="false">CA175</f>
        <v>0</v>
      </c>
      <c r="BY176" s="30" t="n">
        <f aca="false">BX176*$BR$5/12</f>
        <v>0</v>
      </c>
      <c r="BZ176" s="30" t="n">
        <f aca="false">MIN($BR$6,BX176+BY176)</f>
        <v>0</v>
      </c>
      <c r="CA176" s="30" t="n">
        <f aca="false">BX176+BY176-BZ176</f>
        <v>0</v>
      </c>
      <c r="CB176" s="30" t="n">
        <f aca="false">CG175</f>
        <v>0</v>
      </c>
      <c r="CC176" s="30" t="n">
        <f aca="false">CB176*$CB$5/12</f>
        <v>0</v>
      </c>
      <c r="CD176" s="30" t="n">
        <f aca="false">MIN($CB$6,CB176+CC176)</f>
        <v>0</v>
      </c>
      <c r="CE176" s="30" t="n">
        <f aca="false">MAX(0,MIN(BV176,CB176+CC176-CD176))</f>
        <v>0</v>
      </c>
      <c r="CF176" s="29" t="n">
        <f aca="false">BV176-CE176</f>
        <v>690</v>
      </c>
      <c r="CG176" s="30" t="n">
        <f aca="false">CB176+CC176-CD176-CE176</f>
        <v>0</v>
      </c>
      <c r="CH176" s="30" t="n">
        <f aca="false">CK175</f>
        <v>0</v>
      </c>
      <c r="CI176" s="30" t="n">
        <f aca="false">CH176*$CB$5/12</f>
        <v>0</v>
      </c>
      <c r="CJ176" s="30" t="n">
        <f aca="false">MIN($CB$6,CH176+CI176)</f>
        <v>0</v>
      </c>
      <c r="CK176" s="30" t="n">
        <f aca="false">CH176+CI176-CJ176</f>
        <v>0</v>
      </c>
    </row>
    <row r="177" customFormat="false" ht="15" hidden="false" customHeight="false" outlineLevel="0" collapsed="false">
      <c r="A177" s="0" t="n">
        <v>169</v>
      </c>
      <c r="B177" s="29" t="n">
        <f aca="false">'1 Your debts'!$B$16-(L177+V177+AF177+AP177+AZ177+BJ177+BT177+CD177)</f>
        <v>690</v>
      </c>
      <c r="C177" s="34" t="n">
        <f aca="false">O177+Y177+AI177+AS177+BC177+BM177+BW177+CG177</f>
        <v>0</v>
      </c>
      <c r="D177" s="34" t="n">
        <f aca="false">K177+U177+AE177+AO177+AY177+BI177+BS177+CC177</f>
        <v>0</v>
      </c>
      <c r="F177" s="34" t="n">
        <f aca="false">S177+AC177+AM177+AW177+BG177+BQ177+CA177+CK177</f>
        <v>0</v>
      </c>
      <c r="G177" s="34" t="n">
        <f aca="false">Q177+AA177+AK177+AU177+BE177+BO177+BY177+CI177</f>
        <v>0</v>
      </c>
      <c r="J177" s="34" t="n">
        <f aca="false">O176</f>
        <v>0</v>
      </c>
      <c r="K177" s="34" t="n">
        <f aca="false">J177*$J$5/12</f>
        <v>0</v>
      </c>
      <c r="L177" s="29" t="n">
        <f aca="false">MIN($J$6,J177+K177)</f>
        <v>0</v>
      </c>
      <c r="M177" s="30" t="n">
        <f aca="false">MAX(0,MIN($B177,J177+K177-L177))</f>
        <v>0</v>
      </c>
      <c r="N177" s="29" t="n">
        <f aca="false">$B177-M177</f>
        <v>690</v>
      </c>
      <c r="O177" s="34" t="n">
        <f aca="false">J177+K177-L177-M177</f>
        <v>0</v>
      </c>
      <c r="P177" s="34" t="n">
        <f aca="false">S176</f>
        <v>0</v>
      </c>
      <c r="Q177" s="34" t="n">
        <f aca="false">P177*$J$5/12</f>
        <v>0</v>
      </c>
      <c r="R177" s="29" t="n">
        <f aca="false">MIN($J$6,P177+Q177)</f>
        <v>0</v>
      </c>
      <c r="S177" s="34" t="n">
        <f aca="false">P177+Q177-R177</f>
        <v>0</v>
      </c>
      <c r="T177" s="34" t="n">
        <f aca="false">Y176</f>
        <v>0</v>
      </c>
      <c r="U177" s="34" t="n">
        <f aca="false">T177*$T$5/12</f>
        <v>0</v>
      </c>
      <c r="V177" s="29" t="n">
        <f aca="false">MIN($T$6,T177+U177)</f>
        <v>0</v>
      </c>
      <c r="W177" s="30" t="n">
        <f aca="false">MAX(0,MIN(N177,T177+U177-V177))</f>
        <v>0</v>
      </c>
      <c r="X177" s="29" t="n">
        <f aca="false">N177-W177</f>
        <v>690</v>
      </c>
      <c r="Y177" s="34" t="n">
        <f aca="false">T177+U177-V177-W177</f>
        <v>0</v>
      </c>
      <c r="Z177" s="34" t="n">
        <f aca="false">AC176</f>
        <v>0</v>
      </c>
      <c r="AA177" s="34" t="n">
        <f aca="false">Z177*$T$5/12</f>
        <v>0</v>
      </c>
      <c r="AB177" s="29" t="n">
        <f aca="false">MIN($T$6,Z177+AA177)</f>
        <v>0</v>
      </c>
      <c r="AC177" s="34" t="n">
        <f aca="false">Z177+AA177-AB177</f>
        <v>0</v>
      </c>
      <c r="AD177" s="34" t="n">
        <f aca="false">AI176</f>
        <v>0</v>
      </c>
      <c r="AE177" s="34" t="n">
        <f aca="false">AD177*$AD$5/12</f>
        <v>0</v>
      </c>
      <c r="AF177" s="29" t="n">
        <f aca="false">MIN($AD$6,AD177+AE177)</f>
        <v>0</v>
      </c>
      <c r="AG177" s="30" t="n">
        <f aca="false">MAX(0,MIN(X177,AD177+AE177-AF177))</f>
        <v>0</v>
      </c>
      <c r="AH177" s="29" t="n">
        <f aca="false">X177-AG177</f>
        <v>690</v>
      </c>
      <c r="AI177" s="34" t="n">
        <f aca="false">AD177+AE177-AF177-AG177</f>
        <v>0</v>
      </c>
      <c r="AJ177" s="34" t="n">
        <f aca="false">AM176</f>
        <v>0</v>
      </c>
      <c r="AK177" s="34" t="n">
        <f aca="false">AJ177*$AD$5/12</f>
        <v>0</v>
      </c>
      <c r="AL177" s="29" t="n">
        <f aca="false">MIN($AD$6,AJ177+AK177)</f>
        <v>0</v>
      </c>
      <c r="AM177" s="34" t="n">
        <f aca="false">AJ177+AK177-AL177</f>
        <v>0</v>
      </c>
      <c r="AN177" s="34" t="n">
        <f aca="false">AS176</f>
        <v>0</v>
      </c>
      <c r="AO177" s="34" t="n">
        <f aca="false">AN177*$AN$5/12</f>
        <v>0</v>
      </c>
      <c r="AP177" s="29" t="n">
        <f aca="false">MIN($AN$6,AN177+AO177)</f>
        <v>0</v>
      </c>
      <c r="AQ177" s="30" t="n">
        <f aca="false">MAX(0,MIN(AH177,AN177+AO177-AP177))</f>
        <v>0</v>
      </c>
      <c r="AR177" s="29" t="n">
        <f aca="false">AH177-AQ177</f>
        <v>690</v>
      </c>
      <c r="AS177" s="34" t="n">
        <f aca="false">AN177+AO177-AP177-AQ177</f>
        <v>0</v>
      </c>
      <c r="AT177" s="34" t="n">
        <f aca="false">AW176</f>
        <v>0</v>
      </c>
      <c r="AU177" s="34" t="n">
        <f aca="false">AT177*$AN$5/12</f>
        <v>0</v>
      </c>
      <c r="AV177" s="29" t="n">
        <f aca="false">MIN($AN$6,AT177+AU177)</f>
        <v>0</v>
      </c>
      <c r="AW177" s="34" t="n">
        <f aca="false">AT177+AU177-AV177</f>
        <v>0</v>
      </c>
      <c r="AX177" s="30" t="n">
        <f aca="false">BC176</f>
        <v>0</v>
      </c>
      <c r="AY177" s="30" t="n">
        <f aca="false">AX177*$AX$5/12</f>
        <v>0</v>
      </c>
      <c r="AZ177" s="30" t="n">
        <f aca="false">MIN($AX$6,AX177+AY177)</f>
        <v>0</v>
      </c>
      <c r="BA177" s="30" t="n">
        <f aca="false">MAX(0,MIN(AR177,AX177+AY177-AZ177))</f>
        <v>0</v>
      </c>
      <c r="BB177" s="29" t="n">
        <f aca="false">AR177-BA177</f>
        <v>690</v>
      </c>
      <c r="BC177" s="30" t="n">
        <f aca="false">AX177+AY177-AZ177-BA177</f>
        <v>0</v>
      </c>
      <c r="BD177" s="30" t="n">
        <f aca="false">BG176</f>
        <v>0</v>
      </c>
      <c r="BE177" s="30" t="n">
        <f aca="false">BD177*$AX$5/12</f>
        <v>0</v>
      </c>
      <c r="BF177" s="30" t="n">
        <f aca="false">MIN($AX$6,BD177+BE177)</f>
        <v>0</v>
      </c>
      <c r="BG177" s="30" t="n">
        <f aca="false">BD177+BE177-BF177</f>
        <v>0</v>
      </c>
      <c r="BH177" s="30" t="n">
        <f aca="false">BM176</f>
        <v>0</v>
      </c>
      <c r="BI177" s="30" t="n">
        <f aca="false">BH177*$BH$5/12</f>
        <v>0</v>
      </c>
      <c r="BJ177" s="30" t="n">
        <f aca="false">MIN($BH$6,BH177+BI177)</f>
        <v>0</v>
      </c>
      <c r="BK177" s="30" t="n">
        <f aca="false">MAX(0,MIN(BB177,BH177+BI177-BJ177))</f>
        <v>0</v>
      </c>
      <c r="BL177" s="29" t="n">
        <f aca="false">BB177-BK177</f>
        <v>690</v>
      </c>
      <c r="BM177" s="30" t="n">
        <f aca="false">BH177+BI177-BJ177-BK177</f>
        <v>0</v>
      </c>
      <c r="BN177" s="30" t="n">
        <f aca="false">BQ176</f>
        <v>0</v>
      </c>
      <c r="BO177" s="30" t="n">
        <f aca="false">BN177*$BH$5/12</f>
        <v>0</v>
      </c>
      <c r="BP177" s="30" t="n">
        <f aca="false">MIN($BH$6,BN177+BO177)</f>
        <v>0</v>
      </c>
      <c r="BQ177" s="30" t="n">
        <f aca="false">BN177+BO177-BP177</f>
        <v>0</v>
      </c>
      <c r="BR177" s="30" t="n">
        <f aca="false">BW176</f>
        <v>0</v>
      </c>
      <c r="BS177" s="30" t="n">
        <f aca="false">BR177*$BR$5/12</f>
        <v>0</v>
      </c>
      <c r="BT177" s="30" t="n">
        <f aca="false">MIN($BR$6,BR177+BS177)</f>
        <v>0</v>
      </c>
      <c r="BU177" s="30" t="n">
        <f aca="false">MAX(0,MIN(BL177,BR177+BS177-BT177))</f>
        <v>0</v>
      </c>
      <c r="BV177" s="29" t="n">
        <f aca="false">BL177-BU177</f>
        <v>690</v>
      </c>
      <c r="BW177" s="30" t="n">
        <f aca="false">BR177+BS177-BT177-BU177</f>
        <v>0</v>
      </c>
      <c r="BX177" s="30" t="n">
        <f aca="false">CA176</f>
        <v>0</v>
      </c>
      <c r="BY177" s="30" t="n">
        <f aca="false">BX177*$BR$5/12</f>
        <v>0</v>
      </c>
      <c r="BZ177" s="30" t="n">
        <f aca="false">MIN($BR$6,BX177+BY177)</f>
        <v>0</v>
      </c>
      <c r="CA177" s="30" t="n">
        <f aca="false">BX177+BY177-BZ177</f>
        <v>0</v>
      </c>
      <c r="CB177" s="30" t="n">
        <f aca="false">CG176</f>
        <v>0</v>
      </c>
      <c r="CC177" s="30" t="n">
        <f aca="false">CB177*$CB$5/12</f>
        <v>0</v>
      </c>
      <c r="CD177" s="30" t="n">
        <f aca="false">MIN($CB$6,CB177+CC177)</f>
        <v>0</v>
      </c>
      <c r="CE177" s="30" t="n">
        <f aca="false">MAX(0,MIN(BV177,CB177+CC177-CD177))</f>
        <v>0</v>
      </c>
      <c r="CF177" s="29" t="n">
        <f aca="false">BV177-CE177</f>
        <v>690</v>
      </c>
      <c r="CG177" s="30" t="n">
        <f aca="false">CB177+CC177-CD177-CE177</f>
        <v>0</v>
      </c>
      <c r="CH177" s="30" t="n">
        <f aca="false">CK176</f>
        <v>0</v>
      </c>
      <c r="CI177" s="30" t="n">
        <f aca="false">CH177*$CB$5/12</f>
        <v>0</v>
      </c>
      <c r="CJ177" s="30" t="n">
        <f aca="false">MIN($CB$6,CH177+CI177)</f>
        <v>0</v>
      </c>
      <c r="CK177" s="30" t="n">
        <f aca="false">CH177+CI177-CJ177</f>
        <v>0</v>
      </c>
    </row>
    <row r="178" customFormat="false" ht="15" hidden="false" customHeight="false" outlineLevel="0" collapsed="false">
      <c r="A178" s="0" t="n">
        <v>170</v>
      </c>
      <c r="B178" s="29" t="n">
        <f aca="false">'1 Your debts'!$B$16-(L178+V178+AF178+AP178+AZ178+BJ178+BT178+CD178)</f>
        <v>690</v>
      </c>
      <c r="C178" s="34" t="n">
        <f aca="false">O178+Y178+AI178+AS178+BC178+BM178+BW178+CG178</f>
        <v>0</v>
      </c>
      <c r="D178" s="34" t="n">
        <f aca="false">K178+U178+AE178+AO178+AY178+BI178+BS178+CC178</f>
        <v>0</v>
      </c>
      <c r="F178" s="34" t="n">
        <f aca="false">S178+AC178+AM178+AW178+BG178+BQ178+CA178+CK178</f>
        <v>0</v>
      </c>
      <c r="G178" s="34" t="n">
        <f aca="false">Q178+AA178+AK178+AU178+BE178+BO178+BY178+CI178</f>
        <v>0</v>
      </c>
      <c r="J178" s="34" t="n">
        <f aca="false">O177</f>
        <v>0</v>
      </c>
      <c r="K178" s="34" t="n">
        <f aca="false">J178*$J$5/12</f>
        <v>0</v>
      </c>
      <c r="L178" s="29" t="n">
        <f aca="false">MIN($J$6,J178+K178)</f>
        <v>0</v>
      </c>
      <c r="M178" s="30" t="n">
        <f aca="false">MAX(0,MIN($B178,J178+K178-L178))</f>
        <v>0</v>
      </c>
      <c r="N178" s="29" t="n">
        <f aca="false">$B178-M178</f>
        <v>690</v>
      </c>
      <c r="O178" s="34" t="n">
        <f aca="false">J178+K178-L178-M178</f>
        <v>0</v>
      </c>
      <c r="P178" s="34" t="n">
        <f aca="false">S177</f>
        <v>0</v>
      </c>
      <c r="Q178" s="34" t="n">
        <f aca="false">P178*$J$5/12</f>
        <v>0</v>
      </c>
      <c r="R178" s="29" t="n">
        <f aca="false">MIN($J$6,P178+Q178)</f>
        <v>0</v>
      </c>
      <c r="S178" s="34" t="n">
        <f aca="false">P178+Q178-R178</f>
        <v>0</v>
      </c>
      <c r="T178" s="34" t="n">
        <f aca="false">Y177</f>
        <v>0</v>
      </c>
      <c r="U178" s="34" t="n">
        <f aca="false">T178*$T$5/12</f>
        <v>0</v>
      </c>
      <c r="V178" s="29" t="n">
        <f aca="false">MIN($T$6,T178+U178)</f>
        <v>0</v>
      </c>
      <c r="W178" s="30" t="n">
        <f aca="false">MAX(0,MIN(N178,T178+U178-V178))</f>
        <v>0</v>
      </c>
      <c r="X178" s="29" t="n">
        <f aca="false">N178-W178</f>
        <v>690</v>
      </c>
      <c r="Y178" s="34" t="n">
        <f aca="false">T178+U178-V178-W178</f>
        <v>0</v>
      </c>
      <c r="Z178" s="34" t="n">
        <f aca="false">AC177</f>
        <v>0</v>
      </c>
      <c r="AA178" s="34" t="n">
        <f aca="false">Z178*$T$5/12</f>
        <v>0</v>
      </c>
      <c r="AB178" s="29" t="n">
        <f aca="false">MIN($T$6,Z178+AA178)</f>
        <v>0</v>
      </c>
      <c r="AC178" s="34" t="n">
        <f aca="false">Z178+AA178-AB178</f>
        <v>0</v>
      </c>
      <c r="AD178" s="34" t="n">
        <f aca="false">AI177</f>
        <v>0</v>
      </c>
      <c r="AE178" s="34" t="n">
        <f aca="false">AD178*$AD$5/12</f>
        <v>0</v>
      </c>
      <c r="AF178" s="29" t="n">
        <f aca="false">MIN($AD$6,AD178+AE178)</f>
        <v>0</v>
      </c>
      <c r="AG178" s="30" t="n">
        <f aca="false">MAX(0,MIN(X178,AD178+AE178-AF178))</f>
        <v>0</v>
      </c>
      <c r="AH178" s="29" t="n">
        <f aca="false">X178-AG178</f>
        <v>690</v>
      </c>
      <c r="AI178" s="34" t="n">
        <f aca="false">AD178+AE178-AF178-AG178</f>
        <v>0</v>
      </c>
      <c r="AJ178" s="34" t="n">
        <f aca="false">AM177</f>
        <v>0</v>
      </c>
      <c r="AK178" s="34" t="n">
        <f aca="false">AJ178*$AD$5/12</f>
        <v>0</v>
      </c>
      <c r="AL178" s="29" t="n">
        <f aca="false">MIN($AD$6,AJ178+AK178)</f>
        <v>0</v>
      </c>
      <c r="AM178" s="34" t="n">
        <f aca="false">AJ178+AK178-AL178</f>
        <v>0</v>
      </c>
      <c r="AN178" s="34" t="n">
        <f aca="false">AS177</f>
        <v>0</v>
      </c>
      <c r="AO178" s="34" t="n">
        <f aca="false">AN178*$AN$5/12</f>
        <v>0</v>
      </c>
      <c r="AP178" s="29" t="n">
        <f aca="false">MIN($AN$6,AN178+AO178)</f>
        <v>0</v>
      </c>
      <c r="AQ178" s="30" t="n">
        <f aca="false">MAX(0,MIN(AH178,AN178+AO178-AP178))</f>
        <v>0</v>
      </c>
      <c r="AR178" s="29" t="n">
        <f aca="false">AH178-AQ178</f>
        <v>690</v>
      </c>
      <c r="AS178" s="34" t="n">
        <f aca="false">AN178+AO178-AP178-AQ178</f>
        <v>0</v>
      </c>
      <c r="AT178" s="34" t="n">
        <f aca="false">AW177</f>
        <v>0</v>
      </c>
      <c r="AU178" s="34" t="n">
        <f aca="false">AT178*$AN$5/12</f>
        <v>0</v>
      </c>
      <c r="AV178" s="29" t="n">
        <f aca="false">MIN($AN$6,AT178+AU178)</f>
        <v>0</v>
      </c>
      <c r="AW178" s="34" t="n">
        <f aca="false">AT178+AU178-AV178</f>
        <v>0</v>
      </c>
      <c r="AX178" s="30" t="n">
        <f aca="false">BC177</f>
        <v>0</v>
      </c>
      <c r="AY178" s="30" t="n">
        <f aca="false">AX178*$AX$5/12</f>
        <v>0</v>
      </c>
      <c r="AZ178" s="30" t="n">
        <f aca="false">MIN($AX$6,AX178+AY178)</f>
        <v>0</v>
      </c>
      <c r="BA178" s="30" t="n">
        <f aca="false">MAX(0,MIN(AR178,AX178+AY178-AZ178))</f>
        <v>0</v>
      </c>
      <c r="BB178" s="29" t="n">
        <f aca="false">AR178-BA178</f>
        <v>690</v>
      </c>
      <c r="BC178" s="30" t="n">
        <f aca="false">AX178+AY178-AZ178-BA178</f>
        <v>0</v>
      </c>
      <c r="BD178" s="30" t="n">
        <f aca="false">BG177</f>
        <v>0</v>
      </c>
      <c r="BE178" s="30" t="n">
        <f aca="false">BD178*$AX$5/12</f>
        <v>0</v>
      </c>
      <c r="BF178" s="30" t="n">
        <f aca="false">MIN($AX$6,BD178+BE178)</f>
        <v>0</v>
      </c>
      <c r="BG178" s="30" t="n">
        <f aca="false">BD178+BE178-BF178</f>
        <v>0</v>
      </c>
      <c r="BH178" s="30" t="n">
        <f aca="false">BM177</f>
        <v>0</v>
      </c>
      <c r="BI178" s="30" t="n">
        <f aca="false">BH178*$BH$5/12</f>
        <v>0</v>
      </c>
      <c r="BJ178" s="30" t="n">
        <f aca="false">MIN($BH$6,BH178+BI178)</f>
        <v>0</v>
      </c>
      <c r="BK178" s="30" t="n">
        <f aca="false">MAX(0,MIN(BB178,BH178+BI178-BJ178))</f>
        <v>0</v>
      </c>
      <c r="BL178" s="29" t="n">
        <f aca="false">BB178-BK178</f>
        <v>690</v>
      </c>
      <c r="BM178" s="30" t="n">
        <f aca="false">BH178+BI178-BJ178-BK178</f>
        <v>0</v>
      </c>
      <c r="BN178" s="30" t="n">
        <f aca="false">BQ177</f>
        <v>0</v>
      </c>
      <c r="BO178" s="30" t="n">
        <f aca="false">BN178*$BH$5/12</f>
        <v>0</v>
      </c>
      <c r="BP178" s="30" t="n">
        <f aca="false">MIN($BH$6,BN178+BO178)</f>
        <v>0</v>
      </c>
      <c r="BQ178" s="30" t="n">
        <f aca="false">BN178+BO178-BP178</f>
        <v>0</v>
      </c>
      <c r="BR178" s="30" t="n">
        <f aca="false">BW177</f>
        <v>0</v>
      </c>
      <c r="BS178" s="30" t="n">
        <f aca="false">BR178*$BR$5/12</f>
        <v>0</v>
      </c>
      <c r="BT178" s="30" t="n">
        <f aca="false">MIN($BR$6,BR178+BS178)</f>
        <v>0</v>
      </c>
      <c r="BU178" s="30" t="n">
        <f aca="false">MAX(0,MIN(BL178,BR178+BS178-BT178))</f>
        <v>0</v>
      </c>
      <c r="BV178" s="29" t="n">
        <f aca="false">BL178-BU178</f>
        <v>690</v>
      </c>
      <c r="BW178" s="30" t="n">
        <f aca="false">BR178+BS178-BT178-BU178</f>
        <v>0</v>
      </c>
      <c r="BX178" s="30" t="n">
        <f aca="false">CA177</f>
        <v>0</v>
      </c>
      <c r="BY178" s="30" t="n">
        <f aca="false">BX178*$BR$5/12</f>
        <v>0</v>
      </c>
      <c r="BZ178" s="30" t="n">
        <f aca="false">MIN($BR$6,BX178+BY178)</f>
        <v>0</v>
      </c>
      <c r="CA178" s="30" t="n">
        <f aca="false">BX178+BY178-BZ178</f>
        <v>0</v>
      </c>
      <c r="CB178" s="30" t="n">
        <f aca="false">CG177</f>
        <v>0</v>
      </c>
      <c r="CC178" s="30" t="n">
        <f aca="false">CB178*$CB$5/12</f>
        <v>0</v>
      </c>
      <c r="CD178" s="30" t="n">
        <f aca="false">MIN($CB$6,CB178+CC178)</f>
        <v>0</v>
      </c>
      <c r="CE178" s="30" t="n">
        <f aca="false">MAX(0,MIN(BV178,CB178+CC178-CD178))</f>
        <v>0</v>
      </c>
      <c r="CF178" s="29" t="n">
        <f aca="false">BV178-CE178</f>
        <v>690</v>
      </c>
      <c r="CG178" s="30" t="n">
        <f aca="false">CB178+CC178-CD178-CE178</f>
        <v>0</v>
      </c>
      <c r="CH178" s="30" t="n">
        <f aca="false">CK177</f>
        <v>0</v>
      </c>
      <c r="CI178" s="30" t="n">
        <f aca="false">CH178*$CB$5/12</f>
        <v>0</v>
      </c>
      <c r="CJ178" s="30" t="n">
        <f aca="false">MIN($CB$6,CH178+CI178)</f>
        <v>0</v>
      </c>
      <c r="CK178" s="30" t="n">
        <f aca="false">CH178+CI178-CJ178</f>
        <v>0</v>
      </c>
    </row>
    <row r="179" customFormat="false" ht="15" hidden="false" customHeight="false" outlineLevel="0" collapsed="false">
      <c r="A179" s="0" t="n">
        <v>171</v>
      </c>
      <c r="B179" s="29" t="n">
        <f aca="false">'1 Your debts'!$B$16-(L179+V179+AF179+AP179+AZ179+BJ179+BT179+CD179)</f>
        <v>690</v>
      </c>
      <c r="C179" s="34" t="n">
        <f aca="false">O179+Y179+AI179+AS179+BC179+BM179+BW179+CG179</f>
        <v>0</v>
      </c>
      <c r="D179" s="34" t="n">
        <f aca="false">K179+U179+AE179+AO179+AY179+BI179+BS179+CC179</f>
        <v>0</v>
      </c>
      <c r="F179" s="34" t="n">
        <f aca="false">S179+AC179+AM179+AW179+BG179+BQ179+CA179+CK179</f>
        <v>0</v>
      </c>
      <c r="G179" s="34" t="n">
        <f aca="false">Q179+AA179+AK179+AU179+BE179+BO179+BY179+CI179</f>
        <v>0</v>
      </c>
      <c r="J179" s="34" t="n">
        <f aca="false">O178</f>
        <v>0</v>
      </c>
      <c r="K179" s="34" t="n">
        <f aca="false">J179*$J$5/12</f>
        <v>0</v>
      </c>
      <c r="L179" s="29" t="n">
        <f aca="false">MIN($J$6,J179+K179)</f>
        <v>0</v>
      </c>
      <c r="M179" s="30" t="n">
        <f aca="false">MAX(0,MIN($B179,J179+K179-L179))</f>
        <v>0</v>
      </c>
      <c r="N179" s="29" t="n">
        <f aca="false">$B179-M179</f>
        <v>690</v>
      </c>
      <c r="O179" s="34" t="n">
        <f aca="false">J179+K179-L179-M179</f>
        <v>0</v>
      </c>
      <c r="P179" s="34" t="n">
        <f aca="false">S178</f>
        <v>0</v>
      </c>
      <c r="Q179" s="34" t="n">
        <f aca="false">P179*$J$5/12</f>
        <v>0</v>
      </c>
      <c r="R179" s="29" t="n">
        <f aca="false">MIN($J$6,P179+Q179)</f>
        <v>0</v>
      </c>
      <c r="S179" s="34" t="n">
        <f aca="false">P179+Q179-R179</f>
        <v>0</v>
      </c>
      <c r="T179" s="34" t="n">
        <f aca="false">Y178</f>
        <v>0</v>
      </c>
      <c r="U179" s="34" t="n">
        <f aca="false">T179*$T$5/12</f>
        <v>0</v>
      </c>
      <c r="V179" s="29" t="n">
        <f aca="false">MIN($T$6,T179+U179)</f>
        <v>0</v>
      </c>
      <c r="W179" s="30" t="n">
        <f aca="false">MAX(0,MIN(N179,T179+U179-V179))</f>
        <v>0</v>
      </c>
      <c r="X179" s="29" t="n">
        <f aca="false">N179-W179</f>
        <v>690</v>
      </c>
      <c r="Y179" s="34" t="n">
        <f aca="false">T179+U179-V179-W179</f>
        <v>0</v>
      </c>
      <c r="Z179" s="34" t="n">
        <f aca="false">AC178</f>
        <v>0</v>
      </c>
      <c r="AA179" s="34" t="n">
        <f aca="false">Z179*$T$5/12</f>
        <v>0</v>
      </c>
      <c r="AB179" s="29" t="n">
        <f aca="false">MIN($T$6,Z179+AA179)</f>
        <v>0</v>
      </c>
      <c r="AC179" s="34" t="n">
        <f aca="false">Z179+AA179-AB179</f>
        <v>0</v>
      </c>
      <c r="AD179" s="34" t="n">
        <f aca="false">AI178</f>
        <v>0</v>
      </c>
      <c r="AE179" s="34" t="n">
        <f aca="false">AD179*$AD$5/12</f>
        <v>0</v>
      </c>
      <c r="AF179" s="29" t="n">
        <f aca="false">MIN($AD$6,AD179+AE179)</f>
        <v>0</v>
      </c>
      <c r="AG179" s="30" t="n">
        <f aca="false">MAX(0,MIN(X179,AD179+AE179-AF179))</f>
        <v>0</v>
      </c>
      <c r="AH179" s="29" t="n">
        <f aca="false">X179-AG179</f>
        <v>690</v>
      </c>
      <c r="AI179" s="34" t="n">
        <f aca="false">AD179+AE179-AF179-AG179</f>
        <v>0</v>
      </c>
      <c r="AJ179" s="34" t="n">
        <f aca="false">AM178</f>
        <v>0</v>
      </c>
      <c r="AK179" s="34" t="n">
        <f aca="false">AJ179*$AD$5/12</f>
        <v>0</v>
      </c>
      <c r="AL179" s="29" t="n">
        <f aca="false">MIN($AD$6,AJ179+AK179)</f>
        <v>0</v>
      </c>
      <c r="AM179" s="34" t="n">
        <f aca="false">AJ179+AK179-AL179</f>
        <v>0</v>
      </c>
      <c r="AN179" s="34" t="n">
        <f aca="false">AS178</f>
        <v>0</v>
      </c>
      <c r="AO179" s="34" t="n">
        <f aca="false">AN179*$AN$5/12</f>
        <v>0</v>
      </c>
      <c r="AP179" s="29" t="n">
        <f aca="false">MIN($AN$6,AN179+AO179)</f>
        <v>0</v>
      </c>
      <c r="AQ179" s="30" t="n">
        <f aca="false">MAX(0,MIN(AH179,AN179+AO179-AP179))</f>
        <v>0</v>
      </c>
      <c r="AR179" s="29" t="n">
        <f aca="false">AH179-AQ179</f>
        <v>690</v>
      </c>
      <c r="AS179" s="34" t="n">
        <f aca="false">AN179+AO179-AP179-AQ179</f>
        <v>0</v>
      </c>
      <c r="AT179" s="34" t="n">
        <f aca="false">AW178</f>
        <v>0</v>
      </c>
      <c r="AU179" s="34" t="n">
        <f aca="false">AT179*$AN$5/12</f>
        <v>0</v>
      </c>
      <c r="AV179" s="29" t="n">
        <f aca="false">MIN($AN$6,AT179+AU179)</f>
        <v>0</v>
      </c>
      <c r="AW179" s="34" t="n">
        <f aca="false">AT179+AU179-AV179</f>
        <v>0</v>
      </c>
      <c r="AX179" s="30" t="n">
        <f aca="false">BC178</f>
        <v>0</v>
      </c>
      <c r="AY179" s="30" t="n">
        <f aca="false">AX179*$AX$5/12</f>
        <v>0</v>
      </c>
      <c r="AZ179" s="30" t="n">
        <f aca="false">MIN($AX$6,AX179+AY179)</f>
        <v>0</v>
      </c>
      <c r="BA179" s="30" t="n">
        <f aca="false">MAX(0,MIN(AR179,AX179+AY179-AZ179))</f>
        <v>0</v>
      </c>
      <c r="BB179" s="29" t="n">
        <f aca="false">AR179-BA179</f>
        <v>690</v>
      </c>
      <c r="BC179" s="30" t="n">
        <f aca="false">AX179+AY179-AZ179-BA179</f>
        <v>0</v>
      </c>
      <c r="BD179" s="30" t="n">
        <f aca="false">BG178</f>
        <v>0</v>
      </c>
      <c r="BE179" s="30" t="n">
        <f aca="false">BD179*$AX$5/12</f>
        <v>0</v>
      </c>
      <c r="BF179" s="30" t="n">
        <f aca="false">MIN($AX$6,BD179+BE179)</f>
        <v>0</v>
      </c>
      <c r="BG179" s="30" t="n">
        <f aca="false">BD179+BE179-BF179</f>
        <v>0</v>
      </c>
      <c r="BH179" s="30" t="n">
        <f aca="false">BM178</f>
        <v>0</v>
      </c>
      <c r="BI179" s="30" t="n">
        <f aca="false">BH179*$BH$5/12</f>
        <v>0</v>
      </c>
      <c r="BJ179" s="30" t="n">
        <f aca="false">MIN($BH$6,BH179+BI179)</f>
        <v>0</v>
      </c>
      <c r="BK179" s="30" t="n">
        <f aca="false">MAX(0,MIN(BB179,BH179+BI179-BJ179))</f>
        <v>0</v>
      </c>
      <c r="BL179" s="29" t="n">
        <f aca="false">BB179-BK179</f>
        <v>690</v>
      </c>
      <c r="BM179" s="30" t="n">
        <f aca="false">BH179+BI179-BJ179-BK179</f>
        <v>0</v>
      </c>
      <c r="BN179" s="30" t="n">
        <f aca="false">BQ178</f>
        <v>0</v>
      </c>
      <c r="BO179" s="30" t="n">
        <f aca="false">BN179*$BH$5/12</f>
        <v>0</v>
      </c>
      <c r="BP179" s="30" t="n">
        <f aca="false">MIN($BH$6,BN179+BO179)</f>
        <v>0</v>
      </c>
      <c r="BQ179" s="30" t="n">
        <f aca="false">BN179+BO179-BP179</f>
        <v>0</v>
      </c>
      <c r="BR179" s="30" t="n">
        <f aca="false">BW178</f>
        <v>0</v>
      </c>
      <c r="BS179" s="30" t="n">
        <f aca="false">BR179*$BR$5/12</f>
        <v>0</v>
      </c>
      <c r="BT179" s="30" t="n">
        <f aca="false">MIN($BR$6,BR179+BS179)</f>
        <v>0</v>
      </c>
      <c r="BU179" s="30" t="n">
        <f aca="false">MAX(0,MIN(BL179,BR179+BS179-BT179))</f>
        <v>0</v>
      </c>
      <c r="BV179" s="29" t="n">
        <f aca="false">BL179-BU179</f>
        <v>690</v>
      </c>
      <c r="BW179" s="30" t="n">
        <f aca="false">BR179+BS179-BT179-BU179</f>
        <v>0</v>
      </c>
      <c r="BX179" s="30" t="n">
        <f aca="false">CA178</f>
        <v>0</v>
      </c>
      <c r="BY179" s="30" t="n">
        <f aca="false">BX179*$BR$5/12</f>
        <v>0</v>
      </c>
      <c r="BZ179" s="30" t="n">
        <f aca="false">MIN($BR$6,BX179+BY179)</f>
        <v>0</v>
      </c>
      <c r="CA179" s="30" t="n">
        <f aca="false">BX179+BY179-BZ179</f>
        <v>0</v>
      </c>
      <c r="CB179" s="30" t="n">
        <f aca="false">CG178</f>
        <v>0</v>
      </c>
      <c r="CC179" s="30" t="n">
        <f aca="false">CB179*$CB$5/12</f>
        <v>0</v>
      </c>
      <c r="CD179" s="30" t="n">
        <f aca="false">MIN($CB$6,CB179+CC179)</f>
        <v>0</v>
      </c>
      <c r="CE179" s="30" t="n">
        <f aca="false">MAX(0,MIN(BV179,CB179+CC179-CD179))</f>
        <v>0</v>
      </c>
      <c r="CF179" s="29" t="n">
        <f aca="false">BV179-CE179</f>
        <v>690</v>
      </c>
      <c r="CG179" s="30" t="n">
        <f aca="false">CB179+CC179-CD179-CE179</f>
        <v>0</v>
      </c>
      <c r="CH179" s="30" t="n">
        <f aca="false">CK178</f>
        <v>0</v>
      </c>
      <c r="CI179" s="30" t="n">
        <f aca="false">CH179*$CB$5/12</f>
        <v>0</v>
      </c>
      <c r="CJ179" s="30" t="n">
        <f aca="false">MIN($CB$6,CH179+CI179)</f>
        <v>0</v>
      </c>
      <c r="CK179" s="30" t="n">
        <f aca="false">CH179+CI179-CJ179</f>
        <v>0</v>
      </c>
    </row>
    <row r="180" customFormat="false" ht="15" hidden="false" customHeight="false" outlineLevel="0" collapsed="false">
      <c r="A180" s="0" t="n">
        <v>172</v>
      </c>
      <c r="B180" s="29" t="n">
        <f aca="false">'1 Your debts'!$B$16-(L180+V180+AF180+AP180+AZ180+BJ180+BT180+CD180)</f>
        <v>690</v>
      </c>
      <c r="C180" s="34" t="n">
        <f aca="false">O180+Y180+AI180+AS180+BC180+BM180+BW180+CG180</f>
        <v>0</v>
      </c>
      <c r="D180" s="34" t="n">
        <f aca="false">K180+U180+AE180+AO180+AY180+BI180+BS180+CC180</f>
        <v>0</v>
      </c>
      <c r="F180" s="34" t="n">
        <f aca="false">S180+AC180+AM180+AW180+BG180+BQ180+CA180+CK180</f>
        <v>0</v>
      </c>
      <c r="G180" s="34" t="n">
        <f aca="false">Q180+AA180+AK180+AU180+BE180+BO180+BY180+CI180</f>
        <v>0</v>
      </c>
      <c r="J180" s="34" t="n">
        <f aca="false">O179</f>
        <v>0</v>
      </c>
      <c r="K180" s="34" t="n">
        <f aca="false">J180*$J$5/12</f>
        <v>0</v>
      </c>
      <c r="L180" s="29" t="n">
        <f aca="false">MIN($J$6,J180+K180)</f>
        <v>0</v>
      </c>
      <c r="M180" s="30" t="n">
        <f aca="false">MAX(0,MIN($B180,J180+K180-L180))</f>
        <v>0</v>
      </c>
      <c r="N180" s="29" t="n">
        <f aca="false">$B180-M180</f>
        <v>690</v>
      </c>
      <c r="O180" s="34" t="n">
        <f aca="false">J180+K180-L180-M180</f>
        <v>0</v>
      </c>
      <c r="P180" s="34" t="n">
        <f aca="false">S179</f>
        <v>0</v>
      </c>
      <c r="Q180" s="34" t="n">
        <f aca="false">P180*$J$5/12</f>
        <v>0</v>
      </c>
      <c r="R180" s="29" t="n">
        <f aca="false">MIN($J$6,P180+Q180)</f>
        <v>0</v>
      </c>
      <c r="S180" s="34" t="n">
        <f aca="false">P180+Q180-R180</f>
        <v>0</v>
      </c>
      <c r="T180" s="34" t="n">
        <f aca="false">Y179</f>
        <v>0</v>
      </c>
      <c r="U180" s="34" t="n">
        <f aca="false">T180*$T$5/12</f>
        <v>0</v>
      </c>
      <c r="V180" s="29" t="n">
        <f aca="false">MIN($T$6,T180+U180)</f>
        <v>0</v>
      </c>
      <c r="W180" s="30" t="n">
        <f aca="false">MAX(0,MIN(N180,T180+U180-V180))</f>
        <v>0</v>
      </c>
      <c r="X180" s="29" t="n">
        <f aca="false">N180-W180</f>
        <v>690</v>
      </c>
      <c r="Y180" s="34" t="n">
        <f aca="false">T180+U180-V180-W180</f>
        <v>0</v>
      </c>
      <c r="Z180" s="34" t="n">
        <f aca="false">AC179</f>
        <v>0</v>
      </c>
      <c r="AA180" s="34" t="n">
        <f aca="false">Z180*$T$5/12</f>
        <v>0</v>
      </c>
      <c r="AB180" s="29" t="n">
        <f aca="false">MIN($T$6,Z180+AA180)</f>
        <v>0</v>
      </c>
      <c r="AC180" s="34" t="n">
        <f aca="false">Z180+AA180-AB180</f>
        <v>0</v>
      </c>
      <c r="AD180" s="34" t="n">
        <f aca="false">AI179</f>
        <v>0</v>
      </c>
      <c r="AE180" s="34" t="n">
        <f aca="false">AD180*$AD$5/12</f>
        <v>0</v>
      </c>
      <c r="AF180" s="29" t="n">
        <f aca="false">MIN($AD$6,AD180+AE180)</f>
        <v>0</v>
      </c>
      <c r="AG180" s="30" t="n">
        <f aca="false">MAX(0,MIN(X180,AD180+AE180-AF180))</f>
        <v>0</v>
      </c>
      <c r="AH180" s="29" t="n">
        <f aca="false">X180-AG180</f>
        <v>690</v>
      </c>
      <c r="AI180" s="34" t="n">
        <f aca="false">AD180+AE180-AF180-AG180</f>
        <v>0</v>
      </c>
      <c r="AJ180" s="34" t="n">
        <f aca="false">AM179</f>
        <v>0</v>
      </c>
      <c r="AK180" s="34" t="n">
        <f aca="false">AJ180*$AD$5/12</f>
        <v>0</v>
      </c>
      <c r="AL180" s="29" t="n">
        <f aca="false">MIN($AD$6,AJ180+AK180)</f>
        <v>0</v>
      </c>
      <c r="AM180" s="34" t="n">
        <f aca="false">AJ180+AK180-AL180</f>
        <v>0</v>
      </c>
      <c r="AN180" s="34" t="n">
        <f aca="false">AS179</f>
        <v>0</v>
      </c>
      <c r="AO180" s="34" t="n">
        <f aca="false">AN180*$AN$5/12</f>
        <v>0</v>
      </c>
      <c r="AP180" s="29" t="n">
        <f aca="false">MIN($AN$6,AN180+AO180)</f>
        <v>0</v>
      </c>
      <c r="AQ180" s="30" t="n">
        <f aca="false">MAX(0,MIN(AH180,AN180+AO180-AP180))</f>
        <v>0</v>
      </c>
      <c r="AR180" s="29" t="n">
        <f aca="false">AH180-AQ180</f>
        <v>690</v>
      </c>
      <c r="AS180" s="34" t="n">
        <f aca="false">AN180+AO180-AP180-AQ180</f>
        <v>0</v>
      </c>
      <c r="AT180" s="34" t="n">
        <f aca="false">AW179</f>
        <v>0</v>
      </c>
      <c r="AU180" s="34" t="n">
        <f aca="false">AT180*$AN$5/12</f>
        <v>0</v>
      </c>
      <c r="AV180" s="29" t="n">
        <f aca="false">MIN($AN$6,AT180+AU180)</f>
        <v>0</v>
      </c>
      <c r="AW180" s="34" t="n">
        <f aca="false">AT180+AU180-AV180</f>
        <v>0</v>
      </c>
      <c r="AX180" s="30" t="n">
        <f aca="false">BC179</f>
        <v>0</v>
      </c>
      <c r="AY180" s="30" t="n">
        <f aca="false">AX180*$AX$5/12</f>
        <v>0</v>
      </c>
      <c r="AZ180" s="30" t="n">
        <f aca="false">MIN($AX$6,AX180+AY180)</f>
        <v>0</v>
      </c>
      <c r="BA180" s="30" t="n">
        <f aca="false">MAX(0,MIN(AR180,AX180+AY180-AZ180))</f>
        <v>0</v>
      </c>
      <c r="BB180" s="29" t="n">
        <f aca="false">AR180-BA180</f>
        <v>690</v>
      </c>
      <c r="BC180" s="30" t="n">
        <f aca="false">AX180+AY180-AZ180-BA180</f>
        <v>0</v>
      </c>
      <c r="BD180" s="30" t="n">
        <f aca="false">BG179</f>
        <v>0</v>
      </c>
      <c r="BE180" s="30" t="n">
        <f aca="false">BD180*$AX$5/12</f>
        <v>0</v>
      </c>
      <c r="BF180" s="30" t="n">
        <f aca="false">MIN($AX$6,BD180+BE180)</f>
        <v>0</v>
      </c>
      <c r="BG180" s="30" t="n">
        <f aca="false">BD180+BE180-BF180</f>
        <v>0</v>
      </c>
      <c r="BH180" s="30" t="n">
        <f aca="false">BM179</f>
        <v>0</v>
      </c>
      <c r="BI180" s="30" t="n">
        <f aca="false">BH180*$BH$5/12</f>
        <v>0</v>
      </c>
      <c r="BJ180" s="30" t="n">
        <f aca="false">MIN($BH$6,BH180+BI180)</f>
        <v>0</v>
      </c>
      <c r="BK180" s="30" t="n">
        <f aca="false">MAX(0,MIN(BB180,BH180+BI180-BJ180))</f>
        <v>0</v>
      </c>
      <c r="BL180" s="29" t="n">
        <f aca="false">BB180-BK180</f>
        <v>690</v>
      </c>
      <c r="BM180" s="30" t="n">
        <f aca="false">BH180+BI180-BJ180-BK180</f>
        <v>0</v>
      </c>
      <c r="BN180" s="30" t="n">
        <f aca="false">BQ179</f>
        <v>0</v>
      </c>
      <c r="BO180" s="30" t="n">
        <f aca="false">BN180*$BH$5/12</f>
        <v>0</v>
      </c>
      <c r="BP180" s="30" t="n">
        <f aca="false">MIN($BH$6,BN180+BO180)</f>
        <v>0</v>
      </c>
      <c r="BQ180" s="30" t="n">
        <f aca="false">BN180+BO180-BP180</f>
        <v>0</v>
      </c>
      <c r="BR180" s="30" t="n">
        <f aca="false">BW179</f>
        <v>0</v>
      </c>
      <c r="BS180" s="30" t="n">
        <f aca="false">BR180*$BR$5/12</f>
        <v>0</v>
      </c>
      <c r="BT180" s="30" t="n">
        <f aca="false">MIN($BR$6,BR180+BS180)</f>
        <v>0</v>
      </c>
      <c r="BU180" s="30" t="n">
        <f aca="false">MAX(0,MIN(BL180,BR180+BS180-BT180))</f>
        <v>0</v>
      </c>
      <c r="BV180" s="29" t="n">
        <f aca="false">BL180-BU180</f>
        <v>690</v>
      </c>
      <c r="BW180" s="30" t="n">
        <f aca="false">BR180+BS180-BT180-BU180</f>
        <v>0</v>
      </c>
      <c r="BX180" s="30" t="n">
        <f aca="false">CA179</f>
        <v>0</v>
      </c>
      <c r="BY180" s="30" t="n">
        <f aca="false">BX180*$BR$5/12</f>
        <v>0</v>
      </c>
      <c r="BZ180" s="30" t="n">
        <f aca="false">MIN($BR$6,BX180+BY180)</f>
        <v>0</v>
      </c>
      <c r="CA180" s="30" t="n">
        <f aca="false">BX180+BY180-BZ180</f>
        <v>0</v>
      </c>
      <c r="CB180" s="30" t="n">
        <f aca="false">CG179</f>
        <v>0</v>
      </c>
      <c r="CC180" s="30" t="n">
        <f aca="false">CB180*$CB$5/12</f>
        <v>0</v>
      </c>
      <c r="CD180" s="30" t="n">
        <f aca="false">MIN($CB$6,CB180+CC180)</f>
        <v>0</v>
      </c>
      <c r="CE180" s="30" t="n">
        <f aca="false">MAX(0,MIN(BV180,CB180+CC180-CD180))</f>
        <v>0</v>
      </c>
      <c r="CF180" s="29" t="n">
        <f aca="false">BV180-CE180</f>
        <v>690</v>
      </c>
      <c r="CG180" s="30" t="n">
        <f aca="false">CB180+CC180-CD180-CE180</f>
        <v>0</v>
      </c>
      <c r="CH180" s="30" t="n">
        <f aca="false">CK179</f>
        <v>0</v>
      </c>
      <c r="CI180" s="30" t="n">
        <f aca="false">CH180*$CB$5/12</f>
        <v>0</v>
      </c>
      <c r="CJ180" s="30" t="n">
        <f aca="false">MIN($CB$6,CH180+CI180)</f>
        <v>0</v>
      </c>
      <c r="CK180" s="30" t="n">
        <f aca="false">CH180+CI180-CJ180</f>
        <v>0</v>
      </c>
    </row>
    <row r="181" customFormat="false" ht="15" hidden="false" customHeight="false" outlineLevel="0" collapsed="false">
      <c r="A181" s="0" t="n">
        <v>173</v>
      </c>
      <c r="B181" s="29" t="n">
        <f aca="false">'1 Your debts'!$B$16-(L181+V181+AF181+AP181+AZ181+BJ181+BT181+CD181)</f>
        <v>690</v>
      </c>
      <c r="C181" s="34" t="n">
        <f aca="false">O181+Y181+AI181+AS181+BC181+BM181+BW181+CG181</f>
        <v>0</v>
      </c>
      <c r="D181" s="34" t="n">
        <f aca="false">K181+U181+AE181+AO181+AY181+BI181+BS181+CC181</f>
        <v>0</v>
      </c>
      <c r="F181" s="34" t="n">
        <f aca="false">S181+AC181+AM181+AW181+BG181+BQ181+CA181+CK181</f>
        <v>0</v>
      </c>
      <c r="G181" s="34" t="n">
        <f aca="false">Q181+AA181+AK181+AU181+BE181+BO181+BY181+CI181</f>
        <v>0</v>
      </c>
      <c r="J181" s="34" t="n">
        <f aca="false">O180</f>
        <v>0</v>
      </c>
      <c r="K181" s="34" t="n">
        <f aca="false">J181*$J$5/12</f>
        <v>0</v>
      </c>
      <c r="L181" s="29" t="n">
        <f aca="false">MIN($J$6,J181+K181)</f>
        <v>0</v>
      </c>
      <c r="M181" s="30" t="n">
        <f aca="false">MAX(0,MIN($B181,J181+K181-L181))</f>
        <v>0</v>
      </c>
      <c r="N181" s="29" t="n">
        <f aca="false">$B181-M181</f>
        <v>690</v>
      </c>
      <c r="O181" s="34" t="n">
        <f aca="false">J181+K181-L181-M181</f>
        <v>0</v>
      </c>
      <c r="P181" s="34" t="n">
        <f aca="false">S180</f>
        <v>0</v>
      </c>
      <c r="Q181" s="34" t="n">
        <f aca="false">P181*$J$5/12</f>
        <v>0</v>
      </c>
      <c r="R181" s="29" t="n">
        <f aca="false">MIN($J$6,P181+Q181)</f>
        <v>0</v>
      </c>
      <c r="S181" s="34" t="n">
        <f aca="false">P181+Q181-R181</f>
        <v>0</v>
      </c>
      <c r="T181" s="34" t="n">
        <f aca="false">Y180</f>
        <v>0</v>
      </c>
      <c r="U181" s="34" t="n">
        <f aca="false">T181*$T$5/12</f>
        <v>0</v>
      </c>
      <c r="V181" s="29" t="n">
        <f aca="false">MIN($T$6,T181+U181)</f>
        <v>0</v>
      </c>
      <c r="W181" s="30" t="n">
        <f aca="false">MAX(0,MIN(N181,T181+U181-V181))</f>
        <v>0</v>
      </c>
      <c r="X181" s="29" t="n">
        <f aca="false">N181-W181</f>
        <v>690</v>
      </c>
      <c r="Y181" s="34" t="n">
        <f aca="false">T181+U181-V181-W181</f>
        <v>0</v>
      </c>
      <c r="Z181" s="34" t="n">
        <f aca="false">AC180</f>
        <v>0</v>
      </c>
      <c r="AA181" s="34" t="n">
        <f aca="false">Z181*$T$5/12</f>
        <v>0</v>
      </c>
      <c r="AB181" s="29" t="n">
        <f aca="false">MIN($T$6,Z181+AA181)</f>
        <v>0</v>
      </c>
      <c r="AC181" s="34" t="n">
        <f aca="false">Z181+AA181-AB181</f>
        <v>0</v>
      </c>
      <c r="AD181" s="34" t="n">
        <f aca="false">AI180</f>
        <v>0</v>
      </c>
      <c r="AE181" s="34" t="n">
        <f aca="false">AD181*$AD$5/12</f>
        <v>0</v>
      </c>
      <c r="AF181" s="29" t="n">
        <f aca="false">MIN($AD$6,AD181+AE181)</f>
        <v>0</v>
      </c>
      <c r="AG181" s="30" t="n">
        <f aca="false">MAX(0,MIN(X181,AD181+AE181-AF181))</f>
        <v>0</v>
      </c>
      <c r="AH181" s="29" t="n">
        <f aca="false">X181-AG181</f>
        <v>690</v>
      </c>
      <c r="AI181" s="34" t="n">
        <f aca="false">AD181+AE181-AF181-AG181</f>
        <v>0</v>
      </c>
      <c r="AJ181" s="34" t="n">
        <f aca="false">AM180</f>
        <v>0</v>
      </c>
      <c r="AK181" s="34" t="n">
        <f aca="false">AJ181*$AD$5/12</f>
        <v>0</v>
      </c>
      <c r="AL181" s="29" t="n">
        <f aca="false">MIN($AD$6,AJ181+AK181)</f>
        <v>0</v>
      </c>
      <c r="AM181" s="34" t="n">
        <f aca="false">AJ181+AK181-AL181</f>
        <v>0</v>
      </c>
      <c r="AN181" s="34" t="n">
        <f aca="false">AS180</f>
        <v>0</v>
      </c>
      <c r="AO181" s="34" t="n">
        <f aca="false">AN181*$AN$5/12</f>
        <v>0</v>
      </c>
      <c r="AP181" s="29" t="n">
        <f aca="false">MIN($AN$6,AN181+AO181)</f>
        <v>0</v>
      </c>
      <c r="AQ181" s="30" t="n">
        <f aca="false">MAX(0,MIN(AH181,AN181+AO181-AP181))</f>
        <v>0</v>
      </c>
      <c r="AR181" s="29" t="n">
        <f aca="false">AH181-AQ181</f>
        <v>690</v>
      </c>
      <c r="AS181" s="34" t="n">
        <f aca="false">AN181+AO181-AP181-AQ181</f>
        <v>0</v>
      </c>
      <c r="AT181" s="34" t="n">
        <f aca="false">AW180</f>
        <v>0</v>
      </c>
      <c r="AU181" s="34" t="n">
        <f aca="false">AT181*$AN$5/12</f>
        <v>0</v>
      </c>
      <c r="AV181" s="29" t="n">
        <f aca="false">MIN($AN$6,AT181+AU181)</f>
        <v>0</v>
      </c>
      <c r="AW181" s="34" t="n">
        <f aca="false">AT181+AU181-AV181</f>
        <v>0</v>
      </c>
      <c r="AX181" s="30" t="n">
        <f aca="false">BC180</f>
        <v>0</v>
      </c>
      <c r="AY181" s="30" t="n">
        <f aca="false">AX181*$AX$5/12</f>
        <v>0</v>
      </c>
      <c r="AZ181" s="30" t="n">
        <f aca="false">MIN($AX$6,AX181+AY181)</f>
        <v>0</v>
      </c>
      <c r="BA181" s="30" t="n">
        <f aca="false">MAX(0,MIN(AR181,AX181+AY181-AZ181))</f>
        <v>0</v>
      </c>
      <c r="BB181" s="29" t="n">
        <f aca="false">AR181-BA181</f>
        <v>690</v>
      </c>
      <c r="BC181" s="30" t="n">
        <f aca="false">AX181+AY181-AZ181-BA181</f>
        <v>0</v>
      </c>
      <c r="BD181" s="30" t="n">
        <f aca="false">BG180</f>
        <v>0</v>
      </c>
      <c r="BE181" s="30" t="n">
        <f aca="false">BD181*$AX$5/12</f>
        <v>0</v>
      </c>
      <c r="BF181" s="30" t="n">
        <f aca="false">MIN($AX$6,BD181+BE181)</f>
        <v>0</v>
      </c>
      <c r="BG181" s="30" t="n">
        <f aca="false">BD181+BE181-BF181</f>
        <v>0</v>
      </c>
      <c r="BH181" s="30" t="n">
        <f aca="false">BM180</f>
        <v>0</v>
      </c>
      <c r="BI181" s="30" t="n">
        <f aca="false">BH181*$BH$5/12</f>
        <v>0</v>
      </c>
      <c r="BJ181" s="30" t="n">
        <f aca="false">MIN($BH$6,BH181+BI181)</f>
        <v>0</v>
      </c>
      <c r="BK181" s="30" t="n">
        <f aca="false">MAX(0,MIN(BB181,BH181+BI181-BJ181))</f>
        <v>0</v>
      </c>
      <c r="BL181" s="29" t="n">
        <f aca="false">BB181-BK181</f>
        <v>690</v>
      </c>
      <c r="BM181" s="30" t="n">
        <f aca="false">BH181+BI181-BJ181-BK181</f>
        <v>0</v>
      </c>
      <c r="BN181" s="30" t="n">
        <f aca="false">BQ180</f>
        <v>0</v>
      </c>
      <c r="BO181" s="30" t="n">
        <f aca="false">BN181*$BH$5/12</f>
        <v>0</v>
      </c>
      <c r="BP181" s="30" t="n">
        <f aca="false">MIN($BH$6,BN181+BO181)</f>
        <v>0</v>
      </c>
      <c r="BQ181" s="30" t="n">
        <f aca="false">BN181+BO181-BP181</f>
        <v>0</v>
      </c>
      <c r="BR181" s="30" t="n">
        <f aca="false">BW180</f>
        <v>0</v>
      </c>
      <c r="BS181" s="30" t="n">
        <f aca="false">BR181*$BR$5/12</f>
        <v>0</v>
      </c>
      <c r="BT181" s="30" t="n">
        <f aca="false">MIN($BR$6,BR181+BS181)</f>
        <v>0</v>
      </c>
      <c r="BU181" s="30" t="n">
        <f aca="false">MAX(0,MIN(BL181,BR181+BS181-BT181))</f>
        <v>0</v>
      </c>
      <c r="BV181" s="29" t="n">
        <f aca="false">BL181-BU181</f>
        <v>690</v>
      </c>
      <c r="BW181" s="30" t="n">
        <f aca="false">BR181+BS181-BT181-BU181</f>
        <v>0</v>
      </c>
      <c r="BX181" s="30" t="n">
        <f aca="false">CA180</f>
        <v>0</v>
      </c>
      <c r="BY181" s="30" t="n">
        <f aca="false">BX181*$BR$5/12</f>
        <v>0</v>
      </c>
      <c r="BZ181" s="30" t="n">
        <f aca="false">MIN($BR$6,BX181+BY181)</f>
        <v>0</v>
      </c>
      <c r="CA181" s="30" t="n">
        <f aca="false">BX181+BY181-BZ181</f>
        <v>0</v>
      </c>
      <c r="CB181" s="30" t="n">
        <f aca="false">CG180</f>
        <v>0</v>
      </c>
      <c r="CC181" s="30" t="n">
        <f aca="false">CB181*$CB$5/12</f>
        <v>0</v>
      </c>
      <c r="CD181" s="30" t="n">
        <f aca="false">MIN($CB$6,CB181+CC181)</f>
        <v>0</v>
      </c>
      <c r="CE181" s="30" t="n">
        <f aca="false">MAX(0,MIN(BV181,CB181+CC181-CD181))</f>
        <v>0</v>
      </c>
      <c r="CF181" s="29" t="n">
        <f aca="false">BV181-CE181</f>
        <v>690</v>
      </c>
      <c r="CG181" s="30" t="n">
        <f aca="false">CB181+CC181-CD181-CE181</f>
        <v>0</v>
      </c>
      <c r="CH181" s="30" t="n">
        <f aca="false">CK180</f>
        <v>0</v>
      </c>
      <c r="CI181" s="30" t="n">
        <f aca="false">CH181*$CB$5/12</f>
        <v>0</v>
      </c>
      <c r="CJ181" s="30" t="n">
        <f aca="false">MIN($CB$6,CH181+CI181)</f>
        <v>0</v>
      </c>
      <c r="CK181" s="30" t="n">
        <f aca="false">CH181+CI181-CJ181</f>
        <v>0</v>
      </c>
    </row>
    <row r="182" customFormat="false" ht="15" hidden="false" customHeight="false" outlineLevel="0" collapsed="false">
      <c r="A182" s="0" t="n">
        <v>174</v>
      </c>
      <c r="B182" s="29" t="n">
        <f aca="false">'1 Your debts'!$B$16-(L182+V182+AF182+AP182+AZ182+BJ182+BT182+CD182)</f>
        <v>690</v>
      </c>
      <c r="C182" s="34" t="n">
        <f aca="false">O182+Y182+AI182+AS182+BC182+BM182+BW182+CG182</f>
        <v>0</v>
      </c>
      <c r="D182" s="34" t="n">
        <f aca="false">K182+U182+AE182+AO182+AY182+BI182+BS182+CC182</f>
        <v>0</v>
      </c>
      <c r="F182" s="34" t="n">
        <f aca="false">S182+AC182+AM182+AW182+BG182+BQ182+CA182+CK182</f>
        <v>0</v>
      </c>
      <c r="G182" s="34" t="n">
        <f aca="false">Q182+AA182+AK182+AU182+BE182+BO182+BY182+CI182</f>
        <v>0</v>
      </c>
      <c r="J182" s="34" t="n">
        <f aca="false">O181</f>
        <v>0</v>
      </c>
      <c r="K182" s="34" t="n">
        <f aca="false">J182*$J$5/12</f>
        <v>0</v>
      </c>
      <c r="L182" s="29" t="n">
        <f aca="false">MIN($J$6,J182+K182)</f>
        <v>0</v>
      </c>
      <c r="M182" s="30" t="n">
        <f aca="false">MAX(0,MIN($B182,J182+K182-L182))</f>
        <v>0</v>
      </c>
      <c r="N182" s="29" t="n">
        <f aca="false">$B182-M182</f>
        <v>690</v>
      </c>
      <c r="O182" s="34" t="n">
        <f aca="false">J182+K182-L182-M182</f>
        <v>0</v>
      </c>
      <c r="P182" s="34" t="n">
        <f aca="false">S181</f>
        <v>0</v>
      </c>
      <c r="Q182" s="34" t="n">
        <f aca="false">P182*$J$5/12</f>
        <v>0</v>
      </c>
      <c r="R182" s="29" t="n">
        <f aca="false">MIN($J$6,P182+Q182)</f>
        <v>0</v>
      </c>
      <c r="S182" s="34" t="n">
        <f aca="false">P182+Q182-R182</f>
        <v>0</v>
      </c>
      <c r="T182" s="34" t="n">
        <f aca="false">Y181</f>
        <v>0</v>
      </c>
      <c r="U182" s="34" t="n">
        <f aca="false">T182*$T$5/12</f>
        <v>0</v>
      </c>
      <c r="V182" s="29" t="n">
        <f aca="false">MIN($T$6,T182+U182)</f>
        <v>0</v>
      </c>
      <c r="W182" s="30" t="n">
        <f aca="false">MAX(0,MIN(N182,T182+U182-V182))</f>
        <v>0</v>
      </c>
      <c r="X182" s="29" t="n">
        <f aca="false">N182-W182</f>
        <v>690</v>
      </c>
      <c r="Y182" s="34" t="n">
        <f aca="false">T182+U182-V182-W182</f>
        <v>0</v>
      </c>
      <c r="Z182" s="34" t="n">
        <f aca="false">AC181</f>
        <v>0</v>
      </c>
      <c r="AA182" s="34" t="n">
        <f aca="false">Z182*$T$5/12</f>
        <v>0</v>
      </c>
      <c r="AB182" s="29" t="n">
        <f aca="false">MIN($T$6,Z182+AA182)</f>
        <v>0</v>
      </c>
      <c r="AC182" s="34" t="n">
        <f aca="false">Z182+AA182-AB182</f>
        <v>0</v>
      </c>
      <c r="AD182" s="34" t="n">
        <f aca="false">AI181</f>
        <v>0</v>
      </c>
      <c r="AE182" s="34" t="n">
        <f aca="false">AD182*$AD$5/12</f>
        <v>0</v>
      </c>
      <c r="AF182" s="29" t="n">
        <f aca="false">MIN($AD$6,AD182+AE182)</f>
        <v>0</v>
      </c>
      <c r="AG182" s="30" t="n">
        <f aca="false">MAX(0,MIN(X182,AD182+AE182-AF182))</f>
        <v>0</v>
      </c>
      <c r="AH182" s="29" t="n">
        <f aca="false">X182-AG182</f>
        <v>690</v>
      </c>
      <c r="AI182" s="34" t="n">
        <f aca="false">AD182+AE182-AF182-AG182</f>
        <v>0</v>
      </c>
      <c r="AJ182" s="34" t="n">
        <f aca="false">AM181</f>
        <v>0</v>
      </c>
      <c r="AK182" s="34" t="n">
        <f aca="false">AJ182*$AD$5/12</f>
        <v>0</v>
      </c>
      <c r="AL182" s="29" t="n">
        <f aca="false">MIN($AD$6,AJ182+AK182)</f>
        <v>0</v>
      </c>
      <c r="AM182" s="34" t="n">
        <f aca="false">AJ182+AK182-AL182</f>
        <v>0</v>
      </c>
      <c r="AN182" s="34" t="n">
        <f aca="false">AS181</f>
        <v>0</v>
      </c>
      <c r="AO182" s="34" t="n">
        <f aca="false">AN182*$AN$5/12</f>
        <v>0</v>
      </c>
      <c r="AP182" s="29" t="n">
        <f aca="false">MIN($AN$6,AN182+AO182)</f>
        <v>0</v>
      </c>
      <c r="AQ182" s="30" t="n">
        <f aca="false">MAX(0,MIN(AH182,AN182+AO182-AP182))</f>
        <v>0</v>
      </c>
      <c r="AR182" s="29" t="n">
        <f aca="false">AH182-AQ182</f>
        <v>690</v>
      </c>
      <c r="AS182" s="34" t="n">
        <f aca="false">AN182+AO182-AP182-AQ182</f>
        <v>0</v>
      </c>
      <c r="AT182" s="34" t="n">
        <f aca="false">AW181</f>
        <v>0</v>
      </c>
      <c r="AU182" s="34" t="n">
        <f aca="false">AT182*$AN$5/12</f>
        <v>0</v>
      </c>
      <c r="AV182" s="29" t="n">
        <f aca="false">MIN($AN$6,AT182+AU182)</f>
        <v>0</v>
      </c>
      <c r="AW182" s="34" t="n">
        <f aca="false">AT182+AU182-AV182</f>
        <v>0</v>
      </c>
      <c r="AX182" s="30" t="n">
        <f aca="false">BC181</f>
        <v>0</v>
      </c>
      <c r="AY182" s="30" t="n">
        <f aca="false">AX182*$AX$5/12</f>
        <v>0</v>
      </c>
      <c r="AZ182" s="30" t="n">
        <f aca="false">MIN($AX$6,AX182+AY182)</f>
        <v>0</v>
      </c>
      <c r="BA182" s="30" t="n">
        <f aca="false">MAX(0,MIN(AR182,AX182+AY182-AZ182))</f>
        <v>0</v>
      </c>
      <c r="BB182" s="29" t="n">
        <f aca="false">AR182-BA182</f>
        <v>690</v>
      </c>
      <c r="BC182" s="30" t="n">
        <f aca="false">AX182+AY182-AZ182-BA182</f>
        <v>0</v>
      </c>
      <c r="BD182" s="30" t="n">
        <f aca="false">BG181</f>
        <v>0</v>
      </c>
      <c r="BE182" s="30" t="n">
        <f aca="false">BD182*$AX$5/12</f>
        <v>0</v>
      </c>
      <c r="BF182" s="30" t="n">
        <f aca="false">MIN($AX$6,BD182+BE182)</f>
        <v>0</v>
      </c>
      <c r="BG182" s="30" t="n">
        <f aca="false">BD182+BE182-BF182</f>
        <v>0</v>
      </c>
      <c r="BH182" s="30" t="n">
        <f aca="false">BM181</f>
        <v>0</v>
      </c>
      <c r="BI182" s="30" t="n">
        <f aca="false">BH182*$BH$5/12</f>
        <v>0</v>
      </c>
      <c r="BJ182" s="30" t="n">
        <f aca="false">MIN($BH$6,BH182+BI182)</f>
        <v>0</v>
      </c>
      <c r="BK182" s="30" t="n">
        <f aca="false">MAX(0,MIN(BB182,BH182+BI182-BJ182))</f>
        <v>0</v>
      </c>
      <c r="BL182" s="29" t="n">
        <f aca="false">BB182-BK182</f>
        <v>690</v>
      </c>
      <c r="BM182" s="30" t="n">
        <f aca="false">BH182+BI182-BJ182-BK182</f>
        <v>0</v>
      </c>
      <c r="BN182" s="30" t="n">
        <f aca="false">BQ181</f>
        <v>0</v>
      </c>
      <c r="BO182" s="30" t="n">
        <f aca="false">BN182*$BH$5/12</f>
        <v>0</v>
      </c>
      <c r="BP182" s="30" t="n">
        <f aca="false">MIN($BH$6,BN182+BO182)</f>
        <v>0</v>
      </c>
      <c r="BQ182" s="30" t="n">
        <f aca="false">BN182+BO182-BP182</f>
        <v>0</v>
      </c>
      <c r="BR182" s="30" t="n">
        <f aca="false">BW181</f>
        <v>0</v>
      </c>
      <c r="BS182" s="30" t="n">
        <f aca="false">BR182*$BR$5/12</f>
        <v>0</v>
      </c>
      <c r="BT182" s="30" t="n">
        <f aca="false">MIN($BR$6,BR182+BS182)</f>
        <v>0</v>
      </c>
      <c r="BU182" s="30" t="n">
        <f aca="false">MAX(0,MIN(BL182,BR182+BS182-BT182))</f>
        <v>0</v>
      </c>
      <c r="BV182" s="29" t="n">
        <f aca="false">BL182-BU182</f>
        <v>690</v>
      </c>
      <c r="BW182" s="30" t="n">
        <f aca="false">BR182+BS182-BT182-BU182</f>
        <v>0</v>
      </c>
      <c r="BX182" s="30" t="n">
        <f aca="false">CA181</f>
        <v>0</v>
      </c>
      <c r="BY182" s="30" t="n">
        <f aca="false">BX182*$BR$5/12</f>
        <v>0</v>
      </c>
      <c r="BZ182" s="30" t="n">
        <f aca="false">MIN($BR$6,BX182+BY182)</f>
        <v>0</v>
      </c>
      <c r="CA182" s="30" t="n">
        <f aca="false">BX182+BY182-BZ182</f>
        <v>0</v>
      </c>
      <c r="CB182" s="30" t="n">
        <f aca="false">CG181</f>
        <v>0</v>
      </c>
      <c r="CC182" s="30" t="n">
        <f aca="false">CB182*$CB$5/12</f>
        <v>0</v>
      </c>
      <c r="CD182" s="30" t="n">
        <f aca="false">MIN($CB$6,CB182+CC182)</f>
        <v>0</v>
      </c>
      <c r="CE182" s="30" t="n">
        <f aca="false">MAX(0,MIN(BV182,CB182+CC182-CD182))</f>
        <v>0</v>
      </c>
      <c r="CF182" s="29" t="n">
        <f aca="false">BV182-CE182</f>
        <v>690</v>
      </c>
      <c r="CG182" s="30" t="n">
        <f aca="false">CB182+CC182-CD182-CE182</f>
        <v>0</v>
      </c>
      <c r="CH182" s="30" t="n">
        <f aca="false">CK181</f>
        <v>0</v>
      </c>
      <c r="CI182" s="30" t="n">
        <f aca="false">CH182*$CB$5/12</f>
        <v>0</v>
      </c>
      <c r="CJ182" s="30" t="n">
        <f aca="false">MIN($CB$6,CH182+CI182)</f>
        <v>0</v>
      </c>
      <c r="CK182" s="30" t="n">
        <f aca="false">CH182+CI182-CJ182</f>
        <v>0</v>
      </c>
    </row>
    <row r="183" customFormat="false" ht="15" hidden="false" customHeight="false" outlineLevel="0" collapsed="false">
      <c r="A183" s="0" t="n">
        <v>175</v>
      </c>
      <c r="B183" s="29" t="n">
        <f aca="false">'1 Your debts'!$B$16-(L183+V183+AF183+AP183+AZ183+BJ183+BT183+CD183)</f>
        <v>690</v>
      </c>
      <c r="C183" s="34" t="n">
        <f aca="false">O183+Y183+AI183+AS183+BC183+BM183+BW183+CG183</f>
        <v>0</v>
      </c>
      <c r="D183" s="34" t="n">
        <f aca="false">K183+U183+AE183+AO183+AY183+BI183+BS183+CC183</f>
        <v>0</v>
      </c>
      <c r="F183" s="34" t="n">
        <f aca="false">S183+AC183+AM183+AW183+BG183+BQ183+CA183+CK183</f>
        <v>0</v>
      </c>
      <c r="G183" s="34" t="n">
        <f aca="false">Q183+AA183+AK183+AU183+BE183+BO183+BY183+CI183</f>
        <v>0</v>
      </c>
      <c r="J183" s="34" t="n">
        <f aca="false">O182</f>
        <v>0</v>
      </c>
      <c r="K183" s="34" t="n">
        <f aca="false">J183*$J$5/12</f>
        <v>0</v>
      </c>
      <c r="L183" s="29" t="n">
        <f aca="false">MIN($J$6,J183+K183)</f>
        <v>0</v>
      </c>
      <c r="M183" s="30" t="n">
        <f aca="false">MAX(0,MIN($B183,J183+K183-L183))</f>
        <v>0</v>
      </c>
      <c r="N183" s="29" t="n">
        <f aca="false">$B183-M183</f>
        <v>690</v>
      </c>
      <c r="O183" s="34" t="n">
        <f aca="false">J183+K183-L183-M183</f>
        <v>0</v>
      </c>
      <c r="P183" s="34" t="n">
        <f aca="false">S182</f>
        <v>0</v>
      </c>
      <c r="Q183" s="34" t="n">
        <f aca="false">P183*$J$5/12</f>
        <v>0</v>
      </c>
      <c r="R183" s="29" t="n">
        <f aca="false">MIN($J$6,P183+Q183)</f>
        <v>0</v>
      </c>
      <c r="S183" s="34" t="n">
        <f aca="false">P183+Q183-R183</f>
        <v>0</v>
      </c>
      <c r="T183" s="34" t="n">
        <f aca="false">Y182</f>
        <v>0</v>
      </c>
      <c r="U183" s="34" t="n">
        <f aca="false">T183*$T$5/12</f>
        <v>0</v>
      </c>
      <c r="V183" s="29" t="n">
        <f aca="false">MIN($T$6,T183+U183)</f>
        <v>0</v>
      </c>
      <c r="W183" s="30" t="n">
        <f aca="false">MAX(0,MIN(N183,T183+U183-V183))</f>
        <v>0</v>
      </c>
      <c r="X183" s="29" t="n">
        <f aca="false">N183-W183</f>
        <v>690</v>
      </c>
      <c r="Y183" s="34" t="n">
        <f aca="false">T183+U183-V183-W183</f>
        <v>0</v>
      </c>
      <c r="Z183" s="34" t="n">
        <f aca="false">AC182</f>
        <v>0</v>
      </c>
      <c r="AA183" s="34" t="n">
        <f aca="false">Z183*$T$5/12</f>
        <v>0</v>
      </c>
      <c r="AB183" s="29" t="n">
        <f aca="false">MIN($T$6,Z183+AA183)</f>
        <v>0</v>
      </c>
      <c r="AC183" s="34" t="n">
        <f aca="false">Z183+AA183-AB183</f>
        <v>0</v>
      </c>
      <c r="AD183" s="34" t="n">
        <f aca="false">AI182</f>
        <v>0</v>
      </c>
      <c r="AE183" s="34" t="n">
        <f aca="false">AD183*$AD$5/12</f>
        <v>0</v>
      </c>
      <c r="AF183" s="29" t="n">
        <f aca="false">MIN($AD$6,AD183+AE183)</f>
        <v>0</v>
      </c>
      <c r="AG183" s="30" t="n">
        <f aca="false">MAX(0,MIN(X183,AD183+AE183-AF183))</f>
        <v>0</v>
      </c>
      <c r="AH183" s="29" t="n">
        <f aca="false">X183-AG183</f>
        <v>690</v>
      </c>
      <c r="AI183" s="34" t="n">
        <f aca="false">AD183+AE183-AF183-AG183</f>
        <v>0</v>
      </c>
      <c r="AJ183" s="34" t="n">
        <f aca="false">AM182</f>
        <v>0</v>
      </c>
      <c r="AK183" s="34" t="n">
        <f aca="false">AJ183*$AD$5/12</f>
        <v>0</v>
      </c>
      <c r="AL183" s="29" t="n">
        <f aca="false">MIN($AD$6,AJ183+AK183)</f>
        <v>0</v>
      </c>
      <c r="AM183" s="34" t="n">
        <f aca="false">AJ183+AK183-AL183</f>
        <v>0</v>
      </c>
      <c r="AN183" s="34" t="n">
        <f aca="false">AS182</f>
        <v>0</v>
      </c>
      <c r="AO183" s="34" t="n">
        <f aca="false">AN183*$AN$5/12</f>
        <v>0</v>
      </c>
      <c r="AP183" s="29" t="n">
        <f aca="false">MIN($AN$6,AN183+AO183)</f>
        <v>0</v>
      </c>
      <c r="AQ183" s="30" t="n">
        <f aca="false">MAX(0,MIN(AH183,AN183+AO183-AP183))</f>
        <v>0</v>
      </c>
      <c r="AR183" s="29" t="n">
        <f aca="false">AH183-AQ183</f>
        <v>690</v>
      </c>
      <c r="AS183" s="34" t="n">
        <f aca="false">AN183+AO183-AP183-AQ183</f>
        <v>0</v>
      </c>
      <c r="AT183" s="34" t="n">
        <f aca="false">AW182</f>
        <v>0</v>
      </c>
      <c r="AU183" s="34" t="n">
        <f aca="false">AT183*$AN$5/12</f>
        <v>0</v>
      </c>
      <c r="AV183" s="29" t="n">
        <f aca="false">MIN($AN$6,AT183+AU183)</f>
        <v>0</v>
      </c>
      <c r="AW183" s="34" t="n">
        <f aca="false">AT183+AU183-AV183</f>
        <v>0</v>
      </c>
      <c r="AX183" s="30" t="n">
        <f aca="false">BC182</f>
        <v>0</v>
      </c>
      <c r="AY183" s="30" t="n">
        <f aca="false">AX183*$AX$5/12</f>
        <v>0</v>
      </c>
      <c r="AZ183" s="30" t="n">
        <f aca="false">MIN($AX$6,AX183+AY183)</f>
        <v>0</v>
      </c>
      <c r="BA183" s="30" t="n">
        <f aca="false">MAX(0,MIN(AR183,AX183+AY183-AZ183))</f>
        <v>0</v>
      </c>
      <c r="BB183" s="29" t="n">
        <f aca="false">AR183-BA183</f>
        <v>690</v>
      </c>
      <c r="BC183" s="30" t="n">
        <f aca="false">AX183+AY183-AZ183-BA183</f>
        <v>0</v>
      </c>
      <c r="BD183" s="30" t="n">
        <f aca="false">BG182</f>
        <v>0</v>
      </c>
      <c r="BE183" s="30" t="n">
        <f aca="false">BD183*$AX$5/12</f>
        <v>0</v>
      </c>
      <c r="BF183" s="30" t="n">
        <f aca="false">MIN($AX$6,BD183+BE183)</f>
        <v>0</v>
      </c>
      <c r="BG183" s="30" t="n">
        <f aca="false">BD183+BE183-BF183</f>
        <v>0</v>
      </c>
      <c r="BH183" s="30" t="n">
        <f aca="false">BM182</f>
        <v>0</v>
      </c>
      <c r="BI183" s="30" t="n">
        <f aca="false">BH183*$BH$5/12</f>
        <v>0</v>
      </c>
      <c r="BJ183" s="30" t="n">
        <f aca="false">MIN($BH$6,BH183+BI183)</f>
        <v>0</v>
      </c>
      <c r="BK183" s="30" t="n">
        <f aca="false">MAX(0,MIN(BB183,BH183+BI183-BJ183))</f>
        <v>0</v>
      </c>
      <c r="BL183" s="29" t="n">
        <f aca="false">BB183-BK183</f>
        <v>690</v>
      </c>
      <c r="BM183" s="30" t="n">
        <f aca="false">BH183+BI183-BJ183-BK183</f>
        <v>0</v>
      </c>
      <c r="BN183" s="30" t="n">
        <f aca="false">BQ182</f>
        <v>0</v>
      </c>
      <c r="BO183" s="30" t="n">
        <f aca="false">BN183*$BH$5/12</f>
        <v>0</v>
      </c>
      <c r="BP183" s="30" t="n">
        <f aca="false">MIN($BH$6,BN183+BO183)</f>
        <v>0</v>
      </c>
      <c r="BQ183" s="30" t="n">
        <f aca="false">BN183+BO183-BP183</f>
        <v>0</v>
      </c>
      <c r="BR183" s="30" t="n">
        <f aca="false">BW182</f>
        <v>0</v>
      </c>
      <c r="BS183" s="30" t="n">
        <f aca="false">BR183*$BR$5/12</f>
        <v>0</v>
      </c>
      <c r="BT183" s="30" t="n">
        <f aca="false">MIN($BR$6,BR183+BS183)</f>
        <v>0</v>
      </c>
      <c r="BU183" s="30" t="n">
        <f aca="false">MAX(0,MIN(BL183,BR183+BS183-BT183))</f>
        <v>0</v>
      </c>
      <c r="BV183" s="29" t="n">
        <f aca="false">BL183-BU183</f>
        <v>690</v>
      </c>
      <c r="BW183" s="30" t="n">
        <f aca="false">BR183+BS183-BT183-BU183</f>
        <v>0</v>
      </c>
      <c r="BX183" s="30" t="n">
        <f aca="false">CA182</f>
        <v>0</v>
      </c>
      <c r="BY183" s="30" t="n">
        <f aca="false">BX183*$BR$5/12</f>
        <v>0</v>
      </c>
      <c r="BZ183" s="30" t="n">
        <f aca="false">MIN($BR$6,BX183+BY183)</f>
        <v>0</v>
      </c>
      <c r="CA183" s="30" t="n">
        <f aca="false">BX183+BY183-BZ183</f>
        <v>0</v>
      </c>
      <c r="CB183" s="30" t="n">
        <f aca="false">CG182</f>
        <v>0</v>
      </c>
      <c r="CC183" s="30" t="n">
        <f aca="false">CB183*$CB$5/12</f>
        <v>0</v>
      </c>
      <c r="CD183" s="30" t="n">
        <f aca="false">MIN($CB$6,CB183+CC183)</f>
        <v>0</v>
      </c>
      <c r="CE183" s="30" t="n">
        <f aca="false">MAX(0,MIN(BV183,CB183+CC183-CD183))</f>
        <v>0</v>
      </c>
      <c r="CF183" s="29" t="n">
        <f aca="false">BV183-CE183</f>
        <v>690</v>
      </c>
      <c r="CG183" s="30" t="n">
        <f aca="false">CB183+CC183-CD183-CE183</f>
        <v>0</v>
      </c>
      <c r="CH183" s="30" t="n">
        <f aca="false">CK182</f>
        <v>0</v>
      </c>
      <c r="CI183" s="30" t="n">
        <f aca="false">CH183*$CB$5/12</f>
        <v>0</v>
      </c>
      <c r="CJ183" s="30" t="n">
        <f aca="false">MIN($CB$6,CH183+CI183)</f>
        <v>0</v>
      </c>
      <c r="CK183" s="30" t="n">
        <f aca="false">CH183+CI183-CJ183</f>
        <v>0</v>
      </c>
    </row>
    <row r="184" customFormat="false" ht="15" hidden="false" customHeight="false" outlineLevel="0" collapsed="false">
      <c r="A184" s="0" t="n">
        <v>176</v>
      </c>
      <c r="B184" s="29" t="n">
        <f aca="false">'1 Your debts'!$B$16-(L184+V184+AF184+AP184+AZ184+BJ184+BT184+CD184)</f>
        <v>690</v>
      </c>
      <c r="C184" s="34" t="n">
        <f aca="false">O184+Y184+AI184+AS184+BC184+BM184+BW184+CG184</f>
        <v>0</v>
      </c>
      <c r="D184" s="34" t="n">
        <f aca="false">K184+U184+AE184+AO184+AY184+BI184+BS184+CC184</f>
        <v>0</v>
      </c>
      <c r="F184" s="34" t="n">
        <f aca="false">S184+AC184+AM184+AW184+BG184+BQ184+CA184+CK184</f>
        <v>0</v>
      </c>
      <c r="G184" s="34" t="n">
        <f aca="false">Q184+AA184+AK184+AU184+BE184+BO184+BY184+CI184</f>
        <v>0</v>
      </c>
      <c r="J184" s="34" t="n">
        <f aca="false">O183</f>
        <v>0</v>
      </c>
      <c r="K184" s="34" t="n">
        <f aca="false">J184*$J$5/12</f>
        <v>0</v>
      </c>
      <c r="L184" s="29" t="n">
        <f aca="false">MIN($J$6,J184+K184)</f>
        <v>0</v>
      </c>
      <c r="M184" s="30" t="n">
        <f aca="false">MAX(0,MIN($B184,J184+K184-L184))</f>
        <v>0</v>
      </c>
      <c r="N184" s="29" t="n">
        <f aca="false">$B184-M184</f>
        <v>690</v>
      </c>
      <c r="O184" s="34" t="n">
        <f aca="false">J184+K184-L184-M184</f>
        <v>0</v>
      </c>
      <c r="P184" s="34" t="n">
        <f aca="false">S183</f>
        <v>0</v>
      </c>
      <c r="Q184" s="34" t="n">
        <f aca="false">P184*$J$5/12</f>
        <v>0</v>
      </c>
      <c r="R184" s="29" t="n">
        <f aca="false">MIN($J$6,P184+Q184)</f>
        <v>0</v>
      </c>
      <c r="S184" s="34" t="n">
        <f aca="false">P184+Q184-R184</f>
        <v>0</v>
      </c>
      <c r="T184" s="34" t="n">
        <f aca="false">Y183</f>
        <v>0</v>
      </c>
      <c r="U184" s="34" t="n">
        <f aca="false">T184*$T$5/12</f>
        <v>0</v>
      </c>
      <c r="V184" s="29" t="n">
        <f aca="false">MIN($T$6,T184+U184)</f>
        <v>0</v>
      </c>
      <c r="W184" s="30" t="n">
        <f aca="false">MAX(0,MIN(N184,T184+U184-V184))</f>
        <v>0</v>
      </c>
      <c r="X184" s="29" t="n">
        <f aca="false">N184-W184</f>
        <v>690</v>
      </c>
      <c r="Y184" s="34" t="n">
        <f aca="false">T184+U184-V184-W184</f>
        <v>0</v>
      </c>
      <c r="Z184" s="34" t="n">
        <f aca="false">AC183</f>
        <v>0</v>
      </c>
      <c r="AA184" s="34" t="n">
        <f aca="false">Z184*$T$5/12</f>
        <v>0</v>
      </c>
      <c r="AB184" s="29" t="n">
        <f aca="false">MIN($T$6,Z184+AA184)</f>
        <v>0</v>
      </c>
      <c r="AC184" s="34" t="n">
        <f aca="false">Z184+AA184-AB184</f>
        <v>0</v>
      </c>
      <c r="AD184" s="34" t="n">
        <f aca="false">AI183</f>
        <v>0</v>
      </c>
      <c r="AE184" s="34" t="n">
        <f aca="false">AD184*$AD$5/12</f>
        <v>0</v>
      </c>
      <c r="AF184" s="29" t="n">
        <f aca="false">MIN($AD$6,AD184+AE184)</f>
        <v>0</v>
      </c>
      <c r="AG184" s="30" t="n">
        <f aca="false">MAX(0,MIN(X184,AD184+AE184-AF184))</f>
        <v>0</v>
      </c>
      <c r="AH184" s="29" t="n">
        <f aca="false">X184-AG184</f>
        <v>690</v>
      </c>
      <c r="AI184" s="34" t="n">
        <f aca="false">AD184+AE184-AF184-AG184</f>
        <v>0</v>
      </c>
      <c r="AJ184" s="34" t="n">
        <f aca="false">AM183</f>
        <v>0</v>
      </c>
      <c r="AK184" s="34" t="n">
        <f aca="false">AJ184*$AD$5/12</f>
        <v>0</v>
      </c>
      <c r="AL184" s="29" t="n">
        <f aca="false">MIN($AD$6,AJ184+AK184)</f>
        <v>0</v>
      </c>
      <c r="AM184" s="34" t="n">
        <f aca="false">AJ184+AK184-AL184</f>
        <v>0</v>
      </c>
      <c r="AN184" s="34" t="n">
        <f aca="false">AS183</f>
        <v>0</v>
      </c>
      <c r="AO184" s="34" t="n">
        <f aca="false">AN184*$AN$5/12</f>
        <v>0</v>
      </c>
      <c r="AP184" s="29" t="n">
        <f aca="false">MIN($AN$6,AN184+AO184)</f>
        <v>0</v>
      </c>
      <c r="AQ184" s="30" t="n">
        <f aca="false">MAX(0,MIN(AH184,AN184+AO184-AP184))</f>
        <v>0</v>
      </c>
      <c r="AR184" s="29" t="n">
        <f aca="false">AH184-AQ184</f>
        <v>690</v>
      </c>
      <c r="AS184" s="34" t="n">
        <f aca="false">AN184+AO184-AP184-AQ184</f>
        <v>0</v>
      </c>
      <c r="AT184" s="34" t="n">
        <f aca="false">AW183</f>
        <v>0</v>
      </c>
      <c r="AU184" s="34" t="n">
        <f aca="false">AT184*$AN$5/12</f>
        <v>0</v>
      </c>
      <c r="AV184" s="29" t="n">
        <f aca="false">MIN($AN$6,AT184+AU184)</f>
        <v>0</v>
      </c>
      <c r="AW184" s="34" t="n">
        <f aca="false">AT184+AU184-AV184</f>
        <v>0</v>
      </c>
      <c r="AX184" s="30" t="n">
        <f aca="false">BC183</f>
        <v>0</v>
      </c>
      <c r="AY184" s="30" t="n">
        <f aca="false">AX184*$AX$5/12</f>
        <v>0</v>
      </c>
      <c r="AZ184" s="30" t="n">
        <f aca="false">MIN($AX$6,AX184+AY184)</f>
        <v>0</v>
      </c>
      <c r="BA184" s="30" t="n">
        <f aca="false">MAX(0,MIN(AR184,AX184+AY184-AZ184))</f>
        <v>0</v>
      </c>
      <c r="BB184" s="29" t="n">
        <f aca="false">AR184-BA184</f>
        <v>690</v>
      </c>
      <c r="BC184" s="30" t="n">
        <f aca="false">AX184+AY184-AZ184-BA184</f>
        <v>0</v>
      </c>
      <c r="BD184" s="30" t="n">
        <f aca="false">BG183</f>
        <v>0</v>
      </c>
      <c r="BE184" s="30" t="n">
        <f aca="false">BD184*$AX$5/12</f>
        <v>0</v>
      </c>
      <c r="BF184" s="30" t="n">
        <f aca="false">MIN($AX$6,BD184+BE184)</f>
        <v>0</v>
      </c>
      <c r="BG184" s="30" t="n">
        <f aca="false">BD184+BE184-BF184</f>
        <v>0</v>
      </c>
      <c r="BH184" s="30" t="n">
        <f aca="false">BM183</f>
        <v>0</v>
      </c>
      <c r="BI184" s="30" t="n">
        <f aca="false">BH184*$BH$5/12</f>
        <v>0</v>
      </c>
      <c r="BJ184" s="30" t="n">
        <f aca="false">MIN($BH$6,BH184+BI184)</f>
        <v>0</v>
      </c>
      <c r="BK184" s="30" t="n">
        <f aca="false">MAX(0,MIN(BB184,BH184+BI184-BJ184))</f>
        <v>0</v>
      </c>
      <c r="BL184" s="29" t="n">
        <f aca="false">BB184-BK184</f>
        <v>690</v>
      </c>
      <c r="BM184" s="30" t="n">
        <f aca="false">BH184+BI184-BJ184-BK184</f>
        <v>0</v>
      </c>
      <c r="BN184" s="30" t="n">
        <f aca="false">BQ183</f>
        <v>0</v>
      </c>
      <c r="BO184" s="30" t="n">
        <f aca="false">BN184*$BH$5/12</f>
        <v>0</v>
      </c>
      <c r="BP184" s="30" t="n">
        <f aca="false">MIN($BH$6,BN184+BO184)</f>
        <v>0</v>
      </c>
      <c r="BQ184" s="30" t="n">
        <f aca="false">BN184+BO184-BP184</f>
        <v>0</v>
      </c>
      <c r="BR184" s="30" t="n">
        <f aca="false">BW183</f>
        <v>0</v>
      </c>
      <c r="BS184" s="30" t="n">
        <f aca="false">BR184*$BR$5/12</f>
        <v>0</v>
      </c>
      <c r="BT184" s="30" t="n">
        <f aca="false">MIN($BR$6,BR184+BS184)</f>
        <v>0</v>
      </c>
      <c r="BU184" s="30" t="n">
        <f aca="false">MAX(0,MIN(BL184,BR184+BS184-BT184))</f>
        <v>0</v>
      </c>
      <c r="BV184" s="29" t="n">
        <f aca="false">BL184-BU184</f>
        <v>690</v>
      </c>
      <c r="BW184" s="30" t="n">
        <f aca="false">BR184+BS184-BT184-BU184</f>
        <v>0</v>
      </c>
      <c r="BX184" s="30" t="n">
        <f aca="false">CA183</f>
        <v>0</v>
      </c>
      <c r="BY184" s="30" t="n">
        <f aca="false">BX184*$BR$5/12</f>
        <v>0</v>
      </c>
      <c r="BZ184" s="30" t="n">
        <f aca="false">MIN($BR$6,BX184+BY184)</f>
        <v>0</v>
      </c>
      <c r="CA184" s="30" t="n">
        <f aca="false">BX184+BY184-BZ184</f>
        <v>0</v>
      </c>
      <c r="CB184" s="30" t="n">
        <f aca="false">CG183</f>
        <v>0</v>
      </c>
      <c r="CC184" s="30" t="n">
        <f aca="false">CB184*$CB$5/12</f>
        <v>0</v>
      </c>
      <c r="CD184" s="30" t="n">
        <f aca="false">MIN($CB$6,CB184+CC184)</f>
        <v>0</v>
      </c>
      <c r="CE184" s="30" t="n">
        <f aca="false">MAX(0,MIN(BV184,CB184+CC184-CD184))</f>
        <v>0</v>
      </c>
      <c r="CF184" s="29" t="n">
        <f aca="false">BV184-CE184</f>
        <v>690</v>
      </c>
      <c r="CG184" s="30" t="n">
        <f aca="false">CB184+CC184-CD184-CE184</f>
        <v>0</v>
      </c>
      <c r="CH184" s="30" t="n">
        <f aca="false">CK183</f>
        <v>0</v>
      </c>
      <c r="CI184" s="30" t="n">
        <f aca="false">CH184*$CB$5/12</f>
        <v>0</v>
      </c>
      <c r="CJ184" s="30" t="n">
        <f aca="false">MIN($CB$6,CH184+CI184)</f>
        <v>0</v>
      </c>
      <c r="CK184" s="30" t="n">
        <f aca="false">CH184+CI184-CJ184</f>
        <v>0</v>
      </c>
    </row>
    <row r="185" customFormat="false" ht="15" hidden="false" customHeight="false" outlineLevel="0" collapsed="false">
      <c r="A185" s="0" t="n">
        <v>177</v>
      </c>
      <c r="B185" s="29" t="n">
        <f aca="false">'1 Your debts'!$B$16-(L185+V185+AF185+AP185+AZ185+BJ185+BT185+CD185)</f>
        <v>690</v>
      </c>
      <c r="C185" s="34" t="n">
        <f aca="false">O185+Y185+AI185+AS185+BC185+BM185+BW185+CG185</f>
        <v>0</v>
      </c>
      <c r="D185" s="34" t="n">
        <f aca="false">K185+U185+AE185+AO185+AY185+BI185+BS185+CC185</f>
        <v>0</v>
      </c>
      <c r="F185" s="34" t="n">
        <f aca="false">S185+AC185+AM185+AW185+BG185+BQ185+CA185+CK185</f>
        <v>0</v>
      </c>
      <c r="G185" s="34" t="n">
        <f aca="false">Q185+AA185+AK185+AU185+BE185+BO185+BY185+CI185</f>
        <v>0</v>
      </c>
      <c r="J185" s="34" t="n">
        <f aca="false">O184</f>
        <v>0</v>
      </c>
      <c r="K185" s="34" t="n">
        <f aca="false">J185*$J$5/12</f>
        <v>0</v>
      </c>
      <c r="L185" s="29" t="n">
        <f aca="false">MIN($J$6,J185+K185)</f>
        <v>0</v>
      </c>
      <c r="M185" s="30" t="n">
        <f aca="false">MAX(0,MIN($B185,J185+K185-L185))</f>
        <v>0</v>
      </c>
      <c r="N185" s="29" t="n">
        <f aca="false">$B185-M185</f>
        <v>690</v>
      </c>
      <c r="O185" s="34" t="n">
        <f aca="false">J185+K185-L185-M185</f>
        <v>0</v>
      </c>
      <c r="P185" s="34" t="n">
        <f aca="false">S184</f>
        <v>0</v>
      </c>
      <c r="Q185" s="34" t="n">
        <f aca="false">P185*$J$5/12</f>
        <v>0</v>
      </c>
      <c r="R185" s="29" t="n">
        <f aca="false">MIN($J$6,P185+Q185)</f>
        <v>0</v>
      </c>
      <c r="S185" s="34" t="n">
        <f aca="false">P185+Q185-R185</f>
        <v>0</v>
      </c>
      <c r="T185" s="34" t="n">
        <f aca="false">Y184</f>
        <v>0</v>
      </c>
      <c r="U185" s="34" t="n">
        <f aca="false">T185*$T$5/12</f>
        <v>0</v>
      </c>
      <c r="V185" s="29" t="n">
        <f aca="false">MIN($T$6,T185+U185)</f>
        <v>0</v>
      </c>
      <c r="W185" s="30" t="n">
        <f aca="false">MAX(0,MIN(N185,T185+U185-V185))</f>
        <v>0</v>
      </c>
      <c r="X185" s="29" t="n">
        <f aca="false">N185-W185</f>
        <v>690</v>
      </c>
      <c r="Y185" s="34" t="n">
        <f aca="false">T185+U185-V185-W185</f>
        <v>0</v>
      </c>
      <c r="Z185" s="34" t="n">
        <f aca="false">AC184</f>
        <v>0</v>
      </c>
      <c r="AA185" s="34" t="n">
        <f aca="false">Z185*$T$5/12</f>
        <v>0</v>
      </c>
      <c r="AB185" s="29" t="n">
        <f aca="false">MIN($T$6,Z185+AA185)</f>
        <v>0</v>
      </c>
      <c r="AC185" s="34" t="n">
        <f aca="false">Z185+AA185-AB185</f>
        <v>0</v>
      </c>
      <c r="AD185" s="34" t="n">
        <f aca="false">AI184</f>
        <v>0</v>
      </c>
      <c r="AE185" s="34" t="n">
        <f aca="false">AD185*$AD$5/12</f>
        <v>0</v>
      </c>
      <c r="AF185" s="29" t="n">
        <f aca="false">MIN($AD$6,AD185+AE185)</f>
        <v>0</v>
      </c>
      <c r="AG185" s="30" t="n">
        <f aca="false">MAX(0,MIN(X185,AD185+AE185-AF185))</f>
        <v>0</v>
      </c>
      <c r="AH185" s="29" t="n">
        <f aca="false">X185-AG185</f>
        <v>690</v>
      </c>
      <c r="AI185" s="34" t="n">
        <f aca="false">AD185+AE185-AF185-AG185</f>
        <v>0</v>
      </c>
      <c r="AJ185" s="34" t="n">
        <f aca="false">AM184</f>
        <v>0</v>
      </c>
      <c r="AK185" s="34" t="n">
        <f aca="false">AJ185*$AD$5/12</f>
        <v>0</v>
      </c>
      <c r="AL185" s="29" t="n">
        <f aca="false">MIN($AD$6,AJ185+AK185)</f>
        <v>0</v>
      </c>
      <c r="AM185" s="34" t="n">
        <f aca="false">AJ185+AK185-AL185</f>
        <v>0</v>
      </c>
      <c r="AN185" s="34" t="n">
        <f aca="false">AS184</f>
        <v>0</v>
      </c>
      <c r="AO185" s="34" t="n">
        <f aca="false">AN185*$AN$5/12</f>
        <v>0</v>
      </c>
      <c r="AP185" s="29" t="n">
        <f aca="false">MIN($AN$6,AN185+AO185)</f>
        <v>0</v>
      </c>
      <c r="AQ185" s="30" t="n">
        <f aca="false">MAX(0,MIN(AH185,AN185+AO185-AP185))</f>
        <v>0</v>
      </c>
      <c r="AR185" s="29" t="n">
        <f aca="false">AH185-AQ185</f>
        <v>690</v>
      </c>
      <c r="AS185" s="34" t="n">
        <f aca="false">AN185+AO185-AP185-AQ185</f>
        <v>0</v>
      </c>
      <c r="AT185" s="34" t="n">
        <f aca="false">AW184</f>
        <v>0</v>
      </c>
      <c r="AU185" s="34" t="n">
        <f aca="false">AT185*$AN$5/12</f>
        <v>0</v>
      </c>
      <c r="AV185" s="29" t="n">
        <f aca="false">MIN($AN$6,AT185+AU185)</f>
        <v>0</v>
      </c>
      <c r="AW185" s="34" t="n">
        <f aca="false">AT185+AU185-AV185</f>
        <v>0</v>
      </c>
      <c r="AX185" s="30" t="n">
        <f aca="false">BC184</f>
        <v>0</v>
      </c>
      <c r="AY185" s="30" t="n">
        <f aca="false">AX185*$AX$5/12</f>
        <v>0</v>
      </c>
      <c r="AZ185" s="30" t="n">
        <f aca="false">MIN($AX$6,AX185+AY185)</f>
        <v>0</v>
      </c>
      <c r="BA185" s="30" t="n">
        <f aca="false">MAX(0,MIN(AR185,AX185+AY185-AZ185))</f>
        <v>0</v>
      </c>
      <c r="BB185" s="29" t="n">
        <f aca="false">AR185-BA185</f>
        <v>690</v>
      </c>
      <c r="BC185" s="30" t="n">
        <f aca="false">AX185+AY185-AZ185-BA185</f>
        <v>0</v>
      </c>
      <c r="BD185" s="30" t="n">
        <f aca="false">BG184</f>
        <v>0</v>
      </c>
      <c r="BE185" s="30" t="n">
        <f aca="false">BD185*$AX$5/12</f>
        <v>0</v>
      </c>
      <c r="BF185" s="30" t="n">
        <f aca="false">MIN($AX$6,BD185+BE185)</f>
        <v>0</v>
      </c>
      <c r="BG185" s="30" t="n">
        <f aca="false">BD185+BE185-BF185</f>
        <v>0</v>
      </c>
      <c r="BH185" s="30" t="n">
        <f aca="false">BM184</f>
        <v>0</v>
      </c>
      <c r="BI185" s="30" t="n">
        <f aca="false">BH185*$BH$5/12</f>
        <v>0</v>
      </c>
      <c r="BJ185" s="30" t="n">
        <f aca="false">MIN($BH$6,BH185+BI185)</f>
        <v>0</v>
      </c>
      <c r="BK185" s="30" t="n">
        <f aca="false">MAX(0,MIN(BB185,BH185+BI185-BJ185))</f>
        <v>0</v>
      </c>
      <c r="BL185" s="29" t="n">
        <f aca="false">BB185-BK185</f>
        <v>690</v>
      </c>
      <c r="BM185" s="30" t="n">
        <f aca="false">BH185+BI185-BJ185-BK185</f>
        <v>0</v>
      </c>
      <c r="BN185" s="30" t="n">
        <f aca="false">BQ184</f>
        <v>0</v>
      </c>
      <c r="BO185" s="30" t="n">
        <f aca="false">BN185*$BH$5/12</f>
        <v>0</v>
      </c>
      <c r="BP185" s="30" t="n">
        <f aca="false">MIN($BH$6,BN185+BO185)</f>
        <v>0</v>
      </c>
      <c r="BQ185" s="30" t="n">
        <f aca="false">BN185+BO185-BP185</f>
        <v>0</v>
      </c>
      <c r="BR185" s="30" t="n">
        <f aca="false">BW184</f>
        <v>0</v>
      </c>
      <c r="BS185" s="30" t="n">
        <f aca="false">BR185*$BR$5/12</f>
        <v>0</v>
      </c>
      <c r="BT185" s="30" t="n">
        <f aca="false">MIN($BR$6,BR185+BS185)</f>
        <v>0</v>
      </c>
      <c r="BU185" s="30" t="n">
        <f aca="false">MAX(0,MIN(BL185,BR185+BS185-BT185))</f>
        <v>0</v>
      </c>
      <c r="BV185" s="29" t="n">
        <f aca="false">BL185-BU185</f>
        <v>690</v>
      </c>
      <c r="BW185" s="30" t="n">
        <f aca="false">BR185+BS185-BT185-BU185</f>
        <v>0</v>
      </c>
      <c r="BX185" s="30" t="n">
        <f aca="false">CA184</f>
        <v>0</v>
      </c>
      <c r="BY185" s="30" t="n">
        <f aca="false">BX185*$BR$5/12</f>
        <v>0</v>
      </c>
      <c r="BZ185" s="30" t="n">
        <f aca="false">MIN($BR$6,BX185+BY185)</f>
        <v>0</v>
      </c>
      <c r="CA185" s="30" t="n">
        <f aca="false">BX185+BY185-BZ185</f>
        <v>0</v>
      </c>
      <c r="CB185" s="30" t="n">
        <f aca="false">CG184</f>
        <v>0</v>
      </c>
      <c r="CC185" s="30" t="n">
        <f aca="false">CB185*$CB$5/12</f>
        <v>0</v>
      </c>
      <c r="CD185" s="30" t="n">
        <f aca="false">MIN($CB$6,CB185+CC185)</f>
        <v>0</v>
      </c>
      <c r="CE185" s="30" t="n">
        <f aca="false">MAX(0,MIN(BV185,CB185+CC185-CD185))</f>
        <v>0</v>
      </c>
      <c r="CF185" s="29" t="n">
        <f aca="false">BV185-CE185</f>
        <v>690</v>
      </c>
      <c r="CG185" s="30" t="n">
        <f aca="false">CB185+CC185-CD185-CE185</f>
        <v>0</v>
      </c>
      <c r="CH185" s="30" t="n">
        <f aca="false">CK184</f>
        <v>0</v>
      </c>
      <c r="CI185" s="30" t="n">
        <f aca="false">CH185*$CB$5/12</f>
        <v>0</v>
      </c>
      <c r="CJ185" s="30" t="n">
        <f aca="false">MIN($CB$6,CH185+CI185)</f>
        <v>0</v>
      </c>
      <c r="CK185" s="30" t="n">
        <f aca="false">CH185+CI185-CJ185</f>
        <v>0</v>
      </c>
    </row>
    <row r="186" customFormat="false" ht="15" hidden="false" customHeight="false" outlineLevel="0" collapsed="false">
      <c r="A186" s="0" t="n">
        <v>178</v>
      </c>
      <c r="B186" s="29" t="n">
        <f aca="false">'1 Your debts'!$B$16-(L186+V186+AF186+AP186+AZ186+BJ186+BT186+CD186)</f>
        <v>690</v>
      </c>
      <c r="C186" s="34" t="n">
        <f aca="false">O186+Y186+AI186+AS186+BC186+BM186+BW186+CG186</f>
        <v>0</v>
      </c>
      <c r="D186" s="34" t="n">
        <f aca="false">K186+U186+AE186+AO186+AY186+BI186+BS186+CC186</f>
        <v>0</v>
      </c>
      <c r="F186" s="34" t="n">
        <f aca="false">S186+AC186+AM186+AW186+BG186+BQ186+CA186+CK186</f>
        <v>0</v>
      </c>
      <c r="G186" s="34" t="n">
        <f aca="false">Q186+AA186+AK186+AU186+BE186+BO186+BY186+CI186</f>
        <v>0</v>
      </c>
      <c r="J186" s="34" t="n">
        <f aca="false">O185</f>
        <v>0</v>
      </c>
      <c r="K186" s="34" t="n">
        <f aca="false">J186*$J$5/12</f>
        <v>0</v>
      </c>
      <c r="L186" s="29" t="n">
        <f aca="false">MIN($J$6,J186+K186)</f>
        <v>0</v>
      </c>
      <c r="M186" s="30" t="n">
        <f aca="false">MAX(0,MIN($B186,J186+K186-L186))</f>
        <v>0</v>
      </c>
      <c r="N186" s="29" t="n">
        <f aca="false">$B186-M186</f>
        <v>690</v>
      </c>
      <c r="O186" s="34" t="n">
        <f aca="false">J186+K186-L186-M186</f>
        <v>0</v>
      </c>
      <c r="P186" s="34" t="n">
        <f aca="false">S185</f>
        <v>0</v>
      </c>
      <c r="Q186" s="34" t="n">
        <f aca="false">P186*$J$5/12</f>
        <v>0</v>
      </c>
      <c r="R186" s="29" t="n">
        <f aca="false">MIN($J$6,P186+Q186)</f>
        <v>0</v>
      </c>
      <c r="S186" s="34" t="n">
        <f aca="false">P186+Q186-R186</f>
        <v>0</v>
      </c>
      <c r="T186" s="34" t="n">
        <f aca="false">Y185</f>
        <v>0</v>
      </c>
      <c r="U186" s="34" t="n">
        <f aca="false">T186*$T$5/12</f>
        <v>0</v>
      </c>
      <c r="V186" s="29" t="n">
        <f aca="false">MIN($T$6,T186+U186)</f>
        <v>0</v>
      </c>
      <c r="W186" s="30" t="n">
        <f aca="false">MAX(0,MIN(N186,T186+U186-V186))</f>
        <v>0</v>
      </c>
      <c r="X186" s="29" t="n">
        <f aca="false">N186-W186</f>
        <v>690</v>
      </c>
      <c r="Y186" s="34" t="n">
        <f aca="false">T186+U186-V186-W186</f>
        <v>0</v>
      </c>
      <c r="Z186" s="34" t="n">
        <f aca="false">AC185</f>
        <v>0</v>
      </c>
      <c r="AA186" s="34" t="n">
        <f aca="false">Z186*$T$5/12</f>
        <v>0</v>
      </c>
      <c r="AB186" s="29" t="n">
        <f aca="false">MIN($T$6,Z186+AA186)</f>
        <v>0</v>
      </c>
      <c r="AC186" s="34" t="n">
        <f aca="false">Z186+AA186-AB186</f>
        <v>0</v>
      </c>
      <c r="AD186" s="34" t="n">
        <f aca="false">AI185</f>
        <v>0</v>
      </c>
      <c r="AE186" s="34" t="n">
        <f aca="false">AD186*$AD$5/12</f>
        <v>0</v>
      </c>
      <c r="AF186" s="29" t="n">
        <f aca="false">MIN($AD$6,AD186+AE186)</f>
        <v>0</v>
      </c>
      <c r="AG186" s="30" t="n">
        <f aca="false">MAX(0,MIN(X186,AD186+AE186-AF186))</f>
        <v>0</v>
      </c>
      <c r="AH186" s="29" t="n">
        <f aca="false">X186-AG186</f>
        <v>690</v>
      </c>
      <c r="AI186" s="34" t="n">
        <f aca="false">AD186+AE186-AF186-AG186</f>
        <v>0</v>
      </c>
      <c r="AJ186" s="34" t="n">
        <f aca="false">AM185</f>
        <v>0</v>
      </c>
      <c r="AK186" s="34" t="n">
        <f aca="false">AJ186*$AD$5/12</f>
        <v>0</v>
      </c>
      <c r="AL186" s="29" t="n">
        <f aca="false">MIN($AD$6,AJ186+AK186)</f>
        <v>0</v>
      </c>
      <c r="AM186" s="34" t="n">
        <f aca="false">AJ186+AK186-AL186</f>
        <v>0</v>
      </c>
      <c r="AN186" s="34" t="n">
        <f aca="false">AS185</f>
        <v>0</v>
      </c>
      <c r="AO186" s="34" t="n">
        <f aca="false">AN186*$AN$5/12</f>
        <v>0</v>
      </c>
      <c r="AP186" s="29" t="n">
        <f aca="false">MIN($AN$6,AN186+AO186)</f>
        <v>0</v>
      </c>
      <c r="AQ186" s="30" t="n">
        <f aca="false">MAX(0,MIN(AH186,AN186+AO186-AP186))</f>
        <v>0</v>
      </c>
      <c r="AR186" s="29" t="n">
        <f aca="false">AH186-AQ186</f>
        <v>690</v>
      </c>
      <c r="AS186" s="34" t="n">
        <f aca="false">AN186+AO186-AP186-AQ186</f>
        <v>0</v>
      </c>
      <c r="AT186" s="34" t="n">
        <f aca="false">AW185</f>
        <v>0</v>
      </c>
      <c r="AU186" s="34" t="n">
        <f aca="false">AT186*$AN$5/12</f>
        <v>0</v>
      </c>
      <c r="AV186" s="29" t="n">
        <f aca="false">MIN($AN$6,AT186+AU186)</f>
        <v>0</v>
      </c>
      <c r="AW186" s="34" t="n">
        <f aca="false">AT186+AU186-AV186</f>
        <v>0</v>
      </c>
      <c r="AX186" s="30" t="n">
        <f aca="false">BC185</f>
        <v>0</v>
      </c>
      <c r="AY186" s="30" t="n">
        <f aca="false">AX186*$AX$5/12</f>
        <v>0</v>
      </c>
      <c r="AZ186" s="30" t="n">
        <f aca="false">MIN($AX$6,AX186+AY186)</f>
        <v>0</v>
      </c>
      <c r="BA186" s="30" t="n">
        <f aca="false">MAX(0,MIN(AR186,AX186+AY186-AZ186))</f>
        <v>0</v>
      </c>
      <c r="BB186" s="29" t="n">
        <f aca="false">AR186-BA186</f>
        <v>690</v>
      </c>
      <c r="BC186" s="30" t="n">
        <f aca="false">AX186+AY186-AZ186-BA186</f>
        <v>0</v>
      </c>
      <c r="BD186" s="30" t="n">
        <f aca="false">BG185</f>
        <v>0</v>
      </c>
      <c r="BE186" s="30" t="n">
        <f aca="false">BD186*$AX$5/12</f>
        <v>0</v>
      </c>
      <c r="BF186" s="30" t="n">
        <f aca="false">MIN($AX$6,BD186+BE186)</f>
        <v>0</v>
      </c>
      <c r="BG186" s="30" t="n">
        <f aca="false">BD186+BE186-BF186</f>
        <v>0</v>
      </c>
      <c r="BH186" s="30" t="n">
        <f aca="false">BM185</f>
        <v>0</v>
      </c>
      <c r="BI186" s="30" t="n">
        <f aca="false">BH186*$BH$5/12</f>
        <v>0</v>
      </c>
      <c r="BJ186" s="30" t="n">
        <f aca="false">MIN($BH$6,BH186+BI186)</f>
        <v>0</v>
      </c>
      <c r="BK186" s="30" t="n">
        <f aca="false">MAX(0,MIN(BB186,BH186+BI186-BJ186))</f>
        <v>0</v>
      </c>
      <c r="BL186" s="29" t="n">
        <f aca="false">BB186-BK186</f>
        <v>690</v>
      </c>
      <c r="BM186" s="30" t="n">
        <f aca="false">BH186+BI186-BJ186-BK186</f>
        <v>0</v>
      </c>
      <c r="BN186" s="30" t="n">
        <f aca="false">BQ185</f>
        <v>0</v>
      </c>
      <c r="BO186" s="30" t="n">
        <f aca="false">BN186*$BH$5/12</f>
        <v>0</v>
      </c>
      <c r="BP186" s="30" t="n">
        <f aca="false">MIN($BH$6,BN186+BO186)</f>
        <v>0</v>
      </c>
      <c r="BQ186" s="30" t="n">
        <f aca="false">BN186+BO186-BP186</f>
        <v>0</v>
      </c>
      <c r="BR186" s="30" t="n">
        <f aca="false">BW185</f>
        <v>0</v>
      </c>
      <c r="BS186" s="30" t="n">
        <f aca="false">BR186*$BR$5/12</f>
        <v>0</v>
      </c>
      <c r="BT186" s="30" t="n">
        <f aca="false">MIN($BR$6,BR186+BS186)</f>
        <v>0</v>
      </c>
      <c r="BU186" s="30" t="n">
        <f aca="false">MAX(0,MIN(BL186,BR186+BS186-BT186))</f>
        <v>0</v>
      </c>
      <c r="BV186" s="29" t="n">
        <f aca="false">BL186-BU186</f>
        <v>690</v>
      </c>
      <c r="BW186" s="30" t="n">
        <f aca="false">BR186+BS186-BT186-BU186</f>
        <v>0</v>
      </c>
      <c r="BX186" s="30" t="n">
        <f aca="false">CA185</f>
        <v>0</v>
      </c>
      <c r="BY186" s="30" t="n">
        <f aca="false">BX186*$BR$5/12</f>
        <v>0</v>
      </c>
      <c r="BZ186" s="30" t="n">
        <f aca="false">MIN($BR$6,BX186+BY186)</f>
        <v>0</v>
      </c>
      <c r="CA186" s="30" t="n">
        <f aca="false">BX186+BY186-BZ186</f>
        <v>0</v>
      </c>
      <c r="CB186" s="30" t="n">
        <f aca="false">CG185</f>
        <v>0</v>
      </c>
      <c r="CC186" s="30" t="n">
        <f aca="false">CB186*$CB$5/12</f>
        <v>0</v>
      </c>
      <c r="CD186" s="30" t="n">
        <f aca="false">MIN($CB$6,CB186+CC186)</f>
        <v>0</v>
      </c>
      <c r="CE186" s="30" t="n">
        <f aca="false">MAX(0,MIN(BV186,CB186+CC186-CD186))</f>
        <v>0</v>
      </c>
      <c r="CF186" s="29" t="n">
        <f aca="false">BV186-CE186</f>
        <v>690</v>
      </c>
      <c r="CG186" s="30" t="n">
        <f aca="false">CB186+CC186-CD186-CE186</f>
        <v>0</v>
      </c>
      <c r="CH186" s="30" t="n">
        <f aca="false">CK185</f>
        <v>0</v>
      </c>
      <c r="CI186" s="30" t="n">
        <f aca="false">CH186*$CB$5/12</f>
        <v>0</v>
      </c>
      <c r="CJ186" s="30" t="n">
        <f aca="false">MIN($CB$6,CH186+CI186)</f>
        <v>0</v>
      </c>
      <c r="CK186" s="30" t="n">
        <f aca="false">CH186+CI186-CJ186</f>
        <v>0</v>
      </c>
    </row>
    <row r="187" customFormat="false" ht="15" hidden="false" customHeight="false" outlineLevel="0" collapsed="false">
      <c r="A187" s="0" t="n">
        <v>179</v>
      </c>
      <c r="B187" s="29" t="n">
        <f aca="false">'1 Your debts'!$B$16-(L187+V187+AF187+AP187+AZ187+BJ187+BT187+CD187)</f>
        <v>690</v>
      </c>
      <c r="C187" s="34" t="n">
        <f aca="false">O187+Y187+AI187+AS187+BC187+BM187+BW187+CG187</f>
        <v>0</v>
      </c>
      <c r="D187" s="34" t="n">
        <f aca="false">K187+U187+AE187+AO187+AY187+BI187+BS187+CC187</f>
        <v>0</v>
      </c>
      <c r="F187" s="34" t="n">
        <f aca="false">S187+AC187+AM187+AW187+BG187+BQ187+CA187+CK187</f>
        <v>0</v>
      </c>
      <c r="G187" s="34" t="n">
        <f aca="false">Q187+AA187+AK187+AU187+BE187+BO187+BY187+CI187</f>
        <v>0</v>
      </c>
      <c r="J187" s="34" t="n">
        <f aca="false">O186</f>
        <v>0</v>
      </c>
      <c r="K187" s="34" t="n">
        <f aca="false">J187*$J$5/12</f>
        <v>0</v>
      </c>
      <c r="L187" s="29" t="n">
        <f aca="false">MIN($J$6,J187+K187)</f>
        <v>0</v>
      </c>
      <c r="M187" s="30" t="n">
        <f aca="false">MAX(0,MIN($B187,J187+K187-L187))</f>
        <v>0</v>
      </c>
      <c r="N187" s="29" t="n">
        <f aca="false">$B187-M187</f>
        <v>690</v>
      </c>
      <c r="O187" s="34" t="n">
        <f aca="false">J187+K187-L187-M187</f>
        <v>0</v>
      </c>
      <c r="P187" s="34" t="n">
        <f aca="false">S186</f>
        <v>0</v>
      </c>
      <c r="Q187" s="34" t="n">
        <f aca="false">P187*$J$5/12</f>
        <v>0</v>
      </c>
      <c r="R187" s="29" t="n">
        <f aca="false">MIN($J$6,P187+Q187)</f>
        <v>0</v>
      </c>
      <c r="S187" s="34" t="n">
        <f aca="false">P187+Q187-R187</f>
        <v>0</v>
      </c>
      <c r="T187" s="34" t="n">
        <f aca="false">Y186</f>
        <v>0</v>
      </c>
      <c r="U187" s="34" t="n">
        <f aca="false">T187*$T$5/12</f>
        <v>0</v>
      </c>
      <c r="V187" s="29" t="n">
        <f aca="false">MIN($T$6,T187+U187)</f>
        <v>0</v>
      </c>
      <c r="W187" s="30" t="n">
        <f aca="false">MAX(0,MIN(N187,T187+U187-V187))</f>
        <v>0</v>
      </c>
      <c r="X187" s="29" t="n">
        <f aca="false">N187-W187</f>
        <v>690</v>
      </c>
      <c r="Y187" s="34" t="n">
        <f aca="false">T187+U187-V187-W187</f>
        <v>0</v>
      </c>
      <c r="Z187" s="34" t="n">
        <f aca="false">AC186</f>
        <v>0</v>
      </c>
      <c r="AA187" s="34" t="n">
        <f aca="false">Z187*$T$5/12</f>
        <v>0</v>
      </c>
      <c r="AB187" s="29" t="n">
        <f aca="false">MIN($T$6,Z187+AA187)</f>
        <v>0</v>
      </c>
      <c r="AC187" s="34" t="n">
        <f aca="false">Z187+AA187-AB187</f>
        <v>0</v>
      </c>
      <c r="AD187" s="34" t="n">
        <f aca="false">AI186</f>
        <v>0</v>
      </c>
      <c r="AE187" s="34" t="n">
        <f aca="false">AD187*$AD$5/12</f>
        <v>0</v>
      </c>
      <c r="AF187" s="29" t="n">
        <f aca="false">MIN($AD$6,AD187+AE187)</f>
        <v>0</v>
      </c>
      <c r="AG187" s="30" t="n">
        <f aca="false">MAX(0,MIN(X187,AD187+AE187-AF187))</f>
        <v>0</v>
      </c>
      <c r="AH187" s="29" t="n">
        <f aca="false">X187-AG187</f>
        <v>690</v>
      </c>
      <c r="AI187" s="34" t="n">
        <f aca="false">AD187+AE187-AF187-AG187</f>
        <v>0</v>
      </c>
      <c r="AJ187" s="34" t="n">
        <f aca="false">AM186</f>
        <v>0</v>
      </c>
      <c r="AK187" s="34" t="n">
        <f aca="false">AJ187*$AD$5/12</f>
        <v>0</v>
      </c>
      <c r="AL187" s="29" t="n">
        <f aca="false">MIN($AD$6,AJ187+AK187)</f>
        <v>0</v>
      </c>
      <c r="AM187" s="34" t="n">
        <f aca="false">AJ187+AK187-AL187</f>
        <v>0</v>
      </c>
      <c r="AN187" s="34" t="n">
        <f aca="false">AS186</f>
        <v>0</v>
      </c>
      <c r="AO187" s="34" t="n">
        <f aca="false">AN187*$AN$5/12</f>
        <v>0</v>
      </c>
      <c r="AP187" s="29" t="n">
        <f aca="false">MIN($AN$6,AN187+AO187)</f>
        <v>0</v>
      </c>
      <c r="AQ187" s="30" t="n">
        <f aca="false">MAX(0,MIN(AH187,AN187+AO187-AP187))</f>
        <v>0</v>
      </c>
      <c r="AR187" s="29" t="n">
        <f aca="false">AH187-AQ187</f>
        <v>690</v>
      </c>
      <c r="AS187" s="34" t="n">
        <f aca="false">AN187+AO187-AP187-AQ187</f>
        <v>0</v>
      </c>
      <c r="AT187" s="34" t="n">
        <f aca="false">AW186</f>
        <v>0</v>
      </c>
      <c r="AU187" s="34" t="n">
        <f aca="false">AT187*$AN$5/12</f>
        <v>0</v>
      </c>
      <c r="AV187" s="29" t="n">
        <f aca="false">MIN($AN$6,AT187+AU187)</f>
        <v>0</v>
      </c>
      <c r="AW187" s="34" t="n">
        <f aca="false">AT187+AU187-AV187</f>
        <v>0</v>
      </c>
      <c r="AX187" s="30" t="n">
        <f aca="false">BC186</f>
        <v>0</v>
      </c>
      <c r="AY187" s="30" t="n">
        <f aca="false">AX187*$AX$5/12</f>
        <v>0</v>
      </c>
      <c r="AZ187" s="30" t="n">
        <f aca="false">MIN($AX$6,AX187+AY187)</f>
        <v>0</v>
      </c>
      <c r="BA187" s="30" t="n">
        <f aca="false">MAX(0,MIN(AR187,AX187+AY187-AZ187))</f>
        <v>0</v>
      </c>
      <c r="BB187" s="29" t="n">
        <f aca="false">AR187-BA187</f>
        <v>690</v>
      </c>
      <c r="BC187" s="30" t="n">
        <f aca="false">AX187+AY187-AZ187-BA187</f>
        <v>0</v>
      </c>
      <c r="BD187" s="30" t="n">
        <f aca="false">BG186</f>
        <v>0</v>
      </c>
      <c r="BE187" s="30" t="n">
        <f aca="false">BD187*$AX$5/12</f>
        <v>0</v>
      </c>
      <c r="BF187" s="30" t="n">
        <f aca="false">MIN($AX$6,BD187+BE187)</f>
        <v>0</v>
      </c>
      <c r="BG187" s="30" t="n">
        <f aca="false">BD187+BE187-BF187</f>
        <v>0</v>
      </c>
      <c r="BH187" s="30" t="n">
        <f aca="false">BM186</f>
        <v>0</v>
      </c>
      <c r="BI187" s="30" t="n">
        <f aca="false">BH187*$BH$5/12</f>
        <v>0</v>
      </c>
      <c r="BJ187" s="30" t="n">
        <f aca="false">MIN($BH$6,BH187+BI187)</f>
        <v>0</v>
      </c>
      <c r="BK187" s="30" t="n">
        <f aca="false">MAX(0,MIN(BB187,BH187+BI187-BJ187))</f>
        <v>0</v>
      </c>
      <c r="BL187" s="29" t="n">
        <f aca="false">BB187-BK187</f>
        <v>690</v>
      </c>
      <c r="BM187" s="30" t="n">
        <f aca="false">BH187+BI187-BJ187-BK187</f>
        <v>0</v>
      </c>
      <c r="BN187" s="30" t="n">
        <f aca="false">BQ186</f>
        <v>0</v>
      </c>
      <c r="BO187" s="30" t="n">
        <f aca="false">BN187*$BH$5/12</f>
        <v>0</v>
      </c>
      <c r="BP187" s="30" t="n">
        <f aca="false">MIN($BH$6,BN187+BO187)</f>
        <v>0</v>
      </c>
      <c r="BQ187" s="30" t="n">
        <f aca="false">BN187+BO187-BP187</f>
        <v>0</v>
      </c>
      <c r="BR187" s="30" t="n">
        <f aca="false">BW186</f>
        <v>0</v>
      </c>
      <c r="BS187" s="30" t="n">
        <f aca="false">BR187*$BR$5/12</f>
        <v>0</v>
      </c>
      <c r="BT187" s="30" t="n">
        <f aca="false">MIN($BR$6,BR187+BS187)</f>
        <v>0</v>
      </c>
      <c r="BU187" s="30" t="n">
        <f aca="false">MAX(0,MIN(BL187,BR187+BS187-BT187))</f>
        <v>0</v>
      </c>
      <c r="BV187" s="29" t="n">
        <f aca="false">BL187-BU187</f>
        <v>690</v>
      </c>
      <c r="BW187" s="30" t="n">
        <f aca="false">BR187+BS187-BT187-BU187</f>
        <v>0</v>
      </c>
      <c r="BX187" s="30" t="n">
        <f aca="false">CA186</f>
        <v>0</v>
      </c>
      <c r="BY187" s="30" t="n">
        <f aca="false">BX187*$BR$5/12</f>
        <v>0</v>
      </c>
      <c r="BZ187" s="30" t="n">
        <f aca="false">MIN($BR$6,BX187+BY187)</f>
        <v>0</v>
      </c>
      <c r="CA187" s="30" t="n">
        <f aca="false">BX187+BY187-BZ187</f>
        <v>0</v>
      </c>
      <c r="CB187" s="30" t="n">
        <f aca="false">CG186</f>
        <v>0</v>
      </c>
      <c r="CC187" s="30" t="n">
        <f aca="false">CB187*$CB$5/12</f>
        <v>0</v>
      </c>
      <c r="CD187" s="30" t="n">
        <f aca="false">MIN($CB$6,CB187+CC187)</f>
        <v>0</v>
      </c>
      <c r="CE187" s="30" t="n">
        <f aca="false">MAX(0,MIN(BV187,CB187+CC187-CD187))</f>
        <v>0</v>
      </c>
      <c r="CF187" s="29" t="n">
        <f aca="false">BV187-CE187</f>
        <v>690</v>
      </c>
      <c r="CG187" s="30" t="n">
        <f aca="false">CB187+CC187-CD187-CE187</f>
        <v>0</v>
      </c>
      <c r="CH187" s="30" t="n">
        <f aca="false">CK186</f>
        <v>0</v>
      </c>
      <c r="CI187" s="30" t="n">
        <f aca="false">CH187*$CB$5/12</f>
        <v>0</v>
      </c>
      <c r="CJ187" s="30" t="n">
        <f aca="false">MIN($CB$6,CH187+CI187)</f>
        <v>0</v>
      </c>
      <c r="CK187" s="30" t="n">
        <f aca="false">CH187+CI187-CJ187</f>
        <v>0</v>
      </c>
    </row>
    <row r="188" customFormat="false" ht="15" hidden="false" customHeight="false" outlineLevel="0" collapsed="false">
      <c r="A188" s="0" t="n">
        <v>180</v>
      </c>
      <c r="B188" s="29" t="n">
        <f aca="false">'1 Your debts'!$B$16-(L188+V188+AF188+AP188+AZ188+BJ188+BT188+CD188)</f>
        <v>690</v>
      </c>
      <c r="C188" s="34" t="n">
        <f aca="false">O188+Y188+AI188+AS188+BC188+BM188+BW188+CG188</f>
        <v>0</v>
      </c>
      <c r="D188" s="34" t="n">
        <f aca="false">K188+U188+AE188+AO188+AY188+BI188+BS188+CC188</f>
        <v>0</v>
      </c>
      <c r="F188" s="34" t="n">
        <f aca="false">S188+AC188+AM188+AW188+BG188+BQ188+CA188+CK188</f>
        <v>0</v>
      </c>
      <c r="G188" s="34" t="n">
        <f aca="false">Q188+AA188+AK188+AU188+BE188+BO188+BY188+CI188</f>
        <v>0</v>
      </c>
      <c r="J188" s="34" t="n">
        <f aca="false">O187</f>
        <v>0</v>
      </c>
      <c r="K188" s="34" t="n">
        <f aca="false">J188*$J$5/12</f>
        <v>0</v>
      </c>
      <c r="L188" s="29" t="n">
        <f aca="false">MIN($J$6,J188+K188)</f>
        <v>0</v>
      </c>
      <c r="M188" s="30" t="n">
        <f aca="false">MAX(0,MIN($B188,J188+K188-L188))</f>
        <v>0</v>
      </c>
      <c r="N188" s="29" t="n">
        <f aca="false">$B188-M188</f>
        <v>690</v>
      </c>
      <c r="O188" s="34" t="n">
        <f aca="false">J188+K188-L188-M188</f>
        <v>0</v>
      </c>
      <c r="P188" s="34" t="n">
        <f aca="false">S187</f>
        <v>0</v>
      </c>
      <c r="Q188" s="34" t="n">
        <f aca="false">P188*$J$5/12</f>
        <v>0</v>
      </c>
      <c r="R188" s="29" t="n">
        <f aca="false">MIN($J$6,P188+Q188)</f>
        <v>0</v>
      </c>
      <c r="S188" s="34" t="n">
        <f aca="false">P188+Q188-R188</f>
        <v>0</v>
      </c>
      <c r="T188" s="34" t="n">
        <f aca="false">Y187</f>
        <v>0</v>
      </c>
      <c r="U188" s="34" t="n">
        <f aca="false">T188*$T$5/12</f>
        <v>0</v>
      </c>
      <c r="V188" s="29" t="n">
        <f aca="false">MIN($T$6,T188+U188)</f>
        <v>0</v>
      </c>
      <c r="W188" s="30" t="n">
        <f aca="false">MAX(0,MIN(N188,T188+U188-V188))</f>
        <v>0</v>
      </c>
      <c r="X188" s="29" t="n">
        <f aca="false">N188-W188</f>
        <v>690</v>
      </c>
      <c r="Y188" s="34" t="n">
        <f aca="false">T188+U188-V188-W188</f>
        <v>0</v>
      </c>
      <c r="Z188" s="34" t="n">
        <f aca="false">AC187</f>
        <v>0</v>
      </c>
      <c r="AA188" s="34" t="n">
        <f aca="false">Z188*$T$5/12</f>
        <v>0</v>
      </c>
      <c r="AB188" s="29" t="n">
        <f aca="false">MIN($T$6,Z188+AA188)</f>
        <v>0</v>
      </c>
      <c r="AC188" s="34" t="n">
        <f aca="false">Z188+AA188-AB188</f>
        <v>0</v>
      </c>
      <c r="AD188" s="34" t="n">
        <f aca="false">AI187</f>
        <v>0</v>
      </c>
      <c r="AE188" s="34" t="n">
        <f aca="false">AD188*$AD$5/12</f>
        <v>0</v>
      </c>
      <c r="AF188" s="29" t="n">
        <f aca="false">MIN($AD$6,AD188+AE188)</f>
        <v>0</v>
      </c>
      <c r="AG188" s="30" t="n">
        <f aca="false">MAX(0,MIN(X188,AD188+AE188-AF188))</f>
        <v>0</v>
      </c>
      <c r="AH188" s="29" t="n">
        <f aca="false">X188-AG188</f>
        <v>690</v>
      </c>
      <c r="AI188" s="34" t="n">
        <f aca="false">AD188+AE188-AF188-AG188</f>
        <v>0</v>
      </c>
      <c r="AJ188" s="34" t="n">
        <f aca="false">AM187</f>
        <v>0</v>
      </c>
      <c r="AK188" s="34" t="n">
        <f aca="false">AJ188*$AD$5/12</f>
        <v>0</v>
      </c>
      <c r="AL188" s="29" t="n">
        <f aca="false">MIN($AD$6,AJ188+AK188)</f>
        <v>0</v>
      </c>
      <c r="AM188" s="34" t="n">
        <f aca="false">AJ188+AK188-AL188</f>
        <v>0</v>
      </c>
      <c r="AN188" s="34" t="n">
        <f aca="false">AS187</f>
        <v>0</v>
      </c>
      <c r="AO188" s="34" t="n">
        <f aca="false">AN188*$AN$5/12</f>
        <v>0</v>
      </c>
      <c r="AP188" s="29" t="n">
        <f aca="false">MIN($AN$6,AN188+AO188)</f>
        <v>0</v>
      </c>
      <c r="AQ188" s="30" t="n">
        <f aca="false">MAX(0,MIN(AH188,AN188+AO188-AP188))</f>
        <v>0</v>
      </c>
      <c r="AR188" s="29" t="n">
        <f aca="false">AH188-AQ188</f>
        <v>690</v>
      </c>
      <c r="AS188" s="34" t="n">
        <f aca="false">AN188+AO188-AP188-AQ188</f>
        <v>0</v>
      </c>
      <c r="AT188" s="34" t="n">
        <f aca="false">AW187</f>
        <v>0</v>
      </c>
      <c r="AU188" s="34" t="n">
        <f aca="false">AT188*$AN$5/12</f>
        <v>0</v>
      </c>
      <c r="AV188" s="29" t="n">
        <f aca="false">MIN($AN$6,AT188+AU188)</f>
        <v>0</v>
      </c>
      <c r="AW188" s="34" t="n">
        <f aca="false">AT188+AU188-AV188</f>
        <v>0</v>
      </c>
      <c r="AX188" s="30" t="n">
        <f aca="false">BC187</f>
        <v>0</v>
      </c>
      <c r="AY188" s="30" t="n">
        <f aca="false">AX188*$AX$5/12</f>
        <v>0</v>
      </c>
      <c r="AZ188" s="30" t="n">
        <f aca="false">MIN($AX$6,AX188+AY188)</f>
        <v>0</v>
      </c>
      <c r="BA188" s="30" t="n">
        <f aca="false">MAX(0,MIN(AR188,AX188+AY188-AZ188))</f>
        <v>0</v>
      </c>
      <c r="BB188" s="29" t="n">
        <f aca="false">AR188-BA188</f>
        <v>690</v>
      </c>
      <c r="BC188" s="30" t="n">
        <f aca="false">AX188+AY188-AZ188-BA188</f>
        <v>0</v>
      </c>
      <c r="BD188" s="30" t="n">
        <f aca="false">BG187</f>
        <v>0</v>
      </c>
      <c r="BE188" s="30" t="n">
        <f aca="false">BD188*$AX$5/12</f>
        <v>0</v>
      </c>
      <c r="BF188" s="30" t="n">
        <f aca="false">MIN($AX$6,BD188+BE188)</f>
        <v>0</v>
      </c>
      <c r="BG188" s="30" t="n">
        <f aca="false">BD188+BE188-BF188</f>
        <v>0</v>
      </c>
      <c r="BH188" s="30" t="n">
        <f aca="false">BM187</f>
        <v>0</v>
      </c>
      <c r="BI188" s="30" t="n">
        <f aca="false">BH188*$BH$5/12</f>
        <v>0</v>
      </c>
      <c r="BJ188" s="30" t="n">
        <f aca="false">MIN($BH$6,BH188+BI188)</f>
        <v>0</v>
      </c>
      <c r="BK188" s="30" t="n">
        <f aca="false">MAX(0,MIN(BB188,BH188+BI188-BJ188))</f>
        <v>0</v>
      </c>
      <c r="BL188" s="29" t="n">
        <f aca="false">BB188-BK188</f>
        <v>690</v>
      </c>
      <c r="BM188" s="30" t="n">
        <f aca="false">BH188+BI188-BJ188-BK188</f>
        <v>0</v>
      </c>
      <c r="BN188" s="30" t="n">
        <f aca="false">BQ187</f>
        <v>0</v>
      </c>
      <c r="BO188" s="30" t="n">
        <f aca="false">BN188*$BH$5/12</f>
        <v>0</v>
      </c>
      <c r="BP188" s="30" t="n">
        <f aca="false">MIN($BH$6,BN188+BO188)</f>
        <v>0</v>
      </c>
      <c r="BQ188" s="30" t="n">
        <f aca="false">BN188+BO188-BP188</f>
        <v>0</v>
      </c>
      <c r="BR188" s="30" t="n">
        <f aca="false">BW187</f>
        <v>0</v>
      </c>
      <c r="BS188" s="30" t="n">
        <f aca="false">BR188*$BR$5/12</f>
        <v>0</v>
      </c>
      <c r="BT188" s="30" t="n">
        <f aca="false">MIN($BR$6,BR188+BS188)</f>
        <v>0</v>
      </c>
      <c r="BU188" s="30" t="n">
        <f aca="false">MAX(0,MIN(BL188,BR188+BS188-BT188))</f>
        <v>0</v>
      </c>
      <c r="BV188" s="29" t="n">
        <f aca="false">BL188-BU188</f>
        <v>690</v>
      </c>
      <c r="BW188" s="30" t="n">
        <f aca="false">BR188+BS188-BT188-BU188</f>
        <v>0</v>
      </c>
      <c r="BX188" s="30" t="n">
        <f aca="false">CA187</f>
        <v>0</v>
      </c>
      <c r="BY188" s="30" t="n">
        <f aca="false">BX188*$BR$5/12</f>
        <v>0</v>
      </c>
      <c r="BZ188" s="30" t="n">
        <f aca="false">MIN($BR$6,BX188+BY188)</f>
        <v>0</v>
      </c>
      <c r="CA188" s="30" t="n">
        <f aca="false">BX188+BY188-BZ188</f>
        <v>0</v>
      </c>
      <c r="CB188" s="30" t="n">
        <f aca="false">CG187</f>
        <v>0</v>
      </c>
      <c r="CC188" s="30" t="n">
        <f aca="false">CB188*$CB$5/12</f>
        <v>0</v>
      </c>
      <c r="CD188" s="30" t="n">
        <f aca="false">MIN($CB$6,CB188+CC188)</f>
        <v>0</v>
      </c>
      <c r="CE188" s="30" t="n">
        <f aca="false">MAX(0,MIN(BV188,CB188+CC188-CD188))</f>
        <v>0</v>
      </c>
      <c r="CF188" s="29" t="n">
        <f aca="false">BV188-CE188</f>
        <v>690</v>
      </c>
      <c r="CG188" s="30" t="n">
        <f aca="false">CB188+CC188-CD188-CE188</f>
        <v>0</v>
      </c>
      <c r="CH188" s="30" t="n">
        <f aca="false">CK187</f>
        <v>0</v>
      </c>
      <c r="CI188" s="30" t="n">
        <f aca="false">CH188*$CB$5/12</f>
        <v>0</v>
      </c>
      <c r="CJ188" s="30" t="n">
        <f aca="false">MIN($CB$6,CH188+CI188)</f>
        <v>0</v>
      </c>
      <c r="CK188" s="30" t="n">
        <f aca="false">CH188+CI188-CJ188</f>
        <v>0</v>
      </c>
    </row>
    <row r="189" customFormat="false" ht="15" hidden="false" customHeight="false" outlineLevel="0" collapsed="false">
      <c r="A189" s="0" t="n">
        <v>181</v>
      </c>
      <c r="B189" s="29" t="n">
        <f aca="false">'1 Your debts'!$B$16-(L189+V189+AF189+AP189+AZ189+BJ189+BT189+CD189)</f>
        <v>690</v>
      </c>
      <c r="C189" s="34" t="n">
        <f aca="false">O189+Y189+AI189+AS189+BC189+BM189+BW189+CG189</f>
        <v>0</v>
      </c>
      <c r="D189" s="34" t="n">
        <f aca="false">K189+U189+AE189+AO189+AY189+BI189+BS189+CC189</f>
        <v>0</v>
      </c>
      <c r="F189" s="34" t="n">
        <f aca="false">S189+AC189+AM189+AW189+BG189+BQ189+CA189+CK189</f>
        <v>0</v>
      </c>
      <c r="G189" s="34" t="n">
        <f aca="false">Q189+AA189+AK189+AU189+BE189+BO189+BY189+CI189</f>
        <v>0</v>
      </c>
      <c r="J189" s="34" t="n">
        <f aca="false">O188</f>
        <v>0</v>
      </c>
      <c r="K189" s="34" t="n">
        <f aca="false">J189*$J$5/12</f>
        <v>0</v>
      </c>
      <c r="L189" s="29" t="n">
        <f aca="false">MIN($J$6,J189+K189)</f>
        <v>0</v>
      </c>
      <c r="M189" s="30" t="n">
        <f aca="false">MAX(0,MIN($B189,J189+K189-L189))</f>
        <v>0</v>
      </c>
      <c r="N189" s="29" t="n">
        <f aca="false">$B189-M189</f>
        <v>690</v>
      </c>
      <c r="O189" s="34" t="n">
        <f aca="false">J189+K189-L189-M189</f>
        <v>0</v>
      </c>
      <c r="P189" s="34" t="n">
        <f aca="false">S188</f>
        <v>0</v>
      </c>
      <c r="Q189" s="34" t="n">
        <f aca="false">P189*$J$5/12</f>
        <v>0</v>
      </c>
      <c r="R189" s="29" t="n">
        <f aca="false">MIN($J$6,P189+Q189)</f>
        <v>0</v>
      </c>
      <c r="S189" s="34" t="n">
        <f aca="false">P189+Q189-R189</f>
        <v>0</v>
      </c>
      <c r="T189" s="34" t="n">
        <f aca="false">Y188</f>
        <v>0</v>
      </c>
      <c r="U189" s="34" t="n">
        <f aca="false">T189*$T$5/12</f>
        <v>0</v>
      </c>
      <c r="V189" s="29" t="n">
        <f aca="false">MIN($T$6,T189+U189)</f>
        <v>0</v>
      </c>
      <c r="W189" s="30" t="n">
        <f aca="false">MAX(0,MIN(N189,T189+U189-V189))</f>
        <v>0</v>
      </c>
      <c r="X189" s="29" t="n">
        <f aca="false">N189-W189</f>
        <v>690</v>
      </c>
      <c r="Y189" s="34" t="n">
        <f aca="false">T189+U189-V189-W189</f>
        <v>0</v>
      </c>
      <c r="Z189" s="34" t="n">
        <f aca="false">AC188</f>
        <v>0</v>
      </c>
      <c r="AA189" s="34" t="n">
        <f aca="false">Z189*$T$5/12</f>
        <v>0</v>
      </c>
      <c r="AB189" s="29" t="n">
        <f aca="false">MIN($T$6,Z189+AA189)</f>
        <v>0</v>
      </c>
      <c r="AC189" s="34" t="n">
        <f aca="false">Z189+AA189-AB189</f>
        <v>0</v>
      </c>
      <c r="AD189" s="34" t="n">
        <f aca="false">AI188</f>
        <v>0</v>
      </c>
      <c r="AE189" s="34" t="n">
        <f aca="false">AD189*$AD$5/12</f>
        <v>0</v>
      </c>
      <c r="AF189" s="29" t="n">
        <f aca="false">MIN($AD$6,AD189+AE189)</f>
        <v>0</v>
      </c>
      <c r="AG189" s="30" t="n">
        <f aca="false">MAX(0,MIN(X189,AD189+AE189-AF189))</f>
        <v>0</v>
      </c>
      <c r="AH189" s="29" t="n">
        <f aca="false">X189-AG189</f>
        <v>690</v>
      </c>
      <c r="AI189" s="34" t="n">
        <f aca="false">AD189+AE189-AF189-AG189</f>
        <v>0</v>
      </c>
      <c r="AJ189" s="34" t="n">
        <f aca="false">AM188</f>
        <v>0</v>
      </c>
      <c r="AK189" s="34" t="n">
        <f aca="false">AJ189*$AD$5/12</f>
        <v>0</v>
      </c>
      <c r="AL189" s="29" t="n">
        <f aca="false">MIN($AD$6,AJ189+AK189)</f>
        <v>0</v>
      </c>
      <c r="AM189" s="34" t="n">
        <f aca="false">AJ189+AK189-AL189</f>
        <v>0</v>
      </c>
      <c r="AN189" s="34" t="n">
        <f aca="false">AS188</f>
        <v>0</v>
      </c>
      <c r="AO189" s="34" t="n">
        <f aca="false">AN189*$AN$5/12</f>
        <v>0</v>
      </c>
      <c r="AP189" s="29" t="n">
        <f aca="false">MIN($AN$6,AN189+AO189)</f>
        <v>0</v>
      </c>
      <c r="AQ189" s="30" t="n">
        <f aca="false">MAX(0,MIN(AH189,AN189+AO189-AP189))</f>
        <v>0</v>
      </c>
      <c r="AR189" s="29" t="n">
        <f aca="false">AH189-AQ189</f>
        <v>690</v>
      </c>
      <c r="AS189" s="34" t="n">
        <f aca="false">AN189+AO189-AP189-AQ189</f>
        <v>0</v>
      </c>
      <c r="AT189" s="34" t="n">
        <f aca="false">AW188</f>
        <v>0</v>
      </c>
      <c r="AU189" s="34" t="n">
        <f aca="false">AT189*$AN$5/12</f>
        <v>0</v>
      </c>
      <c r="AV189" s="29" t="n">
        <f aca="false">MIN($AN$6,AT189+AU189)</f>
        <v>0</v>
      </c>
      <c r="AW189" s="34" t="n">
        <f aca="false">AT189+AU189-AV189</f>
        <v>0</v>
      </c>
      <c r="AX189" s="30" t="n">
        <f aca="false">BC188</f>
        <v>0</v>
      </c>
      <c r="AY189" s="30" t="n">
        <f aca="false">AX189*$AX$5/12</f>
        <v>0</v>
      </c>
      <c r="AZ189" s="30" t="n">
        <f aca="false">MIN($AX$6,AX189+AY189)</f>
        <v>0</v>
      </c>
      <c r="BA189" s="30" t="n">
        <f aca="false">MAX(0,MIN(AR189,AX189+AY189-AZ189))</f>
        <v>0</v>
      </c>
      <c r="BB189" s="29" t="n">
        <f aca="false">AR189-BA189</f>
        <v>690</v>
      </c>
      <c r="BC189" s="30" t="n">
        <f aca="false">AX189+AY189-AZ189-BA189</f>
        <v>0</v>
      </c>
      <c r="BD189" s="30" t="n">
        <f aca="false">BG188</f>
        <v>0</v>
      </c>
      <c r="BE189" s="30" t="n">
        <f aca="false">BD189*$AX$5/12</f>
        <v>0</v>
      </c>
      <c r="BF189" s="30" t="n">
        <f aca="false">MIN($AX$6,BD189+BE189)</f>
        <v>0</v>
      </c>
      <c r="BG189" s="30" t="n">
        <f aca="false">BD189+BE189-BF189</f>
        <v>0</v>
      </c>
      <c r="BH189" s="30" t="n">
        <f aca="false">BM188</f>
        <v>0</v>
      </c>
      <c r="BI189" s="30" t="n">
        <f aca="false">BH189*$BH$5/12</f>
        <v>0</v>
      </c>
      <c r="BJ189" s="30" t="n">
        <f aca="false">MIN($BH$6,BH189+BI189)</f>
        <v>0</v>
      </c>
      <c r="BK189" s="30" t="n">
        <f aca="false">MAX(0,MIN(BB189,BH189+BI189-BJ189))</f>
        <v>0</v>
      </c>
      <c r="BL189" s="29" t="n">
        <f aca="false">BB189-BK189</f>
        <v>690</v>
      </c>
      <c r="BM189" s="30" t="n">
        <f aca="false">BH189+BI189-BJ189-BK189</f>
        <v>0</v>
      </c>
      <c r="BN189" s="30" t="n">
        <f aca="false">BQ188</f>
        <v>0</v>
      </c>
      <c r="BO189" s="30" t="n">
        <f aca="false">BN189*$BH$5/12</f>
        <v>0</v>
      </c>
      <c r="BP189" s="30" t="n">
        <f aca="false">MIN($BH$6,BN189+BO189)</f>
        <v>0</v>
      </c>
      <c r="BQ189" s="30" t="n">
        <f aca="false">BN189+BO189-BP189</f>
        <v>0</v>
      </c>
      <c r="BR189" s="30" t="n">
        <f aca="false">BW188</f>
        <v>0</v>
      </c>
      <c r="BS189" s="30" t="n">
        <f aca="false">BR189*$BR$5/12</f>
        <v>0</v>
      </c>
      <c r="BT189" s="30" t="n">
        <f aca="false">MIN($BR$6,BR189+BS189)</f>
        <v>0</v>
      </c>
      <c r="BU189" s="30" t="n">
        <f aca="false">MAX(0,MIN(BL189,BR189+BS189-BT189))</f>
        <v>0</v>
      </c>
      <c r="BV189" s="29" t="n">
        <f aca="false">BL189-BU189</f>
        <v>690</v>
      </c>
      <c r="BW189" s="30" t="n">
        <f aca="false">BR189+BS189-BT189-BU189</f>
        <v>0</v>
      </c>
      <c r="BX189" s="30" t="n">
        <f aca="false">CA188</f>
        <v>0</v>
      </c>
      <c r="BY189" s="30" t="n">
        <f aca="false">BX189*$BR$5/12</f>
        <v>0</v>
      </c>
      <c r="BZ189" s="30" t="n">
        <f aca="false">MIN($BR$6,BX189+BY189)</f>
        <v>0</v>
      </c>
      <c r="CA189" s="30" t="n">
        <f aca="false">BX189+BY189-BZ189</f>
        <v>0</v>
      </c>
      <c r="CB189" s="30" t="n">
        <f aca="false">CG188</f>
        <v>0</v>
      </c>
      <c r="CC189" s="30" t="n">
        <f aca="false">CB189*$CB$5/12</f>
        <v>0</v>
      </c>
      <c r="CD189" s="30" t="n">
        <f aca="false">MIN($CB$6,CB189+CC189)</f>
        <v>0</v>
      </c>
      <c r="CE189" s="30" t="n">
        <f aca="false">MAX(0,MIN(BV189,CB189+CC189-CD189))</f>
        <v>0</v>
      </c>
      <c r="CF189" s="29" t="n">
        <f aca="false">BV189-CE189</f>
        <v>690</v>
      </c>
      <c r="CG189" s="30" t="n">
        <f aca="false">CB189+CC189-CD189-CE189</f>
        <v>0</v>
      </c>
      <c r="CH189" s="30" t="n">
        <f aca="false">CK188</f>
        <v>0</v>
      </c>
      <c r="CI189" s="30" t="n">
        <f aca="false">CH189*$CB$5/12</f>
        <v>0</v>
      </c>
      <c r="CJ189" s="30" t="n">
        <f aca="false">MIN($CB$6,CH189+CI189)</f>
        <v>0</v>
      </c>
      <c r="CK189" s="30" t="n">
        <f aca="false">CH189+CI189-CJ189</f>
        <v>0</v>
      </c>
    </row>
    <row r="190" customFormat="false" ht="15" hidden="false" customHeight="false" outlineLevel="0" collapsed="false">
      <c r="A190" s="0" t="n">
        <v>182</v>
      </c>
      <c r="B190" s="29" t="n">
        <f aca="false">'1 Your debts'!$B$16-(L190+V190+AF190+AP190+AZ190+BJ190+BT190+CD190)</f>
        <v>690</v>
      </c>
      <c r="C190" s="34" t="n">
        <f aca="false">O190+Y190+AI190+AS190+BC190+BM190+BW190+CG190</f>
        <v>0</v>
      </c>
      <c r="D190" s="34" t="n">
        <f aca="false">K190+U190+AE190+AO190+AY190+BI190+BS190+CC190</f>
        <v>0</v>
      </c>
      <c r="F190" s="34" t="n">
        <f aca="false">S190+AC190+AM190+AW190+BG190+BQ190+CA190+CK190</f>
        <v>0</v>
      </c>
      <c r="G190" s="34" t="n">
        <f aca="false">Q190+AA190+AK190+AU190+BE190+BO190+BY190+CI190</f>
        <v>0</v>
      </c>
      <c r="J190" s="34" t="n">
        <f aca="false">O189</f>
        <v>0</v>
      </c>
      <c r="K190" s="34" t="n">
        <f aca="false">J190*$J$5/12</f>
        <v>0</v>
      </c>
      <c r="L190" s="29" t="n">
        <f aca="false">MIN($J$6,J190+K190)</f>
        <v>0</v>
      </c>
      <c r="M190" s="30" t="n">
        <f aca="false">MAX(0,MIN($B190,J190+K190-L190))</f>
        <v>0</v>
      </c>
      <c r="N190" s="29" t="n">
        <f aca="false">$B190-M190</f>
        <v>690</v>
      </c>
      <c r="O190" s="34" t="n">
        <f aca="false">J190+K190-L190-M190</f>
        <v>0</v>
      </c>
      <c r="P190" s="34" t="n">
        <f aca="false">S189</f>
        <v>0</v>
      </c>
      <c r="Q190" s="34" t="n">
        <f aca="false">P190*$J$5/12</f>
        <v>0</v>
      </c>
      <c r="R190" s="29" t="n">
        <f aca="false">MIN($J$6,P190+Q190)</f>
        <v>0</v>
      </c>
      <c r="S190" s="34" t="n">
        <f aca="false">P190+Q190-R190</f>
        <v>0</v>
      </c>
      <c r="T190" s="34" t="n">
        <f aca="false">Y189</f>
        <v>0</v>
      </c>
      <c r="U190" s="34" t="n">
        <f aca="false">T190*$T$5/12</f>
        <v>0</v>
      </c>
      <c r="V190" s="29" t="n">
        <f aca="false">MIN($T$6,T190+U190)</f>
        <v>0</v>
      </c>
      <c r="W190" s="30" t="n">
        <f aca="false">MAX(0,MIN(N190,T190+U190-V190))</f>
        <v>0</v>
      </c>
      <c r="X190" s="29" t="n">
        <f aca="false">N190-W190</f>
        <v>690</v>
      </c>
      <c r="Y190" s="34" t="n">
        <f aca="false">T190+U190-V190-W190</f>
        <v>0</v>
      </c>
      <c r="Z190" s="34" t="n">
        <f aca="false">AC189</f>
        <v>0</v>
      </c>
      <c r="AA190" s="34" t="n">
        <f aca="false">Z190*$T$5/12</f>
        <v>0</v>
      </c>
      <c r="AB190" s="29" t="n">
        <f aca="false">MIN($T$6,Z190+AA190)</f>
        <v>0</v>
      </c>
      <c r="AC190" s="34" t="n">
        <f aca="false">Z190+AA190-AB190</f>
        <v>0</v>
      </c>
      <c r="AD190" s="34" t="n">
        <f aca="false">AI189</f>
        <v>0</v>
      </c>
      <c r="AE190" s="34" t="n">
        <f aca="false">AD190*$AD$5/12</f>
        <v>0</v>
      </c>
      <c r="AF190" s="29" t="n">
        <f aca="false">MIN($AD$6,AD190+AE190)</f>
        <v>0</v>
      </c>
      <c r="AG190" s="30" t="n">
        <f aca="false">MAX(0,MIN(X190,AD190+AE190-AF190))</f>
        <v>0</v>
      </c>
      <c r="AH190" s="29" t="n">
        <f aca="false">X190-AG190</f>
        <v>690</v>
      </c>
      <c r="AI190" s="34" t="n">
        <f aca="false">AD190+AE190-AF190-AG190</f>
        <v>0</v>
      </c>
      <c r="AJ190" s="34" t="n">
        <f aca="false">AM189</f>
        <v>0</v>
      </c>
      <c r="AK190" s="34" t="n">
        <f aca="false">AJ190*$AD$5/12</f>
        <v>0</v>
      </c>
      <c r="AL190" s="29" t="n">
        <f aca="false">MIN($AD$6,AJ190+AK190)</f>
        <v>0</v>
      </c>
      <c r="AM190" s="34" t="n">
        <f aca="false">AJ190+AK190-AL190</f>
        <v>0</v>
      </c>
      <c r="AN190" s="34" t="n">
        <f aca="false">AS189</f>
        <v>0</v>
      </c>
      <c r="AO190" s="34" t="n">
        <f aca="false">AN190*$AN$5/12</f>
        <v>0</v>
      </c>
      <c r="AP190" s="29" t="n">
        <f aca="false">MIN($AN$6,AN190+AO190)</f>
        <v>0</v>
      </c>
      <c r="AQ190" s="30" t="n">
        <f aca="false">MAX(0,MIN(AH190,AN190+AO190-AP190))</f>
        <v>0</v>
      </c>
      <c r="AR190" s="29" t="n">
        <f aca="false">AH190-AQ190</f>
        <v>690</v>
      </c>
      <c r="AS190" s="34" t="n">
        <f aca="false">AN190+AO190-AP190-AQ190</f>
        <v>0</v>
      </c>
      <c r="AT190" s="34" t="n">
        <f aca="false">AW189</f>
        <v>0</v>
      </c>
      <c r="AU190" s="34" t="n">
        <f aca="false">AT190*$AN$5/12</f>
        <v>0</v>
      </c>
      <c r="AV190" s="29" t="n">
        <f aca="false">MIN($AN$6,AT190+AU190)</f>
        <v>0</v>
      </c>
      <c r="AW190" s="34" t="n">
        <f aca="false">AT190+AU190-AV190</f>
        <v>0</v>
      </c>
      <c r="AX190" s="30" t="n">
        <f aca="false">BC189</f>
        <v>0</v>
      </c>
      <c r="AY190" s="30" t="n">
        <f aca="false">AX190*$AX$5/12</f>
        <v>0</v>
      </c>
      <c r="AZ190" s="30" t="n">
        <f aca="false">MIN($AX$6,AX190+AY190)</f>
        <v>0</v>
      </c>
      <c r="BA190" s="30" t="n">
        <f aca="false">MAX(0,MIN(AR190,AX190+AY190-AZ190))</f>
        <v>0</v>
      </c>
      <c r="BB190" s="29" t="n">
        <f aca="false">AR190-BA190</f>
        <v>690</v>
      </c>
      <c r="BC190" s="30" t="n">
        <f aca="false">AX190+AY190-AZ190-BA190</f>
        <v>0</v>
      </c>
      <c r="BD190" s="30" t="n">
        <f aca="false">BG189</f>
        <v>0</v>
      </c>
      <c r="BE190" s="30" t="n">
        <f aca="false">BD190*$AX$5/12</f>
        <v>0</v>
      </c>
      <c r="BF190" s="30" t="n">
        <f aca="false">MIN($AX$6,BD190+BE190)</f>
        <v>0</v>
      </c>
      <c r="BG190" s="30" t="n">
        <f aca="false">BD190+BE190-BF190</f>
        <v>0</v>
      </c>
      <c r="BH190" s="30" t="n">
        <f aca="false">BM189</f>
        <v>0</v>
      </c>
      <c r="BI190" s="30" t="n">
        <f aca="false">BH190*$BH$5/12</f>
        <v>0</v>
      </c>
      <c r="BJ190" s="30" t="n">
        <f aca="false">MIN($BH$6,BH190+BI190)</f>
        <v>0</v>
      </c>
      <c r="BK190" s="30" t="n">
        <f aca="false">MAX(0,MIN(BB190,BH190+BI190-BJ190))</f>
        <v>0</v>
      </c>
      <c r="BL190" s="29" t="n">
        <f aca="false">BB190-BK190</f>
        <v>690</v>
      </c>
      <c r="BM190" s="30" t="n">
        <f aca="false">BH190+BI190-BJ190-BK190</f>
        <v>0</v>
      </c>
      <c r="BN190" s="30" t="n">
        <f aca="false">BQ189</f>
        <v>0</v>
      </c>
      <c r="BO190" s="30" t="n">
        <f aca="false">BN190*$BH$5/12</f>
        <v>0</v>
      </c>
      <c r="BP190" s="30" t="n">
        <f aca="false">MIN($BH$6,BN190+BO190)</f>
        <v>0</v>
      </c>
      <c r="BQ190" s="30" t="n">
        <f aca="false">BN190+BO190-BP190</f>
        <v>0</v>
      </c>
      <c r="BR190" s="30" t="n">
        <f aca="false">BW189</f>
        <v>0</v>
      </c>
      <c r="BS190" s="30" t="n">
        <f aca="false">BR190*$BR$5/12</f>
        <v>0</v>
      </c>
      <c r="BT190" s="30" t="n">
        <f aca="false">MIN($BR$6,BR190+BS190)</f>
        <v>0</v>
      </c>
      <c r="BU190" s="30" t="n">
        <f aca="false">MAX(0,MIN(BL190,BR190+BS190-BT190))</f>
        <v>0</v>
      </c>
      <c r="BV190" s="29" t="n">
        <f aca="false">BL190-BU190</f>
        <v>690</v>
      </c>
      <c r="BW190" s="30" t="n">
        <f aca="false">BR190+BS190-BT190-BU190</f>
        <v>0</v>
      </c>
      <c r="BX190" s="30" t="n">
        <f aca="false">CA189</f>
        <v>0</v>
      </c>
      <c r="BY190" s="30" t="n">
        <f aca="false">BX190*$BR$5/12</f>
        <v>0</v>
      </c>
      <c r="BZ190" s="30" t="n">
        <f aca="false">MIN($BR$6,BX190+BY190)</f>
        <v>0</v>
      </c>
      <c r="CA190" s="30" t="n">
        <f aca="false">BX190+BY190-BZ190</f>
        <v>0</v>
      </c>
      <c r="CB190" s="30" t="n">
        <f aca="false">CG189</f>
        <v>0</v>
      </c>
      <c r="CC190" s="30" t="n">
        <f aca="false">CB190*$CB$5/12</f>
        <v>0</v>
      </c>
      <c r="CD190" s="30" t="n">
        <f aca="false">MIN($CB$6,CB190+CC190)</f>
        <v>0</v>
      </c>
      <c r="CE190" s="30" t="n">
        <f aca="false">MAX(0,MIN(BV190,CB190+CC190-CD190))</f>
        <v>0</v>
      </c>
      <c r="CF190" s="29" t="n">
        <f aca="false">BV190-CE190</f>
        <v>690</v>
      </c>
      <c r="CG190" s="30" t="n">
        <f aca="false">CB190+CC190-CD190-CE190</f>
        <v>0</v>
      </c>
      <c r="CH190" s="30" t="n">
        <f aca="false">CK189</f>
        <v>0</v>
      </c>
      <c r="CI190" s="30" t="n">
        <f aca="false">CH190*$CB$5/12</f>
        <v>0</v>
      </c>
      <c r="CJ190" s="30" t="n">
        <f aca="false">MIN($CB$6,CH190+CI190)</f>
        <v>0</v>
      </c>
      <c r="CK190" s="30" t="n">
        <f aca="false">CH190+CI190-CJ190</f>
        <v>0</v>
      </c>
    </row>
    <row r="191" customFormat="false" ht="15" hidden="false" customHeight="false" outlineLevel="0" collapsed="false">
      <c r="A191" s="0" t="n">
        <v>183</v>
      </c>
      <c r="B191" s="29" t="n">
        <f aca="false">'1 Your debts'!$B$16-(L191+V191+AF191+AP191+AZ191+BJ191+BT191+CD191)</f>
        <v>690</v>
      </c>
      <c r="C191" s="34" t="n">
        <f aca="false">O191+Y191+AI191+AS191+BC191+BM191+BW191+CG191</f>
        <v>0</v>
      </c>
      <c r="D191" s="34" t="n">
        <f aca="false">K191+U191+AE191+AO191+AY191+BI191+BS191+CC191</f>
        <v>0</v>
      </c>
      <c r="F191" s="34" t="n">
        <f aca="false">S191+AC191+AM191+AW191+BG191+BQ191+CA191+CK191</f>
        <v>0</v>
      </c>
      <c r="G191" s="34" t="n">
        <f aca="false">Q191+AA191+AK191+AU191+BE191+BO191+BY191+CI191</f>
        <v>0</v>
      </c>
      <c r="J191" s="34" t="n">
        <f aca="false">O190</f>
        <v>0</v>
      </c>
      <c r="K191" s="34" t="n">
        <f aca="false">J191*$J$5/12</f>
        <v>0</v>
      </c>
      <c r="L191" s="29" t="n">
        <f aca="false">MIN($J$6,J191+K191)</f>
        <v>0</v>
      </c>
      <c r="M191" s="30" t="n">
        <f aca="false">MAX(0,MIN($B191,J191+K191-L191))</f>
        <v>0</v>
      </c>
      <c r="N191" s="29" t="n">
        <f aca="false">$B191-M191</f>
        <v>690</v>
      </c>
      <c r="O191" s="34" t="n">
        <f aca="false">J191+K191-L191-M191</f>
        <v>0</v>
      </c>
      <c r="P191" s="34" t="n">
        <f aca="false">S190</f>
        <v>0</v>
      </c>
      <c r="Q191" s="34" t="n">
        <f aca="false">P191*$J$5/12</f>
        <v>0</v>
      </c>
      <c r="R191" s="29" t="n">
        <f aca="false">MIN($J$6,P191+Q191)</f>
        <v>0</v>
      </c>
      <c r="S191" s="34" t="n">
        <f aca="false">P191+Q191-R191</f>
        <v>0</v>
      </c>
      <c r="T191" s="34" t="n">
        <f aca="false">Y190</f>
        <v>0</v>
      </c>
      <c r="U191" s="34" t="n">
        <f aca="false">T191*$T$5/12</f>
        <v>0</v>
      </c>
      <c r="V191" s="29" t="n">
        <f aca="false">MIN($T$6,T191+U191)</f>
        <v>0</v>
      </c>
      <c r="W191" s="30" t="n">
        <f aca="false">MAX(0,MIN(N191,T191+U191-V191))</f>
        <v>0</v>
      </c>
      <c r="X191" s="29" t="n">
        <f aca="false">N191-W191</f>
        <v>690</v>
      </c>
      <c r="Y191" s="34" t="n">
        <f aca="false">T191+U191-V191-W191</f>
        <v>0</v>
      </c>
      <c r="Z191" s="34" t="n">
        <f aca="false">AC190</f>
        <v>0</v>
      </c>
      <c r="AA191" s="34" t="n">
        <f aca="false">Z191*$T$5/12</f>
        <v>0</v>
      </c>
      <c r="AB191" s="29" t="n">
        <f aca="false">MIN($T$6,Z191+AA191)</f>
        <v>0</v>
      </c>
      <c r="AC191" s="34" t="n">
        <f aca="false">Z191+AA191-AB191</f>
        <v>0</v>
      </c>
      <c r="AD191" s="34" t="n">
        <f aca="false">AI190</f>
        <v>0</v>
      </c>
      <c r="AE191" s="34" t="n">
        <f aca="false">AD191*$AD$5/12</f>
        <v>0</v>
      </c>
      <c r="AF191" s="29" t="n">
        <f aca="false">MIN($AD$6,AD191+AE191)</f>
        <v>0</v>
      </c>
      <c r="AG191" s="30" t="n">
        <f aca="false">MAX(0,MIN(X191,AD191+AE191-AF191))</f>
        <v>0</v>
      </c>
      <c r="AH191" s="29" t="n">
        <f aca="false">X191-AG191</f>
        <v>690</v>
      </c>
      <c r="AI191" s="34" t="n">
        <f aca="false">AD191+AE191-AF191-AG191</f>
        <v>0</v>
      </c>
      <c r="AJ191" s="34" t="n">
        <f aca="false">AM190</f>
        <v>0</v>
      </c>
      <c r="AK191" s="34" t="n">
        <f aca="false">AJ191*$AD$5/12</f>
        <v>0</v>
      </c>
      <c r="AL191" s="29" t="n">
        <f aca="false">MIN($AD$6,AJ191+AK191)</f>
        <v>0</v>
      </c>
      <c r="AM191" s="34" t="n">
        <f aca="false">AJ191+AK191-AL191</f>
        <v>0</v>
      </c>
      <c r="AN191" s="34" t="n">
        <f aca="false">AS190</f>
        <v>0</v>
      </c>
      <c r="AO191" s="34" t="n">
        <f aca="false">AN191*$AN$5/12</f>
        <v>0</v>
      </c>
      <c r="AP191" s="29" t="n">
        <f aca="false">MIN($AN$6,AN191+AO191)</f>
        <v>0</v>
      </c>
      <c r="AQ191" s="30" t="n">
        <f aca="false">MAX(0,MIN(AH191,AN191+AO191-AP191))</f>
        <v>0</v>
      </c>
      <c r="AR191" s="29" t="n">
        <f aca="false">AH191-AQ191</f>
        <v>690</v>
      </c>
      <c r="AS191" s="34" t="n">
        <f aca="false">AN191+AO191-AP191-AQ191</f>
        <v>0</v>
      </c>
      <c r="AT191" s="34" t="n">
        <f aca="false">AW190</f>
        <v>0</v>
      </c>
      <c r="AU191" s="34" t="n">
        <f aca="false">AT191*$AN$5/12</f>
        <v>0</v>
      </c>
      <c r="AV191" s="29" t="n">
        <f aca="false">MIN($AN$6,AT191+AU191)</f>
        <v>0</v>
      </c>
      <c r="AW191" s="34" t="n">
        <f aca="false">AT191+AU191-AV191</f>
        <v>0</v>
      </c>
      <c r="AX191" s="30" t="n">
        <f aca="false">BC190</f>
        <v>0</v>
      </c>
      <c r="AY191" s="30" t="n">
        <f aca="false">AX191*$AX$5/12</f>
        <v>0</v>
      </c>
      <c r="AZ191" s="30" t="n">
        <f aca="false">MIN($AX$6,AX191+AY191)</f>
        <v>0</v>
      </c>
      <c r="BA191" s="30" t="n">
        <f aca="false">MAX(0,MIN(AR191,AX191+AY191-AZ191))</f>
        <v>0</v>
      </c>
      <c r="BB191" s="29" t="n">
        <f aca="false">AR191-BA191</f>
        <v>690</v>
      </c>
      <c r="BC191" s="30" t="n">
        <f aca="false">AX191+AY191-AZ191-BA191</f>
        <v>0</v>
      </c>
      <c r="BD191" s="30" t="n">
        <f aca="false">BG190</f>
        <v>0</v>
      </c>
      <c r="BE191" s="30" t="n">
        <f aca="false">BD191*$AX$5/12</f>
        <v>0</v>
      </c>
      <c r="BF191" s="30" t="n">
        <f aca="false">MIN($AX$6,BD191+BE191)</f>
        <v>0</v>
      </c>
      <c r="BG191" s="30" t="n">
        <f aca="false">BD191+BE191-BF191</f>
        <v>0</v>
      </c>
      <c r="BH191" s="30" t="n">
        <f aca="false">BM190</f>
        <v>0</v>
      </c>
      <c r="BI191" s="30" t="n">
        <f aca="false">BH191*$BH$5/12</f>
        <v>0</v>
      </c>
      <c r="BJ191" s="30" t="n">
        <f aca="false">MIN($BH$6,BH191+BI191)</f>
        <v>0</v>
      </c>
      <c r="BK191" s="30" t="n">
        <f aca="false">MAX(0,MIN(BB191,BH191+BI191-BJ191))</f>
        <v>0</v>
      </c>
      <c r="BL191" s="29" t="n">
        <f aca="false">BB191-BK191</f>
        <v>690</v>
      </c>
      <c r="BM191" s="30" t="n">
        <f aca="false">BH191+BI191-BJ191-BK191</f>
        <v>0</v>
      </c>
      <c r="BN191" s="30" t="n">
        <f aca="false">BQ190</f>
        <v>0</v>
      </c>
      <c r="BO191" s="30" t="n">
        <f aca="false">BN191*$BH$5/12</f>
        <v>0</v>
      </c>
      <c r="BP191" s="30" t="n">
        <f aca="false">MIN($BH$6,BN191+BO191)</f>
        <v>0</v>
      </c>
      <c r="BQ191" s="30" t="n">
        <f aca="false">BN191+BO191-BP191</f>
        <v>0</v>
      </c>
      <c r="BR191" s="30" t="n">
        <f aca="false">BW190</f>
        <v>0</v>
      </c>
      <c r="BS191" s="30" t="n">
        <f aca="false">BR191*$BR$5/12</f>
        <v>0</v>
      </c>
      <c r="BT191" s="30" t="n">
        <f aca="false">MIN($BR$6,BR191+BS191)</f>
        <v>0</v>
      </c>
      <c r="BU191" s="30" t="n">
        <f aca="false">MAX(0,MIN(BL191,BR191+BS191-BT191))</f>
        <v>0</v>
      </c>
      <c r="BV191" s="29" t="n">
        <f aca="false">BL191-BU191</f>
        <v>690</v>
      </c>
      <c r="BW191" s="30" t="n">
        <f aca="false">BR191+BS191-BT191-BU191</f>
        <v>0</v>
      </c>
      <c r="BX191" s="30" t="n">
        <f aca="false">CA190</f>
        <v>0</v>
      </c>
      <c r="BY191" s="30" t="n">
        <f aca="false">BX191*$BR$5/12</f>
        <v>0</v>
      </c>
      <c r="BZ191" s="30" t="n">
        <f aca="false">MIN($BR$6,BX191+BY191)</f>
        <v>0</v>
      </c>
      <c r="CA191" s="30" t="n">
        <f aca="false">BX191+BY191-BZ191</f>
        <v>0</v>
      </c>
      <c r="CB191" s="30" t="n">
        <f aca="false">CG190</f>
        <v>0</v>
      </c>
      <c r="CC191" s="30" t="n">
        <f aca="false">CB191*$CB$5/12</f>
        <v>0</v>
      </c>
      <c r="CD191" s="30" t="n">
        <f aca="false">MIN($CB$6,CB191+CC191)</f>
        <v>0</v>
      </c>
      <c r="CE191" s="30" t="n">
        <f aca="false">MAX(0,MIN(BV191,CB191+CC191-CD191))</f>
        <v>0</v>
      </c>
      <c r="CF191" s="29" t="n">
        <f aca="false">BV191-CE191</f>
        <v>690</v>
      </c>
      <c r="CG191" s="30" t="n">
        <f aca="false">CB191+CC191-CD191-CE191</f>
        <v>0</v>
      </c>
      <c r="CH191" s="30" t="n">
        <f aca="false">CK190</f>
        <v>0</v>
      </c>
      <c r="CI191" s="30" t="n">
        <f aca="false">CH191*$CB$5/12</f>
        <v>0</v>
      </c>
      <c r="CJ191" s="30" t="n">
        <f aca="false">MIN($CB$6,CH191+CI191)</f>
        <v>0</v>
      </c>
      <c r="CK191" s="30" t="n">
        <f aca="false">CH191+CI191-CJ191</f>
        <v>0</v>
      </c>
    </row>
    <row r="192" customFormat="false" ht="15" hidden="false" customHeight="false" outlineLevel="0" collapsed="false">
      <c r="A192" s="0" t="n">
        <v>184</v>
      </c>
      <c r="B192" s="29" t="n">
        <f aca="false">'1 Your debts'!$B$16-(L192+V192+AF192+AP192+AZ192+BJ192+BT192+CD192)</f>
        <v>690</v>
      </c>
      <c r="C192" s="34" t="n">
        <f aca="false">O192+Y192+AI192+AS192+BC192+BM192+BW192+CG192</f>
        <v>0</v>
      </c>
      <c r="D192" s="34" t="n">
        <f aca="false">K192+U192+AE192+AO192+AY192+BI192+BS192+CC192</f>
        <v>0</v>
      </c>
      <c r="F192" s="34" t="n">
        <f aca="false">S192+AC192+AM192+AW192+BG192+BQ192+CA192+CK192</f>
        <v>0</v>
      </c>
      <c r="G192" s="34" t="n">
        <f aca="false">Q192+AA192+AK192+AU192+BE192+BO192+BY192+CI192</f>
        <v>0</v>
      </c>
      <c r="J192" s="34" t="n">
        <f aca="false">O191</f>
        <v>0</v>
      </c>
      <c r="K192" s="34" t="n">
        <f aca="false">J192*$J$5/12</f>
        <v>0</v>
      </c>
      <c r="L192" s="29" t="n">
        <f aca="false">MIN($J$6,J192+K192)</f>
        <v>0</v>
      </c>
      <c r="M192" s="30" t="n">
        <f aca="false">MAX(0,MIN($B192,J192+K192-L192))</f>
        <v>0</v>
      </c>
      <c r="N192" s="29" t="n">
        <f aca="false">$B192-M192</f>
        <v>690</v>
      </c>
      <c r="O192" s="34" t="n">
        <f aca="false">J192+K192-L192-M192</f>
        <v>0</v>
      </c>
      <c r="P192" s="34" t="n">
        <f aca="false">S191</f>
        <v>0</v>
      </c>
      <c r="Q192" s="34" t="n">
        <f aca="false">P192*$J$5/12</f>
        <v>0</v>
      </c>
      <c r="R192" s="29" t="n">
        <f aca="false">MIN($J$6,P192+Q192)</f>
        <v>0</v>
      </c>
      <c r="S192" s="34" t="n">
        <f aca="false">P192+Q192-R192</f>
        <v>0</v>
      </c>
      <c r="T192" s="34" t="n">
        <f aca="false">Y191</f>
        <v>0</v>
      </c>
      <c r="U192" s="34" t="n">
        <f aca="false">T192*$T$5/12</f>
        <v>0</v>
      </c>
      <c r="V192" s="29" t="n">
        <f aca="false">MIN($T$6,T192+U192)</f>
        <v>0</v>
      </c>
      <c r="W192" s="30" t="n">
        <f aca="false">MAX(0,MIN(N192,T192+U192-V192))</f>
        <v>0</v>
      </c>
      <c r="X192" s="29" t="n">
        <f aca="false">N192-W192</f>
        <v>690</v>
      </c>
      <c r="Y192" s="34" t="n">
        <f aca="false">T192+U192-V192-W192</f>
        <v>0</v>
      </c>
      <c r="Z192" s="34" t="n">
        <f aca="false">AC191</f>
        <v>0</v>
      </c>
      <c r="AA192" s="34" t="n">
        <f aca="false">Z192*$T$5/12</f>
        <v>0</v>
      </c>
      <c r="AB192" s="29" t="n">
        <f aca="false">MIN($T$6,Z192+AA192)</f>
        <v>0</v>
      </c>
      <c r="AC192" s="34" t="n">
        <f aca="false">Z192+AA192-AB192</f>
        <v>0</v>
      </c>
      <c r="AD192" s="34" t="n">
        <f aca="false">AI191</f>
        <v>0</v>
      </c>
      <c r="AE192" s="34" t="n">
        <f aca="false">AD192*$AD$5/12</f>
        <v>0</v>
      </c>
      <c r="AF192" s="29" t="n">
        <f aca="false">MIN($AD$6,AD192+AE192)</f>
        <v>0</v>
      </c>
      <c r="AG192" s="30" t="n">
        <f aca="false">MAX(0,MIN(X192,AD192+AE192-AF192))</f>
        <v>0</v>
      </c>
      <c r="AH192" s="29" t="n">
        <f aca="false">X192-AG192</f>
        <v>690</v>
      </c>
      <c r="AI192" s="34" t="n">
        <f aca="false">AD192+AE192-AF192-AG192</f>
        <v>0</v>
      </c>
      <c r="AJ192" s="34" t="n">
        <f aca="false">AM191</f>
        <v>0</v>
      </c>
      <c r="AK192" s="34" t="n">
        <f aca="false">AJ192*$AD$5/12</f>
        <v>0</v>
      </c>
      <c r="AL192" s="29" t="n">
        <f aca="false">MIN($AD$6,AJ192+AK192)</f>
        <v>0</v>
      </c>
      <c r="AM192" s="34" t="n">
        <f aca="false">AJ192+AK192-AL192</f>
        <v>0</v>
      </c>
      <c r="AN192" s="34" t="n">
        <f aca="false">AS191</f>
        <v>0</v>
      </c>
      <c r="AO192" s="34" t="n">
        <f aca="false">AN192*$AN$5/12</f>
        <v>0</v>
      </c>
      <c r="AP192" s="29" t="n">
        <f aca="false">MIN($AN$6,AN192+AO192)</f>
        <v>0</v>
      </c>
      <c r="AQ192" s="30" t="n">
        <f aca="false">MAX(0,MIN(AH192,AN192+AO192-AP192))</f>
        <v>0</v>
      </c>
      <c r="AR192" s="29" t="n">
        <f aca="false">AH192-AQ192</f>
        <v>690</v>
      </c>
      <c r="AS192" s="34" t="n">
        <f aca="false">AN192+AO192-AP192-AQ192</f>
        <v>0</v>
      </c>
      <c r="AT192" s="34" t="n">
        <f aca="false">AW191</f>
        <v>0</v>
      </c>
      <c r="AU192" s="34" t="n">
        <f aca="false">AT192*$AN$5/12</f>
        <v>0</v>
      </c>
      <c r="AV192" s="29" t="n">
        <f aca="false">MIN($AN$6,AT192+AU192)</f>
        <v>0</v>
      </c>
      <c r="AW192" s="34" t="n">
        <f aca="false">AT192+AU192-AV192</f>
        <v>0</v>
      </c>
      <c r="AX192" s="30" t="n">
        <f aca="false">BC191</f>
        <v>0</v>
      </c>
      <c r="AY192" s="30" t="n">
        <f aca="false">AX192*$AX$5/12</f>
        <v>0</v>
      </c>
      <c r="AZ192" s="30" t="n">
        <f aca="false">MIN($AX$6,AX192+AY192)</f>
        <v>0</v>
      </c>
      <c r="BA192" s="30" t="n">
        <f aca="false">MAX(0,MIN(AR192,AX192+AY192-AZ192))</f>
        <v>0</v>
      </c>
      <c r="BB192" s="29" t="n">
        <f aca="false">AR192-BA192</f>
        <v>690</v>
      </c>
      <c r="BC192" s="30" t="n">
        <f aca="false">AX192+AY192-AZ192-BA192</f>
        <v>0</v>
      </c>
      <c r="BD192" s="30" t="n">
        <f aca="false">BG191</f>
        <v>0</v>
      </c>
      <c r="BE192" s="30" t="n">
        <f aca="false">BD192*$AX$5/12</f>
        <v>0</v>
      </c>
      <c r="BF192" s="30" t="n">
        <f aca="false">MIN($AX$6,BD192+BE192)</f>
        <v>0</v>
      </c>
      <c r="BG192" s="30" t="n">
        <f aca="false">BD192+BE192-BF192</f>
        <v>0</v>
      </c>
      <c r="BH192" s="30" t="n">
        <f aca="false">BM191</f>
        <v>0</v>
      </c>
      <c r="BI192" s="30" t="n">
        <f aca="false">BH192*$BH$5/12</f>
        <v>0</v>
      </c>
      <c r="BJ192" s="30" t="n">
        <f aca="false">MIN($BH$6,BH192+BI192)</f>
        <v>0</v>
      </c>
      <c r="BK192" s="30" t="n">
        <f aca="false">MAX(0,MIN(BB192,BH192+BI192-BJ192))</f>
        <v>0</v>
      </c>
      <c r="BL192" s="29" t="n">
        <f aca="false">BB192-BK192</f>
        <v>690</v>
      </c>
      <c r="BM192" s="30" t="n">
        <f aca="false">BH192+BI192-BJ192-BK192</f>
        <v>0</v>
      </c>
      <c r="BN192" s="30" t="n">
        <f aca="false">BQ191</f>
        <v>0</v>
      </c>
      <c r="BO192" s="30" t="n">
        <f aca="false">BN192*$BH$5/12</f>
        <v>0</v>
      </c>
      <c r="BP192" s="30" t="n">
        <f aca="false">MIN($BH$6,BN192+BO192)</f>
        <v>0</v>
      </c>
      <c r="BQ192" s="30" t="n">
        <f aca="false">BN192+BO192-BP192</f>
        <v>0</v>
      </c>
      <c r="BR192" s="30" t="n">
        <f aca="false">BW191</f>
        <v>0</v>
      </c>
      <c r="BS192" s="30" t="n">
        <f aca="false">BR192*$BR$5/12</f>
        <v>0</v>
      </c>
      <c r="BT192" s="30" t="n">
        <f aca="false">MIN($BR$6,BR192+BS192)</f>
        <v>0</v>
      </c>
      <c r="BU192" s="30" t="n">
        <f aca="false">MAX(0,MIN(BL192,BR192+BS192-BT192))</f>
        <v>0</v>
      </c>
      <c r="BV192" s="29" t="n">
        <f aca="false">BL192-BU192</f>
        <v>690</v>
      </c>
      <c r="BW192" s="30" t="n">
        <f aca="false">BR192+BS192-BT192-BU192</f>
        <v>0</v>
      </c>
      <c r="BX192" s="30" t="n">
        <f aca="false">CA191</f>
        <v>0</v>
      </c>
      <c r="BY192" s="30" t="n">
        <f aca="false">BX192*$BR$5/12</f>
        <v>0</v>
      </c>
      <c r="BZ192" s="30" t="n">
        <f aca="false">MIN($BR$6,BX192+BY192)</f>
        <v>0</v>
      </c>
      <c r="CA192" s="30" t="n">
        <f aca="false">BX192+BY192-BZ192</f>
        <v>0</v>
      </c>
      <c r="CB192" s="30" t="n">
        <f aca="false">CG191</f>
        <v>0</v>
      </c>
      <c r="CC192" s="30" t="n">
        <f aca="false">CB192*$CB$5/12</f>
        <v>0</v>
      </c>
      <c r="CD192" s="30" t="n">
        <f aca="false">MIN($CB$6,CB192+CC192)</f>
        <v>0</v>
      </c>
      <c r="CE192" s="30" t="n">
        <f aca="false">MAX(0,MIN(BV192,CB192+CC192-CD192))</f>
        <v>0</v>
      </c>
      <c r="CF192" s="29" t="n">
        <f aca="false">BV192-CE192</f>
        <v>690</v>
      </c>
      <c r="CG192" s="30" t="n">
        <f aca="false">CB192+CC192-CD192-CE192</f>
        <v>0</v>
      </c>
      <c r="CH192" s="30" t="n">
        <f aca="false">CK191</f>
        <v>0</v>
      </c>
      <c r="CI192" s="30" t="n">
        <f aca="false">CH192*$CB$5/12</f>
        <v>0</v>
      </c>
      <c r="CJ192" s="30" t="n">
        <f aca="false">MIN($CB$6,CH192+CI192)</f>
        <v>0</v>
      </c>
      <c r="CK192" s="30" t="n">
        <f aca="false">CH192+CI192-CJ192</f>
        <v>0</v>
      </c>
    </row>
    <row r="193" customFormat="false" ht="15" hidden="false" customHeight="false" outlineLevel="0" collapsed="false">
      <c r="A193" s="0" t="n">
        <v>185</v>
      </c>
      <c r="B193" s="29" t="n">
        <f aca="false">'1 Your debts'!$B$16-(L193+V193+AF193+AP193+AZ193+BJ193+BT193+CD193)</f>
        <v>690</v>
      </c>
      <c r="C193" s="34" t="n">
        <f aca="false">O193+Y193+AI193+AS193+BC193+BM193+BW193+CG193</f>
        <v>0</v>
      </c>
      <c r="D193" s="34" t="n">
        <f aca="false">K193+U193+AE193+AO193+AY193+BI193+BS193+CC193</f>
        <v>0</v>
      </c>
      <c r="F193" s="34" t="n">
        <f aca="false">S193+AC193+AM193+AW193+BG193+BQ193+CA193+CK193</f>
        <v>0</v>
      </c>
      <c r="G193" s="34" t="n">
        <f aca="false">Q193+AA193+AK193+AU193+BE193+BO193+BY193+CI193</f>
        <v>0</v>
      </c>
      <c r="J193" s="34" t="n">
        <f aca="false">O192</f>
        <v>0</v>
      </c>
      <c r="K193" s="34" t="n">
        <f aca="false">J193*$J$5/12</f>
        <v>0</v>
      </c>
      <c r="L193" s="29" t="n">
        <f aca="false">MIN($J$6,J193+K193)</f>
        <v>0</v>
      </c>
      <c r="M193" s="30" t="n">
        <f aca="false">MAX(0,MIN($B193,J193+K193-L193))</f>
        <v>0</v>
      </c>
      <c r="N193" s="29" t="n">
        <f aca="false">$B193-M193</f>
        <v>690</v>
      </c>
      <c r="O193" s="34" t="n">
        <f aca="false">J193+K193-L193-M193</f>
        <v>0</v>
      </c>
      <c r="P193" s="34" t="n">
        <f aca="false">S192</f>
        <v>0</v>
      </c>
      <c r="Q193" s="34" t="n">
        <f aca="false">P193*$J$5/12</f>
        <v>0</v>
      </c>
      <c r="R193" s="29" t="n">
        <f aca="false">MIN($J$6,P193+Q193)</f>
        <v>0</v>
      </c>
      <c r="S193" s="34" t="n">
        <f aca="false">P193+Q193-R193</f>
        <v>0</v>
      </c>
      <c r="T193" s="34" t="n">
        <f aca="false">Y192</f>
        <v>0</v>
      </c>
      <c r="U193" s="34" t="n">
        <f aca="false">T193*$T$5/12</f>
        <v>0</v>
      </c>
      <c r="V193" s="29" t="n">
        <f aca="false">MIN($T$6,T193+U193)</f>
        <v>0</v>
      </c>
      <c r="W193" s="30" t="n">
        <f aca="false">MAX(0,MIN(N193,T193+U193-V193))</f>
        <v>0</v>
      </c>
      <c r="X193" s="29" t="n">
        <f aca="false">N193-W193</f>
        <v>690</v>
      </c>
      <c r="Y193" s="34" t="n">
        <f aca="false">T193+U193-V193-W193</f>
        <v>0</v>
      </c>
      <c r="Z193" s="34" t="n">
        <f aca="false">AC192</f>
        <v>0</v>
      </c>
      <c r="AA193" s="34" t="n">
        <f aca="false">Z193*$T$5/12</f>
        <v>0</v>
      </c>
      <c r="AB193" s="29" t="n">
        <f aca="false">MIN($T$6,Z193+AA193)</f>
        <v>0</v>
      </c>
      <c r="AC193" s="34" t="n">
        <f aca="false">Z193+AA193-AB193</f>
        <v>0</v>
      </c>
      <c r="AD193" s="34" t="n">
        <f aca="false">AI192</f>
        <v>0</v>
      </c>
      <c r="AE193" s="34" t="n">
        <f aca="false">AD193*$AD$5/12</f>
        <v>0</v>
      </c>
      <c r="AF193" s="29" t="n">
        <f aca="false">MIN($AD$6,AD193+AE193)</f>
        <v>0</v>
      </c>
      <c r="AG193" s="30" t="n">
        <f aca="false">MAX(0,MIN(X193,AD193+AE193-AF193))</f>
        <v>0</v>
      </c>
      <c r="AH193" s="29" t="n">
        <f aca="false">X193-AG193</f>
        <v>690</v>
      </c>
      <c r="AI193" s="34" t="n">
        <f aca="false">AD193+AE193-AF193-AG193</f>
        <v>0</v>
      </c>
      <c r="AJ193" s="34" t="n">
        <f aca="false">AM192</f>
        <v>0</v>
      </c>
      <c r="AK193" s="34" t="n">
        <f aca="false">AJ193*$AD$5/12</f>
        <v>0</v>
      </c>
      <c r="AL193" s="29" t="n">
        <f aca="false">MIN($AD$6,AJ193+AK193)</f>
        <v>0</v>
      </c>
      <c r="AM193" s="34" t="n">
        <f aca="false">AJ193+AK193-AL193</f>
        <v>0</v>
      </c>
      <c r="AN193" s="34" t="n">
        <f aca="false">AS192</f>
        <v>0</v>
      </c>
      <c r="AO193" s="34" t="n">
        <f aca="false">AN193*$AN$5/12</f>
        <v>0</v>
      </c>
      <c r="AP193" s="29" t="n">
        <f aca="false">MIN($AN$6,AN193+AO193)</f>
        <v>0</v>
      </c>
      <c r="AQ193" s="30" t="n">
        <f aca="false">MAX(0,MIN(AH193,AN193+AO193-AP193))</f>
        <v>0</v>
      </c>
      <c r="AR193" s="29" t="n">
        <f aca="false">AH193-AQ193</f>
        <v>690</v>
      </c>
      <c r="AS193" s="34" t="n">
        <f aca="false">AN193+AO193-AP193-AQ193</f>
        <v>0</v>
      </c>
      <c r="AT193" s="34" t="n">
        <f aca="false">AW192</f>
        <v>0</v>
      </c>
      <c r="AU193" s="34" t="n">
        <f aca="false">AT193*$AN$5/12</f>
        <v>0</v>
      </c>
      <c r="AV193" s="29" t="n">
        <f aca="false">MIN($AN$6,AT193+AU193)</f>
        <v>0</v>
      </c>
      <c r="AW193" s="34" t="n">
        <f aca="false">AT193+AU193-AV193</f>
        <v>0</v>
      </c>
      <c r="AX193" s="30" t="n">
        <f aca="false">BC192</f>
        <v>0</v>
      </c>
      <c r="AY193" s="30" t="n">
        <f aca="false">AX193*$AX$5/12</f>
        <v>0</v>
      </c>
      <c r="AZ193" s="30" t="n">
        <f aca="false">MIN($AX$6,AX193+AY193)</f>
        <v>0</v>
      </c>
      <c r="BA193" s="30" t="n">
        <f aca="false">MAX(0,MIN(AR193,AX193+AY193-AZ193))</f>
        <v>0</v>
      </c>
      <c r="BB193" s="29" t="n">
        <f aca="false">AR193-BA193</f>
        <v>690</v>
      </c>
      <c r="BC193" s="30" t="n">
        <f aca="false">AX193+AY193-AZ193-BA193</f>
        <v>0</v>
      </c>
      <c r="BD193" s="30" t="n">
        <f aca="false">BG192</f>
        <v>0</v>
      </c>
      <c r="BE193" s="30" t="n">
        <f aca="false">BD193*$AX$5/12</f>
        <v>0</v>
      </c>
      <c r="BF193" s="30" t="n">
        <f aca="false">MIN($AX$6,BD193+BE193)</f>
        <v>0</v>
      </c>
      <c r="BG193" s="30" t="n">
        <f aca="false">BD193+BE193-BF193</f>
        <v>0</v>
      </c>
      <c r="BH193" s="30" t="n">
        <f aca="false">BM192</f>
        <v>0</v>
      </c>
      <c r="BI193" s="30" t="n">
        <f aca="false">BH193*$BH$5/12</f>
        <v>0</v>
      </c>
      <c r="BJ193" s="30" t="n">
        <f aca="false">MIN($BH$6,BH193+BI193)</f>
        <v>0</v>
      </c>
      <c r="BK193" s="30" t="n">
        <f aca="false">MAX(0,MIN(BB193,BH193+BI193-BJ193))</f>
        <v>0</v>
      </c>
      <c r="BL193" s="29" t="n">
        <f aca="false">BB193-BK193</f>
        <v>690</v>
      </c>
      <c r="BM193" s="30" t="n">
        <f aca="false">BH193+BI193-BJ193-BK193</f>
        <v>0</v>
      </c>
      <c r="BN193" s="30" t="n">
        <f aca="false">BQ192</f>
        <v>0</v>
      </c>
      <c r="BO193" s="30" t="n">
        <f aca="false">BN193*$BH$5/12</f>
        <v>0</v>
      </c>
      <c r="BP193" s="30" t="n">
        <f aca="false">MIN($BH$6,BN193+BO193)</f>
        <v>0</v>
      </c>
      <c r="BQ193" s="30" t="n">
        <f aca="false">BN193+BO193-BP193</f>
        <v>0</v>
      </c>
      <c r="BR193" s="30" t="n">
        <f aca="false">BW192</f>
        <v>0</v>
      </c>
      <c r="BS193" s="30" t="n">
        <f aca="false">BR193*$BR$5/12</f>
        <v>0</v>
      </c>
      <c r="BT193" s="30" t="n">
        <f aca="false">MIN($BR$6,BR193+BS193)</f>
        <v>0</v>
      </c>
      <c r="BU193" s="30" t="n">
        <f aca="false">MAX(0,MIN(BL193,BR193+BS193-BT193))</f>
        <v>0</v>
      </c>
      <c r="BV193" s="29" t="n">
        <f aca="false">BL193-BU193</f>
        <v>690</v>
      </c>
      <c r="BW193" s="30" t="n">
        <f aca="false">BR193+BS193-BT193-BU193</f>
        <v>0</v>
      </c>
      <c r="BX193" s="30" t="n">
        <f aca="false">CA192</f>
        <v>0</v>
      </c>
      <c r="BY193" s="30" t="n">
        <f aca="false">BX193*$BR$5/12</f>
        <v>0</v>
      </c>
      <c r="BZ193" s="30" t="n">
        <f aca="false">MIN($BR$6,BX193+BY193)</f>
        <v>0</v>
      </c>
      <c r="CA193" s="30" t="n">
        <f aca="false">BX193+BY193-BZ193</f>
        <v>0</v>
      </c>
      <c r="CB193" s="30" t="n">
        <f aca="false">CG192</f>
        <v>0</v>
      </c>
      <c r="CC193" s="30" t="n">
        <f aca="false">CB193*$CB$5/12</f>
        <v>0</v>
      </c>
      <c r="CD193" s="30" t="n">
        <f aca="false">MIN($CB$6,CB193+CC193)</f>
        <v>0</v>
      </c>
      <c r="CE193" s="30" t="n">
        <f aca="false">MAX(0,MIN(BV193,CB193+CC193-CD193))</f>
        <v>0</v>
      </c>
      <c r="CF193" s="29" t="n">
        <f aca="false">BV193-CE193</f>
        <v>690</v>
      </c>
      <c r="CG193" s="30" t="n">
        <f aca="false">CB193+CC193-CD193-CE193</f>
        <v>0</v>
      </c>
      <c r="CH193" s="30" t="n">
        <f aca="false">CK192</f>
        <v>0</v>
      </c>
      <c r="CI193" s="30" t="n">
        <f aca="false">CH193*$CB$5/12</f>
        <v>0</v>
      </c>
      <c r="CJ193" s="30" t="n">
        <f aca="false">MIN($CB$6,CH193+CI193)</f>
        <v>0</v>
      </c>
      <c r="CK193" s="30" t="n">
        <f aca="false">CH193+CI193-CJ193</f>
        <v>0</v>
      </c>
    </row>
    <row r="194" customFormat="false" ht="15" hidden="false" customHeight="false" outlineLevel="0" collapsed="false">
      <c r="A194" s="0" t="n">
        <v>186</v>
      </c>
      <c r="B194" s="29" t="n">
        <f aca="false">'1 Your debts'!$B$16-(L194+V194+AF194+AP194+AZ194+BJ194+BT194+CD194)</f>
        <v>690</v>
      </c>
      <c r="C194" s="34" t="n">
        <f aca="false">O194+Y194+AI194+AS194+BC194+BM194+BW194+CG194</f>
        <v>0</v>
      </c>
      <c r="D194" s="34" t="n">
        <f aca="false">K194+U194+AE194+AO194+AY194+BI194+BS194+CC194</f>
        <v>0</v>
      </c>
      <c r="F194" s="34" t="n">
        <f aca="false">S194+AC194+AM194+AW194+BG194+BQ194+CA194+CK194</f>
        <v>0</v>
      </c>
      <c r="G194" s="34" t="n">
        <f aca="false">Q194+AA194+AK194+AU194+BE194+BO194+BY194+CI194</f>
        <v>0</v>
      </c>
      <c r="J194" s="34" t="n">
        <f aca="false">O193</f>
        <v>0</v>
      </c>
      <c r="K194" s="34" t="n">
        <f aca="false">J194*$J$5/12</f>
        <v>0</v>
      </c>
      <c r="L194" s="29" t="n">
        <f aca="false">MIN($J$6,J194+K194)</f>
        <v>0</v>
      </c>
      <c r="M194" s="30" t="n">
        <f aca="false">MAX(0,MIN($B194,J194+K194-L194))</f>
        <v>0</v>
      </c>
      <c r="N194" s="29" t="n">
        <f aca="false">$B194-M194</f>
        <v>690</v>
      </c>
      <c r="O194" s="34" t="n">
        <f aca="false">J194+K194-L194-M194</f>
        <v>0</v>
      </c>
      <c r="P194" s="34" t="n">
        <f aca="false">S193</f>
        <v>0</v>
      </c>
      <c r="Q194" s="34" t="n">
        <f aca="false">P194*$J$5/12</f>
        <v>0</v>
      </c>
      <c r="R194" s="29" t="n">
        <f aca="false">MIN($J$6,P194+Q194)</f>
        <v>0</v>
      </c>
      <c r="S194" s="34" t="n">
        <f aca="false">P194+Q194-R194</f>
        <v>0</v>
      </c>
      <c r="T194" s="34" t="n">
        <f aca="false">Y193</f>
        <v>0</v>
      </c>
      <c r="U194" s="34" t="n">
        <f aca="false">T194*$T$5/12</f>
        <v>0</v>
      </c>
      <c r="V194" s="29" t="n">
        <f aca="false">MIN($T$6,T194+U194)</f>
        <v>0</v>
      </c>
      <c r="W194" s="30" t="n">
        <f aca="false">MAX(0,MIN(N194,T194+U194-V194))</f>
        <v>0</v>
      </c>
      <c r="X194" s="29" t="n">
        <f aca="false">N194-W194</f>
        <v>690</v>
      </c>
      <c r="Y194" s="34" t="n">
        <f aca="false">T194+U194-V194-W194</f>
        <v>0</v>
      </c>
      <c r="Z194" s="34" t="n">
        <f aca="false">AC193</f>
        <v>0</v>
      </c>
      <c r="AA194" s="34" t="n">
        <f aca="false">Z194*$T$5/12</f>
        <v>0</v>
      </c>
      <c r="AB194" s="29" t="n">
        <f aca="false">MIN($T$6,Z194+AA194)</f>
        <v>0</v>
      </c>
      <c r="AC194" s="34" t="n">
        <f aca="false">Z194+AA194-AB194</f>
        <v>0</v>
      </c>
      <c r="AD194" s="34" t="n">
        <f aca="false">AI193</f>
        <v>0</v>
      </c>
      <c r="AE194" s="34" t="n">
        <f aca="false">AD194*$AD$5/12</f>
        <v>0</v>
      </c>
      <c r="AF194" s="29" t="n">
        <f aca="false">MIN($AD$6,AD194+AE194)</f>
        <v>0</v>
      </c>
      <c r="AG194" s="30" t="n">
        <f aca="false">MAX(0,MIN(X194,AD194+AE194-AF194))</f>
        <v>0</v>
      </c>
      <c r="AH194" s="29" t="n">
        <f aca="false">X194-AG194</f>
        <v>690</v>
      </c>
      <c r="AI194" s="34" t="n">
        <f aca="false">AD194+AE194-AF194-AG194</f>
        <v>0</v>
      </c>
      <c r="AJ194" s="34" t="n">
        <f aca="false">AM193</f>
        <v>0</v>
      </c>
      <c r="AK194" s="34" t="n">
        <f aca="false">AJ194*$AD$5/12</f>
        <v>0</v>
      </c>
      <c r="AL194" s="29" t="n">
        <f aca="false">MIN($AD$6,AJ194+AK194)</f>
        <v>0</v>
      </c>
      <c r="AM194" s="34" t="n">
        <f aca="false">AJ194+AK194-AL194</f>
        <v>0</v>
      </c>
      <c r="AN194" s="34" t="n">
        <f aca="false">AS193</f>
        <v>0</v>
      </c>
      <c r="AO194" s="34" t="n">
        <f aca="false">AN194*$AN$5/12</f>
        <v>0</v>
      </c>
      <c r="AP194" s="29" t="n">
        <f aca="false">MIN($AN$6,AN194+AO194)</f>
        <v>0</v>
      </c>
      <c r="AQ194" s="30" t="n">
        <f aca="false">MAX(0,MIN(AH194,AN194+AO194-AP194))</f>
        <v>0</v>
      </c>
      <c r="AR194" s="29" t="n">
        <f aca="false">AH194-AQ194</f>
        <v>690</v>
      </c>
      <c r="AS194" s="34" t="n">
        <f aca="false">AN194+AO194-AP194-AQ194</f>
        <v>0</v>
      </c>
      <c r="AT194" s="34" t="n">
        <f aca="false">AW193</f>
        <v>0</v>
      </c>
      <c r="AU194" s="34" t="n">
        <f aca="false">AT194*$AN$5/12</f>
        <v>0</v>
      </c>
      <c r="AV194" s="29" t="n">
        <f aca="false">MIN($AN$6,AT194+AU194)</f>
        <v>0</v>
      </c>
      <c r="AW194" s="34" t="n">
        <f aca="false">AT194+AU194-AV194</f>
        <v>0</v>
      </c>
      <c r="AX194" s="30" t="n">
        <f aca="false">BC193</f>
        <v>0</v>
      </c>
      <c r="AY194" s="30" t="n">
        <f aca="false">AX194*$AX$5/12</f>
        <v>0</v>
      </c>
      <c r="AZ194" s="30" t="n">
        <f aca="false">MIN($AX$6,AX194+AY194)</f>
        <v>0</v>
      </c>
      <c r="BA194" s="30" t="n">
        <f aca="false">MAX(0,MIN(AR194,AX194+AY194-AZ194))</f>
        <v>0</v>
      </c>
      <c r="BB194" s="29" t="n">
        <f aca="false">AR194-BA194</f>
        <v>690</v>
      </c>
      <c r="BC194" s="30" t="n">
        <f aca="false">AX194+AY194-AZ194-BA194</f>
        <v>0</v>
      </c>
      <c r="BD194" s="30" t="n">
        <f aca="false">BG193</f>
        <v>0</v>
      </c>
      <c r="BE194" s="30" t="n">
        <f aca="false">BD194*$AX$5/12</f>
        <v>0</v>
      </c>
      <c r="BF194" s="30" t="n">
        <f aca="false">MIN($AX$6,BD194+BE194)</f>
        <v>0</v>
      </c>
      <c r="BG194" s="30" t="n">
        <f aca="false">BD194+BE194-BF194</f>
        <v>0</v>
      </c>
      <c r="BH194" s="30" t="n">
        <f aca="false">BM193</f>
        <v>0</v>
      </c>
      <c r="BI194" s="30" t="n">
        <f aca="false">BH194*$BH$5/12</f>
        <v>0</v>
      </c>
      <c r="BJ194" s="30" t="n">
        <f aca="false">MIN($BH$6,BH194+BI194)</f>
        <v>0</v>
      </c>
      <c r="BK194" s="30" t="n">
        <f aca="false">MAX(0,MIN(BB194,BH194+BI194-BJ194))</f>
        <v>0</v>
      </c>
      <c r="BL194" s="29" t="n">
        <f aca="false">BB194-BK194</f>
        <v>690</v>
      </c>
      <c r="BM194" s="30" t="n">
        <f aca="false">BH194+BI194-BJ194-BK194</f>
        <v>0</v>
      </c>
      <c r="BN194" s="30" t="n">
        <f aca="false">BQ193</f>
        <v>0</v>
      </c>
      <c r="BO194" s="30" t="n">
        <f aca="false">BN194*$BH$5/12</f>
        <v>0</v>
      </c>
      <c r="BP194" s="30" t="n">
        <f aca="false">MIN($BH$6,BN194+BO194)</f>
        <v>0</v>
      </c>
      <c r="BQ194" s="30" t="n">
        <f aca="false">BN194+BO194-BP194</f>
        <v>0</v>
      </c>
      <c r="BR194" s="30" t="n">
        <f aca="false">BW193</f>
        <v>0</v>
      </c>
      <c r="BS194" s="30" t="n">
        <f aca="false">BR194*$BR$5/12</f>
        <v>0</v>
      </c>
      <c r="BT194" s="30" t="n">
        <f aca="false">MIN($BR$6,BR194+BS194)</f>
        <v>0</v>
      </c>
      <c r="BU194" s="30" t="n">
        <f aca="false">MAX(0,MIN(BL194,BR194+BS194-BT194))</f>
        <v>0</v>
      </c>
      <c r="BV194" s="29" t="n">
        <f aca="false">BL194-BU194</f>
        <v>690</v>
      </c>
      <c r="BW194" s="30" t="n">
        <f aca="false">BR194+BS194-BT194-BU194</f>
        <v>0</v>
      </c>
      <c r="BX194" s="30" t="n">
        <f aca="false">CA193</f>
        <v>0</v>
      </c>
      <c r="BY194" s="30" t="n">
        <f aca="false">BX194*$BR$5/12</f>
        <v>0</v>
      </c>
      <c r="BZ194" s="30" t="n">
        <f aca="false">MIN($BR$6,BX194+BY194)</f>
        <v>0</v>
      </c>
      <c r="CA194" s="30" t="n">
        <f aca="false">BX194+BY194-BZ194</f>
        <v>0</v>
      </c>
      <c r="CB194" s="30" t="n">
        <f aca="false">CG193</f>
        <v>0</v>
      </c>
      <c r="CC194" s="30" t="n">
        <f aca="false">CB194*$CB$5/12</f>
        <v>0</v>
      </c>
      <c r="CD194" s="30" t="n">
        <f aca="false">MIN($CB$6,CB194+CC194)</f>
        <v>0</v>
      </c>
      <c r="CE194" s="30" t="n">
        <f aca="false">MAX(0,MIN(BV194,CB194+CC194-CD194))</f>
        <v>0</v>
      </c>
      <c r="CF194" s="29" t="n">
        <f aca="false">BV194-CE194</f>
        <v>690</v>
      </c>
      <c r="CG194" s="30" t="n">
        <f aca="false">CB194+CC194-CD194-CE194</f>
        <v>0</v>
      </c>
      <c r="CH194" s="30" t="n">
        <f aca="false">CK193</f>
        <v>0</v>
      </c>
      <c r="CI194" s="30" t="n">
        <f aca="false">CH194*$CB$5/12</f>
        <v>0</v>
      </c>
      <c r="CJ194" s="30" t="n">
        <f aca="false">MIN($CB$6,CH194+CI194)</f>
        <v>0</v>
      </c>
      <c r="CK194" s="30" t="n">
        <f aca="false">CH194+CI194-CJ194</f>
        <v>0</v>
      </c>
    </row>
    <row r="195" customFormat="false" ht="15" hidden="false" customHeight="false" outlineLevel="0" collapsed="false">
      <c r="A195" s="0" t="n">
        <v>187</v>
      </c>
      <c r="B195" s="29" t="n">
        <f aca="false">'1 Your debts'!$B$16-(L195+V195+AF195+AP195+AZ195+BJ195+BT195+CD195)</f>
        <v>690</v>
      </c>
      <c r="C195" s="34" t="n">
        <f aca="false">O195+Y195+AI195+AS195+BC195+BM195+BW195+CG195</f>
        <v>0</v>
      </c>
      <c r="D195" s="34" t="n">
        <f aca="false">K195+U195+AE195+AO195+AY195+BI195+BS195+CC195</f>
        <v>0</v>
      </c>
      <c r="F195" s="34" t="n">
        <f aca="false">S195+AC195+AM195+AW195+BG195+BQ195+CA195+CK195</f>
        <v>0</v>
      </c>
      <c r="G195" s="34" t="n">
        <f aca="false">Q195+AA195+AK195+AU195+BE195+BO195+BY195+CI195</f>
        <v>0</v>
      </c>
      <c r="J195" s="34" t="n">
        <f aca="false">O194</f>
        <v>0</v>
      </c>
      <c r="K195" s="34" t="n">
        <f aca="false">J195*$J$5/12</f>
        <v>0</v>
      </c>
      <c r="L195" s="29" t="n">
        <f aca="false">MIN($J$6,J195+K195)</f>
        <v>0</v>
      </c>
      <c r="M195" s="30" t="n">
        <f aca="false">MAX(0,MIN($B195,J195+K195-L195))</f>
        <v>0</v>
      </c>
      <c r="N195" s="29" t="n">
        <f aca="false">$B195-M195</f>
        <v>690</v>
      </c>
      <c r="O195" s="34" t="n">
        <f aca="false">J195+K195-L195-M195</f>
        <v>0</v>
      </c>
      <c r="P195" s="34" t="n">
        <f aca="false">S194</f>
        <v>0</v>
      </c>
      <c r="Q195" s="34" t="n">
        <f aca="false">P195*$J$5/12</f>
        <v>0</v>
      </c>
      <c r="R195" s="29" t="n">
        <f aca="false">MIN($J$6,P195+Q195)</f>
        <v>0</v>
      </c>
      <c r="S195" s="34" t="n">
        <f aca="false">P195+Q195-R195</f>
        <v>0</v>
      </c>
      <c r="T195" s="34" t="n">
        <f aca="false">Y194</f>
        <v>0</v>
      </c>
      <c r="U195" s="34" t="n">
        <f aca="false">T195*$T$5/12</f>
        <v>0</v>
      </c>
      <c r="V195" s="29" t="n">
        <f aca="false">MIN($T$6,T195+U195)</f>
        <v>0</v>
      </c>
      <c r="W195" s="30" t="n">
        <f aca="false">MAX(0,MIN(N195,T195+U195-V195))</f>
        <v>0</v>
      </c>
      <c r="X195" s="29" t="n">
        <f aca="false">N195-W195</f>
        <v>690</v>
      </c>
      <c r="Y195" s="34" t="n">
        <f aca="false">T195+U195-V195-W195</f>
        <v>0</v>
      </c>
      <c r="Z195" s="34" t="n">
        <f aca="false">AC194</f>
        <v>0</v>
      </c>
      <c r="AA195" s="34" t="n">
        <f aca="false">Z195*$T$5/12</f>
        <v>0</v>
      </c>
      <c r="AB195" s="29" t="n">
        <f aca="false">MIN($T$6,Z195+AA195)</f>
        <v>0</v>
      </c>
      <c r="AC195" s="34" t="n">
        <f aca="false">Z195+AA195-AB195</f>
        <v>0</v>
      </c>
      <c r="AD195" s="34" t="n">
        <f aca="false">AI194</f>
        <v>0</v>
      </c>
      <c r="AE195" s="34" t="n">
        <f aca="false">AD195*$AD$5/12</f>
        <v>0</v>
      </c>
      <c r="AF195" s="29" t="n">
        <f aca="false">MIN($AD$6,AD195+AE195)</f>
        <v>0</v>
      </c>
      <c r="AG195" s="30" t="n">
        <f aca="false">MAX(0,MIN(X195,AD195+AE195-AF195))</f>
        <v>0</v>
      </c>
      <c r="AH195" s="29" t="n">
        <f aca="false">X195-AG195</f>
        <v>690</v>
      </c>
      <c r="AI195" s="34" t="n">
        <f aca="false">AD195+AE195-AF195-AG195</f>
        <v>0</v>
      </c>
      <c r="AJ195" s="34" t="n">
        <f aca="false">AM194</f>
        <v>0</v>
      </c>
      <c r="AK195" s="34" t="n">
        <f aca="false">AJ195*$AD$5/12</f>
        <v>0</v>
      </c>
      <c r="AL195" s="29" t="n">
        <f aca="false">MIN($AD$6,AJ195+AK195)</f>
        <v>0</v>
      </c>
      <c r="AM195" s="34" t="n">
        <f aca="false">AJ195+AK195-AL195</f>
        <v>0</v>
      </c>
      <c r="AN195" s="34" t="n">
        <f aca="false">AS194</f>
        <v>0</v>
      </c>
      <c r="AO195" s="34" t="n">
        <f aca="false">AN195*$AN$5/12</f>
        <v>0</v>
      </c>
      <c r="AP195" s="29" t="n">
        <f aca="false">MIN($AN$6,AN195+AO195)</f>
        <v>0</v>
      </c>
      <c r="AQ195" s="30" t="n">
        <f aca="false">MAX(0,MIN(AH195,AN195+AO195-AP195))</f>
        <v>0</v>
      </c>
      <c r="AR195" s="29" t="n">
        <f aca="false">AH195-AQ195</f>
        <v>690</v>
      </c>
      <c r="AS195" s="34" t="n">
        <f aca="false">AN195+AO195-AP195-AQ195</f>
        <v>0</v>
      </c>
      <c r="AT195" s="34" t="n">
        <f aca="false">AW194</f>
        <v>0</v>
      </c>
      <c r="AU195" s="34" t="n">
        <f aca="false">AT195*$AN$5/12</f>
        <v>0</v>
      </c>
      <c r="AV195" s="29" t="n">
        <f aca="false">MIN($AN$6,AT195+AU195)</f>
        <v>0</v>
      </c>
      <c r="AW195" s="34" t="n">
        <f aca="false">AT195+AU195-AV195</f>
        <v>0</v>
      </c>
      <c r="AX195" s="30" t="n">
        <f aca="false">BC194</f>
        <v>0</v>
      </c>
      <c r="AY195" s="30" t="n">
        <f aca="false">AX195*$AX$5/12</f>
        <v>0</v>
      </c>
      <c r="AZ195" s="30" t="n">
        <f aca="false">MIN($AX$6,AX195+AY195)</f>
        <v>0</v>
      </c>
      <c r="BA195" s="30" t="n">
        <f aca="false">MAX(0,MIN(AR195,AX195+AY195-AZ195))</f>
        <v>0</v>
      </c>
      <c r="BB195" s="29" t="n">
        <f aca="false">AR195-BA195</f>
        <v>690</v>
      </c>
      <c r="BC195" s="30" t="n">
        <f aca="false">AX195+AY195-AZ195-BA195</f>
        <v>0</v>
      </c>
      <c r="BD195" s="30" t="n">
        <f aca="false">BG194</f>
        <v>0</v>
      </c>
      <c r="BE195" s="30" t="n">
        <f aca="false">BD195*$AX$5/12</f>
        <v>0</v>
      </c>
      <c r="BF195" s="30" t="n">
        <f aca="false">MIN($AX$6,BD195+BE195)</f>
        <v>0</v>
      </c>
      <c r="BG195" s="30" t="n">
        <f aca="false">BD195+BE195-BF195</f>
        <v>0</v>
      </c>
      <c r="BH195" s="30" t="n">
        <f aca="false">BM194</f>
        <v>0</v>
      </c>
      <c r="BI195" s="30" t="n">
        <f aca="false">BH195*$BH$5/12</f>
        <v>0</v>
      </c>
      <c r="BJ195" s="30" t="n">
        <f aca="false">MIN($BH$6,BH195+BI195)</f>
        <v>0</v>
      </c>
      <c r="BK195" s="30" t="n">
        <f aca="false">MAX(0,MIN(BB195,BH195+BI195-BJ195))</f>
        <v>0</v>
      </c>
      <c r="BL195" s="29" t="n">
        <f aca="false">BB195-BK195</f>
        <v>690</v>
      </c>
      <c r="BM195" s="30" t="n">
        <f aca="false">BH195+BI195-BJ195-BK195</f>
        <v>0</v>
      </c>
      <c r="BN195" s="30" t="n">
        <f aca="false">BQ194</f>
        <v>0</v>
      </c>
      <c r="BO195" s="30" t="n">
        <f aca="false">BN195*$BH$5/12</f>
        <v>0</v>
      </c>
      <c r="BP195" s="30" t="n">
        <f aca="false">MIN($BH$6,BN195+BO195)</f>
        <v>0</v>
      </c>
      <c r="BQ195" s="30" t="n">
        <f aca="false">BN195+BO195-BP195</f>
        <v>0</v>
      </c>
      <c r="BR195" s="30" t="n">
        <f aca="false">BW194</f>
        <v>0</v>
      </c>
      <c r="BS195" s="30" t="n">
        <f aca="false">BR195*$BR$5/12</f>
        <v>0</v>
      </c>
      <c r="BT195" s="30" t="n">
        <f aca="false">MIN($BR$6,BR195+BS195)</f>
        <v>0</v>
      </c>
      <c r="BU195" s="30" t="n">
        <f aca="false">MAX(0,MIN(BL195,BR195+BS195-BT195))</f>
        <v>0</v>
      </c>
      <c r="BV195" s="29" t="n">
        <f aca="false">BL195-BU195</f>
        <v>690</v>
      </c>
      <c r="BW195" s="30" t="n">
        <f aca="false">BR195+BS195-BT195-BU195</f>
        <v>0</v>
      </c>
      <c r="BX195" s="30" t="n">
        <f aca="false">CA194</f>
        <v>0</v>
      </c>
      <c r="BY195" s="30" t="n">
        <f aca="false">BX195*$BR$5/12</f>
        <v>0</v>
      </c>
      <c r="BZ195" s="30" t="n">
        <f aca="false">MIN($BR$6,BX195+BY195)</f>
        <v>0</v>
      </c>
      <c r="CA195" s="30" t="n">
        <f aca="false">BX195+BY195-BZ195</f>
        <v>0</v>
      </c>
      <c r="CB195" s="30" t="n">
        <f aca="false">CG194</f>
        <v>0</v>
      </c>
      <c r="CC195" s="30" t="n">
        <f aca="false">CB195*$CB$5/12</f>
        <v>0</v>
      </c>
      <c r="CD195" s="30" t="n">
        <f aca="false">MIN($CB$6,CB195+CC195)</f>
        <v>0</v>
      </c>
      <c r="CE195" s="30" t="n">
        <f aca="false">MAX(0,MIN(BV195,CB195+CC195-CD195))</f>
        <v>0</v>
      </c>
      <c r="CF195" s="29" t="n">
        <f aca="false">BV195-CE195</f>
        <v>690</v>
      </c>
      <c r="CG195" s="30" t="n">
        <f aca="false">CB195+CC195-CD195-CE195</f>
        <v>0</v>
      </c>
      <c r="CH195" s="30" t="n">
        <f aca="false">CK194</f>
        <v>0</v>
      </c>
      <c r="CI195" s="30" t="n">
        <f aca="false">CH195*$CB$5/12</f>
        <v>0</v>
      </c>
      <c r="CJ195" s="30" t="n">
        <f aca="false">MIN($CB$6,CH195+CI195)</f>
        <v>0</v>
      </c>
      <c r="CK195" s="30" t="n">
        <f aca="false">CH195+CI195-CJ195</f>
        <v>0</v>
      </c>
    </row>
    <row r="196" customFormat="false" ht="15" hidden="false" customHeight="false" outlineLevel="0" collapsed="false">
      <c r="A196" s="0" t="n">
        <v>188</v>
      </c>
      <c r="B196" s="29" t="n">
        <f aca="false">'1 Your debts'!$B$16-(L196+V196+AF196+AP196+AZ196+BJ196+BT196+CD196)</f>
        <v>690</v>
      </c>
      <c r="C196" s="34" t="n">
        <f aca="false">O196+Y196+AI196+AS196+BC196+BM196+BW196+CG196</f>
        <v>0</v>
      </c>
      <c r="D196" s="34" t="n">
        <f aca="false">K196+U196+AE196+AO196+AY196+BI196+BS196+CC196</f>
        <v>0</v>
      </c>
      <c r="F196" s="34" t="n">
        <f aca="false">S196+AC196+AM196+AW196+BG196+BQ196+CA196+CK196</f>
        <v>0</v>
      </c>
      <c r="G196" s="34" t="n">
        <f aca="false">Q196+AA196+AK196+AU196+BE196+BO196+BY196+CI196</f>
        <v>0</v>
      </c>
      <c r="J196" s="34" t="n">
        <f aca="false">O195</f>
        <v>0</v>
      </c>
      <c r="K196" s="34" t="n">
        <f aca="false">J196*$J$5/12</f>
        <v>0</v>
      </c>
      <c r="L196" s="29" t="n">
        <f aca="false">MIN($J$6,J196+K196)</f>
        <v>0</v>
      </c>
      <c r="M196" s="30" t="n">
        <f aca="false">MAX(0,MIN($B196,J196+K196-L196))</f>
        <v>0</v>
      </c>
      <c r="N196" s="29" t="n">
        <f aca="false">$B196-M196</f>
        <v>690</v>
      </c>
      <c r="O196" s="34" t="n">
        <f aca="false">J196+K196-L196-M196</f>
        <v>0</v>
      </c>
      <c r="P196" s="34" t="n">
        <f aca="false">S195</f>
        <v>0</v>
      </c>
      <c r="Q196" s="34" t="n">
        <f aca="false">P196*$J$5/12</f>
        <v>0</v>
      </c>
      <c r="R196" s="29" t="n">
        <f aca="false">MIN($J$6,P196+Q196)</f>
        <v>0</v>
      </c>
      <c r="S196" s="34" t="n">
        <f aca="false">P196+Q196-R196</f>
        <v>0</v>
      </c>
      <c r="T196" s="34" t="n">
        <f aca="false">Y195</f>
        <v>0</v>
      </c>
      <c r="U196" s="34" t="n">
        <f aca="false">T196*$T$5/12</f>
        <v>0</v>
      </c>
      <c r="V196" s="29" t="n">
        <f aca="false">MIN($T$6,T196+U196)</f>
        <v>0</v>
      </c>
      <c r="W196" s="30" t="n">
        <f aca="false">MAX(0,MIN(N196,T196+U196-V196))</f>
        <v>0</v>
      </c>
      <c r="X196" s="29" t="n">
        <f aca="false">N196-W196</f>
        <v>690</v>
      </c>
      <c r="Y196" s="34" t="n">
        <f aca="false">T196+U196-V196-W196</f>
        <v>0</v>
      </c>
      <c r="Z196" s="34" t="n">
        <f aca="false">AC195</f>
        <v>0</v>
      </c>
      <c r="AA196" s="34" t="n">
        <f aca="false">Z196*$T$5/12</f>
        <v>0</v>
      </c>
      <c r="AB196" s="29" t="n">
        <f aca="false">MIN($T$6,Z196+AA196)</f>
        <v>0</v>
      </c>
      <c r="AC196" s="34" t="n">
        <f aca="false">Z196+AA196-AB196</f>
        <v>0</v>
      </c>
      <c r="AD196" s="34" t="n">
        <f aca="false">AI195</f>
        <v>0</v>
      </c>
      <c r="AE196" s="34" t="n">
        <f aca="false">AD196*$AD$5/12</f>
        <v>0</v>
      </c>
      <c r="AF196" s="29" t="n">
        <f aca="false">MIN($AD$6,AD196+AE196)</f>
        <v>0</v>
      </c>
      <c r="AG196" s="30" t="n">
        <f aca="false">MAX(0,MIN(X196,AD196+AE196-AF196))</f>
        <v>0</v>
      </c>
      <c r="AH196" s="29" t="n">
        <f aca="false">X196-AG196</f>
        <v>690</v>
      </c>
      <c r="AI196" s="34" t="n">
        <f aca="false">AD196+AE196-AF196-AG196</f>
        <v>0</v>
      </c>
      <c r="AJ196" s="34" t="n">
        <f aca="false">AM195</f>
        <v>0</v>
      </c>
      <c r="AK196" s="34" t="n">
        <f aca="false">AJ196*$AD$5/12</f>
        <v>0</v>
      </c>
      <c r="AL196" s="29" t="n">
        <f aca="false">MIN($AD$6,AJ196+AK196)</f>
        <v>0</v>
      </c>
      <c r="AM196" s="34" t="n">
        <f aca="false">AJ196+AK196-AL196</f>
        <v>0</v>
      </c>
      <c r="AN196" s="34" t="n">
        <f aca="false">AS195</f>
        <v>0</v>
      </c>
      <c r="AO196" s="34" t="n">
        <f aca="false">AN196*$AN$5/12</f>
        <v>0</v>
      </c>
      <c r="AP196" s="29" t="n">
        <f aca="false">MIN($AN$6,AN196+AO196)</f>
        <v>0</v>
      </c>
      <c r="AQ196" s="30" t="n">
        <f aca="false">MAX(0,MIN(AH196,AN196+AO196-AP196))</f>
        <v>0</v>
      </c>
      <c r="AR196" s="29" t="n">
        <f aca="false">AH196-AQ196</f>
        <v>690</v>
      </c>
      <c r="AS196" s="34" t="n">
        <f aca="false">AN196+AO196-AP196-AQ196</f>
        <v>0</v>
      </c>
      <c r="AT196" s="34" t="n">
        <f aca="false">AW195</f>
        <v>0</v>
      </c>
      <c r="AU196" s="34" t="n">
        <f aca="false">AT196*$AN$5/12</f>
        <v>0</v>
      </c>
      <c r="AV196" s="29" t="n">
        <f aca="false">MIN($AN$6,AT196+AU196)</f>
        <v>0</v>
      </c>
      <c r="AW196" s="34" t="n">
        <f aca="false">AT196+AU196-AV196</f>
        <v>0</v>
      </c>
      <c r="AX196" s="30" t="n">
        <f aca="false">BC195</f>
        <v>0</v>
      </c>
      <c r="AY196" s="30" t="n">
        <f aca="false">AX196*$AX$5/12</f>
        <v>0</v>
      </c>
      <c r="AZ196" s="30" t="n">
        <f aca="false">MIN($AX$6,AX196+AY196)</f>
        <v>0</v>
      </c>
      <c r="BA196" s="30" t="n">
        <f aca="false">MAX(0,MIN(AR196,AX196+AY196-AZ196))</f>
        <v>0</v>
      </c>
      <c r="BB196" s="29" t="n">
        <f aca="false">AR196-BA196</f>
        <v>690</v>
      </c>
      <c r="BC196" s="30" t="n">
        <f aca="false">AX196+AY196-AZ196-BA196</f>
        <v>0</v>
      </c>
      <c r="BD196" s="30" t="n">
        <f aca="false">BG195</f>
        <v>0</v>
      </c>
      <c r="BE196" s="30" t="n">
        <f aca="false">BD196*$AX$5/12</f>
        <v>0</v>
      </c>
      <c r="BF196" s="30" t="n">
        <f aca="false">MIN($AX$6,BD196+BE196)</f>
        <v>0</v>
      </c>
      <c r="BG196" s="30" t="n">
        <f aca="false">BD196+BE196-BF196</f>
        <v>0</v>
      </c>
      <c r="BH196" s="30" t="n">
        <f aca="false">BM195</f>
        <v>0</v>
      </c>
      <c r="BI196" s="30" t="n">
        <f aca="false">BH196*$BH$5/12</f>
        <v>0</v>
      </c>
      <c r="BJ196" s="30" t="n">
        <f aca="false">MIN($BH$6,BH196+BI196)</f>
        <v>0</v>
      </c>
      <c r="BK196" s="30" t="n">
        <f aca="false">MAX(0,MIN(BB196,BH196+BI196-BJ196))</f>
        <v>0</v>
      </c>
      <c r="BL196" s="29" t="n">
        <f aca="false">BB196-BK196</f>
        <v>690</v>
      </c>
      <c r="BM196" s="30" t="n">
        <f aca="false">BH196+BI196-BJ196-BK196</f>
        <v>0</v>
      </c>
      <c r="BN196" s="30" t="n">
        <f aca="false">BQ195</f>
        <v>0</v>
      </c>
      <c r="BO196" s="30" t="n">
        <f aca="false">BN196*$BH$5/12</f>
        <v>0</v>
      </c>
      <c r="BP196" s="30" t="n">
        <f aca="false">MIN($BH$6,BN196+BO196)</f>
        <v>0</v>
      </c>
      <c r="BQ196" s="30" t="n">
        <f aca="false">BN196+BO196-BP196</f>
        <v>0</v>
      </c>
      <c r="BR196" s="30" t="n">
        <f aca="false">BW195</f>
        <v>0</v>
      </c>
      <c r="BS196" s="30" t="n">
        <f aca="false">BR196*$BR$5/12</f>
        <v>0</v>
      </c>
      <c r="BT196" s="30" t="n">
        <f aca="false">MIN($BR$6,BR196+BS196)</f>
        <v>0</v>
      </c>
      <c r="BU196" s="30" t="n">
        <f aca="false">MAX(0,MIN(BL196,BR196+BS196-BT196))</f>
        <v>0</v>
      </c>
      <c r="BV196" s="29" t="n">
        <f aca="false">BL196-BU196</f>
        <v>690</v>
      </c>
      <c r="BW196" s="30" t="n">
        <f aca="false">BR196+BS196-BT196-BU196</f>
        <v>0</v>
      </c>
      <c r="BX196" s="30" t="n">
        <f aca="false">CA195</f>
        <v>0</v>
      </c>
      <c r="BY196" s="30" t="n">
        <f aca="false">BX196*$BR$5/12</f>
        <v>0</v>
      </c>
      <c r="BZ196" s="30" t="n">
        <f aca="false">MIN($BR$6,BX196+BY196)</f>
        <v>0</v>
      </c>
      <c r="CA196" s="30" t="n">
        <f aca="false">BX196+BY196-BZ196</f>
        <v>0</v>
      </c>
      <c r="CB196" s="30" t="n">
        <f aca="false">CG195</f>
        <v>0</v>
      </c>
      <c r="CC196" s="30" t="n">
        <f aca="false">CB196*$CB$5/12</f>
        <v>0</v>
      </c>
      <c r="CD196" s="30" t="n">
        <f aca="false">MIN($CB$6,CB196+CC196)</f>
        <v>0</v>
      </c>
      <c r="CE196" s="30" t="n">
        <f aca="false">MAX(0,MIN(BV196,CB196+CC196-CD196))</f>
        <v>0</v>
      </c>
      <c r="CF196" s="29" t="n">
        <f aca="false">BV196-CE196</f>
        <v>690</v>
      </c>
      <c r="CG196" s="30" t="n">
        <f aca="false">CB196+CC196-CD196-CE196</f>
        <v>0</v>
      </c>
      <c r="CH196" s="30" t="n">
        <f aca="false">CK195</f>
        <v>0</v>
      </c>
      <c r="CI196" s="30" t="n">
        <f aca="false">CH196*$CB$5/12</f>
        <v>0</v>
      </c>
      <c r="CJ196" s="30" t="n">
        <f aca="false">MIN($CB$6,CH196+CI196)</f>
        <v>0</v>
      </c>
      <c r="CK196" s="30" t="n">
        <f aca="false">CH196+CI196-CJ196</f>
        <v>0</v>
      </c>
    </row>
    <row r="197" customFormat="false" ht="15" hidden="false" customHeight="false" outlineLevel="0" collapsed="false">
      <c r="A197" s="0" t="n">
        <v>189</v>
      </c>
      <c r="B197" s="29" t="n">
        <f aca="false">'1 Your debts'!$B$16-(L197+V197+AF197+AP197+AZ197+BJ197+BT197+CD197)</f>
        <v>690</v>
      </c>
      <c r="C197" s="34" t="n">
        <f aca="false">O197+Y197+AI197+AS197+BC197+BM197+BW197+CG197</f>
        <v>0</v>
      </c>
      <c r="D197" s="34" t="n">
        <f aca="false">K197+U197+AE197+AO197+AY197+BI197+BS197+CC197</f>
        <v>0</v>
      </c>
      <c r="F197" s="34" t="n">
        <f aca="false">S197+AC197+AM197+AW197+BG197+BQ197+CA197+CK197</f>
        <v>0</v>
      </c>
      <c r="G197" s="34" t="n">
        <f aca="false">Q197+AA197+AK197+AU197+BE197+BO197+BY197+CI197</f>
        <v>0</v>
      </c>
      <c r="J197" s="34" t="n">
        <f aca="false">O196</f>
        <v>0</v>
      </c>
      <c r="K197" s="34" t="n">
        <f aca="false">J197*$J$5/12</f>
        <v>0</v>
      </c>
      <c r="L197" s="29" t="n">
        <f aca="false">MIN($J$6,J197+K197)</f>
        <v>0</v>
      </c>
      <c r="M197" s="30" t="n">
        <f aca="false">MAX(0,MIN($B197,J197+K197-L197))</f>
        <v>0</v>
      </c>
      <c r="N197" s="29" t="n">
        <f aca="false">$B197-M197</f>
        <v>690</v>
      </c>
      <c r="O197" s="34" t="n">
        <f aca="false">J197+K197-L197-M197</f>
        <v>0</v>
      </c>
      <c r="P197" s="34" t="n">
        <f aca="false">S196</f>
        <v>0</v>
      </c>
      <c r="Q197" s="34" t="n">
        <f aca="false">P197*$J$5/12</f>
        <v>0</v>
      </c>
      <c r="R197" s="29" t="n">
        <f aca="false">MIN($J$6,P197+Q197)</f>
        <v>0</v>
      </c>
      <c r="S197" s="34" t="n">
        <f aca="false">P197+Q197-R197</f>
        <v>0</v>
      </c>
      <c r="T197" s="34" t="n">
        <f aca="false">Y196</f>
        <v>0</v>
      </c>
      <c r="U197" s="34" t="n">
        <f aca="false">T197*$T$5/12</f>
        <v>0</v>
      </c>
      <c r="V197" s="29" t="n">
        <f aca="false">MIN($T$6,T197+U197)</f>
        <v>0</v>
      </c>
      <c r="W197" s="30" t="n">
        <f aca="false">MAX(0,MIN(N197,T197+U197-V197))</f>
        <v>0</v>
      </c>
      <c r="X197" s="29" t="n">
        <f aca="false">N197-W197</f>
        <v>690</v>
      </c>
      <c r="Y197" s="34" t="n">
        <f aca="false">T197+U197-V197-W197</f>
        <v>0</v>
      </c>
      <c r="Z197" s="34" t="n">
        <f aca="false">AC196</f>
        <v>0</v>
      </c>
      <c r="AA197" s="34" t="n">
        <f aca="false">Z197*$T$5/12</f>
        <v>0</v>
      </c>
      <c r="AB197" s="29" t="n">
        <f aca="false">MIN($T$6,Z197+AA197)</f>
        <v>0</v>
      </c>
      <c r="AC197" s="34" t="n">
        <f aca="false">Z197+AA197-AB197</f>
        <v>0</v>
      </c>
      <c r="AD197" s="34" t="n">
        <f aca="false">AI196</f>
        <v>0</v>
      </c>
      <c r="AE197" s="34" t="n">
        <f aca="false">AD197*$AD$5/12</f>
        <v>0</v>
      </c>
      <c r="AF197" s="29" t="n">
        <f aca="false">MIN($AD$6,AD197+AE197)</f>
        <v>0</v>
      </c>
      <c r="AG197" s="30" t="n">
        <f aca="false">MAX(0,MIN(X197,AD197+AE197-AF197))</f>
        <v>0</v>
      </c>
      <c r="AH197" s="29" t="n">
        <f aca="false">X197-AG197</f>
        <v>690</v>
      </c>
      <c r="AI197" s="34" t="n">
        <f aca="false">AD197+AE197-AF197-AG197</f>
        <v>0</v>
      </c>
      <c r="AJ197" s="34" t="n">
        <f aca="false">AM196</f>
        <v>0</v>
      </c>
      <c r="AK197" s="34" t="n">
        <f aca="false">AJ197*$AD$5/12</f>
        <v>0</v>
      </c>
      <c r="AL197" s="29" t="n">
        <f aca="false">MIN($AD$6,AJ197+AK197)</f>
        <v>0</v>
      </c>
      <c r="AM197" s="34" t="n">
        <f aca="false">AJ197+AK197-AL197</f>
        <v>0</v>
      </c>
      <c r="AN197" s="34" t="n">
        <f aca="false">AS196</f>
        <v>0</v>
      </c>
      <c r="AO197" s="34" t="n">
        <f aca="false">AN197*$AN$5/12</f>
        <v>0</v>
      </c>
      <c r="AP197" s="29" t="n">
        <f aca="false">MIN($AN$6,AN197+AO197)</f>
        <v>0</v>
      </c>
      <c r="AQ197" s="30" t="n">
        <f aca="false">MAX(0,MIN(AH197,AN197+AO197-AP197))</f>
        <v>0</v>
      </c>
      <c r="AR197" s="29" t="n">
        <f aca="false">AH197-AQ197</f>
        <v>690</v>
      </c>
      <c r="AS197" s="34" t="n">
        <f aca="false">AN197+AO197-AP197-AQ197</f>
        <v>0</v>
      </c>
      <c r="AT197" s="34" t="n">
        <f aca="false">AW196</f>
        <v>0</v>
      </c>
      <c r="AU197" s="34" t="n">
        <f aca="false">AT197*$AN$5/12</f>
        <v>0</v>
      </c>
      <c r="AV197" s="29" t="n">
        <f aca="false">MIN($AN$6,AT197+AU197)</f>
        <v>0</v>
      </c>
      <c r="AW197" s="34" t="n">
        <f aca="false">AT197+AU197-AV197</f>
        <v>0</v>
      </c>
      <c r="AX197" s="30" t="n">
        <f aca="false">BC196</f>
        <v>0</v>
      </c>
      <c r="AY197" s="30" t="n">
        <f aca="false">AX197*$AX$5/12</f>
        <v>0</v>
      </c>
      <c r="AZ197" s="30" t="n">
        <f aca="false">MIN($AX$6,AX197+AY197)</f>
        <v>0</v>
      </c>
      <c r="BA197" s="30" t="n">
        <f aca="false">MAX(0,MIN(AR197,AX197+AY197-AZ197))</f>
        <v>0</v>
      </c>
      <c r="BB197" s="29" t="n">
        <f aca="false">AR197-BA197</f>
        <v>690</v>
      </c>
      <c r="BC197" s="30" t="n">
        <f aca="false">AX197+AY197-AZ197-BA197</f>
        <v>0</v>
      </c>
      <c r="BD197" s="30" t="n">
        <f aca="false">BG196</f>
        <v>0</v>
      </c>
      <c r="BE197" s="30" t="n">
        <f aca="false">BD197*$AX$5/12</f>
        <v>0</v>
      </c>
      <c r="BF197" s="30" t="n">
        <f aca="false">MIN($AX$6,BD197+BE197)</f>
        <v>0</v>
      </c>
      <c r="BG197" s="30" t="n">
        <f aca="false">BD197+BE197-BF197</f>
        <v>0</v>
      </c>
      <c r="BH197" s="30" t="n">
        <f aca="false">BM196</f>
        <v>0</v>
      </c>
      <c r="BI197" s="30" t="n">
        <f aca="false">BH197*$BH$5/12</f>
        <v>0</v>
      </c>
      <c r="BJ197" s="30" t="n">
        <f aca="false">MIN($BH$6,BH197+BI197)</f>
        <v>0</v>
      </c>
      <c r="BK197" s="30" t="n">
        <f aca="false">MAX(0,MIN(BB197,BH197+BI197-BJ197))</f>
        <v>0</v>
      </c>
      <c r="BL197" s="29" t="n">
        <f aca="false">BB197-BK197</f>
        <v>690</v>
      </c>
      <c r="BM197" s="30" t="n">
        <f aca="false">BH197+BI197-BJ197-BK197</f>
        <v>0</v>
      </c>
      <c r="BN197" s="30" t="n">
        <f aca="false">BQ196</f>
        <v>0</v>
      </c>
      <c r="BO197" s="30" t="n">
        <f aca="false">BN197*$BH$5/12</f>
        <v>0</v>
      </c>
      <c r="BP197" s="30" t="n">
        <f aca="false">MIN($BH$6,BN197+BO197)</f>
        <v>0</v>
      </c>
      <c r="BQ197" s="30" t="n">
        <f aca="false">BN197+BO197-BP197</f>
        <v>0</v>
      </c>
      <c r="BR197" s="30" t="n">
        <f aca="false">BW196</f>
        <v>0</v>
      </c>
      <c r="BS197" s="30" t="n">
        <f aca="false">BR197*$BR$5/12</f>
        <v>0</v>
      </c>
      <c r="BT197" s="30" t="n">
        <f aca="false">MIN($BR$6,BR197+BS197)</f>
        <v>0</v>
      </c>
      <c r="BU197" s="30" t="n">
        <f aca="false">MAX(0,MIN(BL197,BR197+BS197-BT197))</f>
        <v>0</v>
      </c>
      <c r="BV197" s="29" t="n">
        <f aca="false">BL197-BU197</f>
        <v>690</v>
      </c>
      <c r="BW197" s="30" t="n">
        <f aca="false">BR197+BS197-BT197-BU197</f>
        <v>0</v>
      </c>
      <c r="BX197" s="30" t="n">
        <f aca="false">CA196</f>
        <v>0</v>
      </c>
      <c r="BY197" s="30" t="n">
        <f aca="false">BX197*$BR$5/12</f>
        <v>0</v>
      </c>
      <c r="BZ197" s="30" t="n">
        <f aca="false">MIN($BR$6,BX197+BY197)</f>
        <v>0</v>
      </c>
      <c r="CA197" s="30" t="n">
        <f aca="false">BX197+BY197-BZ197</f>
        <v>0</v>
      </c>
      <c r="CB197" s="30" t="n">
        <f aca="false">CG196</f>
        <v>0</v>
      </c>
      <c r="CC197" s="30" t="n">
        <f aca="false">CB197*$CB$5/12</f>
        <v>0</v>
      </c>
      <c r="CD197" s="30" t="n">
        <f aca="false">MIN($CB$6,CB197+CC197)</f>
        <v>0</v>
      </c>
      <c r="CE197" s="30" t="n">
        <f aca="false">MAX(0,MIN(BV197,CB197+CC197-CD197))</f>
        <v>0</v>
      </c>
      <c r="CF197" s="29" t="n">
        <f aca="false">BV197-CE197</f>
        <v>690</v>
      </c>
      <c r="CG197" s="30" t="n">
        <f aca="false">CB197+CC197-CD197-CE197</f>
        <v>0</v>
      </c>
      <c r="CH197" s="30" t="n">
        <f aca="false">CK196</f>
        <v>0</v>
      </c>
      <c r="CI197" s="30" t="n">
        <f aca="false">CH197*$CB$5/12</f>
        <v>0</v>
      </c>
      <c r="CJ197" s="30" t="n">
        <f aca="false">MIN($CB$6,CH197+CI197)</f>
        <v>0</v>
      </c>
      <c r="CK197" s="30" t="n">
        <f aca="false">CH197+CI197-CJ197</f>
        <v>0</v>
      </c>
    </row>
    <row r="198" customFormat="false" ht="15" hidden="false" customHeight="false" outlineLevel="0" collapsed="false">
      <c r="A198" s="0" t="n">
        <v>190</v>
      </c>
      <c r="B198" s="29" t="n">
        <f aca="false">'1 Your debts'!$B$16-(L198+V198+AF198+AP198+AZ198+BJ198+BT198+CD198)</f>
        <v>690</v>
      </c>
      <c r="C198" s="34" t="n">
        <f aca="false">O198+Y198+AI198+AS198+BC198+BM198+BW198+CG198</f>
        <v>0</v>
      </c>
      <c r="D198" s="34" t="n">
        <f aca="false">K198+U198+AE198+AO198+AY198+BI198+BS198+CC198</f>
        <v>0</v>
      </c>
      <c r="F198" s="34" t="n">
        <f aca="false">S198+AC198+AM198+AW198+BG198+BQ198+CA198+CK198</f>
        <v>0</v>
      </c>
      <c r="G198" s="34" t="n">
        <f aca="false">Q198+AA198+AK198+AU198+BE198+BO198+BY198+CI198</f>
        <v>0</v>
      </c>
      <c r="J198" s="34" t="n">
        <f aca="false">O197</f>
        <v>0</v>
      </c>
      <c r="K198" s="34" t="n">
        <f aca="false">J198*$J$5/12</f>
        <v>0</v>
      </c>
      <c r="L198" s="29" t="n">
        <f aca="false">MIN($J$6,J198+K198)</f>
        <v>0</v>
      </c>
      <c r="M198" s="30" t="n">
        <f aca="false">MAX(0,MIN($B198,J198+K198-L198))</f>
        <v>0</v>
      </c>
      <c r="N198" s="29" t="n">
        <f aca="false">$B198-M198</f>
        <v>690</v>
      </c>
      <c r="O198" s="34" t="n">
        <f aca="false">J198+K198-L198-M198</f>
        <v>0</v>
      </c>
      <c r="P198" s="34" t="n">
        <f aca="false">S197</f>
        <v>0</v>
      </c>
      <c r="Q198" s="34" t="n">
        <f aca="false">P198*$J$5/12</f>
        <v>0</v>
      </c>
      <c r="R198" s="29" t="n">
        <f aca="false">MIN($J$6,P198+Q198)</f>
        <v>0</v>
      </c>
      <c r="S198" s="34" t="n">
        <f aca="false">P198+Q198-R198</f>
        <v>0</v>
      </c>
      <c r="T198" s="34" t="n">
        <f aca="false">Y197</f>
        <v>0</v>
      </c>
      <c r="U198" s="34" t="n">
        <f aca="false">T198*$T$5/12</f>
        <v>0</v>
      </c>
      <c r="V198" s="29" t="n">
        <f aca="false">MIN($T$6,T198+U198)</f>
        <v>0</v>
      </c>
      <c r="W198" s="30" t="n">
        <f aca="false">MAX(0,MIN(N198,T198+U198-V198))</f>
        <v>0</v>
      </c>
      <c r="X198" s="29" t="n">
        <f aca="false">N198-W198</f>
        <v>690</v>
      </c>
      <c r="Y198" s="34" t="n">
        <f aca="false">T198+U198-V198-W198</f>
        <v>0</v>
      </c>
      <c r="Z198" s="34" t="n">
        <f aca="false">AC197</f>
        <v>0</v>
      </c>
      <c r="AA198" s="34" t="n">
        <f aca="false">Z198*$T$5/12</f>
        <v>0</v>
      </c>
      <c r="AB198" s="29" t="n">
        <f aca="false">MIN($T$6,Z198+AA198)</f>
        <v>0</v>
      </c>
      <c r="AC198" s="34" t="n">
        <f aca="false">Z198+AA198-AB198</f>
        <v>0</v>
      </c>
      <c r="AD198" s="34" t="n">
        <f aca="false">AI197</f>
        <v>0</v>
      </c>
      <c r="AE198" s="34" t="n">
        <f aca="false">AD198*$AD$5/12</f>
        <v>0</v>
      </c>
      <c r="AF198" s="29" t="n">
        <f aca="false">MIN($AD$6,AD198+AE198)</f>
        <v>0</v>
      </c>
      <c r="AG198" s="30" t="n">
        <f aca="false">MAX(0,MIN(X198,AD198+AE198-AF198))</f>
        <v>0</v>
      </c>
      <c r="AH198" s="29" t="n">
        <f aca="false">X198-AG198</f>
        <v>690</v>
      </c>
      <c r="AI198" s="34" t="n">
        <f aca="false">AD198+AE198-AF198-AG198</f>
        <v>0</v>
      </c>
      <c r="AJ198" s="34" t="n">
        <f aca="false">AM197</f>
        <v>0</v>
      </c>
      <c r="AK198" s="34" t="n">
        <f aca="false">AJ198*$AD$5/12</f>
        <v>0</v>
      </c>
      <c r="AL198" s="29" t="n">
        <f aca="false">MIN($AD$6,AJ198+AK198)</f>
        <v>0</v>
      </c>
      <c r="AM198" s="34" t="n">
        <f aca="false">AJ198+AK198-AL198</f>
        <v>0</v>
      </c>
      <c r="AN198" s="34" t="n">
        <f aca="false">AS197</f>
        <v>0</v>
      </c>
      <c r="AO198" s="34" t="n">
        <f aca="false">AN198*$AN$5/12</f>
        <v>0</v>
      </c>
      <c r="AP198" s="29" t="n">
        <f aca="false">MIN($AN$6,AN198+AO198)</f>
        <v>0</v>
      </c>
      <c r="AQ198" s="30" t="n">
        <f aca="false">MAX(0,MIN(AH198,AN198+AO198-AP198))</f>
        <v>0</v>
      </c>
      <c r="AR198" s="29" t="n">
        <f aca="false">AH198-AQ198</f>
        <v>690</v>
      </c>
      <c r="AS198" s="34" t="n">
        <f aca="false">AN198+AO198-AP198-AQ198</f>
        <v>0</v>
      </c>
      <c r="AT198" s="34" t="n">
        <f aca="false">AW197</f>
        <v>0</v>
      </c>
      <c r="AU198" s="34" t="n">
        <f aca="false">AT198*$AN$5/12</f>
        <v>0</v>
      </c>
      <c r="AV198" s="29" t="n">
        <f aca="false">MIN($AN$6,AT198+AU198)</f>
        <v>0</v>
      </c>
      <c r="AW198" s="34" t="n">
        <f aca="false">AT198+AU198-AV198</f>
        <v>0</v>
      </c>
      <c r="AX198" s="30" t="n">
        <f aca="false">BC197</f>
        <v>0</v>
      </c>
      <c r="AY198" s="30" t="n">
        <f aca="false">AX198*$AX$5/12</f>
        <v>0</v>
      </c>
      <c r="AZ198" s="30" t="n">
        <f aca="false">MIN($AX$6,AX198+AY198)</f>
        <v>0</v>
      </c>
      <c r="BA198" s="30" t="n">
        <f aca="false">MAX(0,MIN(AR198,AX198+AY198-AZ198))</f>
        <v>0</v>
      </c>
      <c r="BB198" s="29" t="n">
        <f aca="false">AR198-BA198</f>
        <v>690</v>
      </c>
      <c r="BC198" s="30" t="n">
        <f aca="false">AX198+AY198-AZ198-BA198</f>
        <v>0</v>
      </c>
      <c r="BD198" s="30" t="n">
        <f aca="false">BG197</f>
        <v>0</v>
      </c>
      <c r="BE198" s="30" t="n">
        <f aca="false">BD198*$AX$5/12</f>
        <v>0</v>
      </c>
      <c r="BF198" s="30" t="n">
        <f aca="false">MIN($AX$6,BD198+BE198)</f>
        <v>0</v>
      </c>
      <c r="BG198" s="30" t="n">
        <f aca="false">BD198+BE198-BF198</f>
        <v>0</v>
      </c>
      <c r="BH198" s="30" t="n">
        <f aca="false">BM197</f>
        <v>0</v>
      </c>
      <c r="BI198" s="30" t="n">
        <f aca="false">BH198*$BH$5/12</f>
        <v>0</v>
      </c>
      <c r="BJ198" s="30" t="n">
        <f aca="false">MIN($BH$6,BH198+BI198)</f>
        <v>0</v>
      </c>
      <c r="BK198" s="30" t="n">
        <f aca="false">MAX(0,MIN(BB198,BH198+BI198-BJ198))</f>
        <v>0</v>
      </c>
      <c r="BL198" s="29" t="n">
        <f aca="false">BB198-BK198</f>
        <v>690</v>
      </c>
      <c r="BM198" s="30" t="n">
        <f aca="false">BH198+BI198-BJ198-BK198</f>
        <v>0</v>
      </c>
      <c r="BN198" s="30" t="n">
        <f aca="false">BQ197</f>
        <v>0</v>
      </c>
      <c r="BO198" s="30" t="n">
        <f aca="false">BN198*$BH$5/12</f>
        <v>0</v>
      </c>
      <c r="BP198" s="30" t="n">
        <f aca="false">MIN($BH$6,BN198+BO198)</f>
        <v>0</v>
      </c>
      <c r="BQ198" s="30" t="n">
        <f aca="false">BN198+BO198-BP198</f>
        <v>0</v>
      </c>
      <c r="BR198" s="30" t="n">
        <f aca="false">BW197</f>
        <v>0</v>
      </c>
      <c r="BS198" s="30" t="n">
        <f aca="false">BR198*$BR$5/12</f>
        <v>0</v>
      </c>
      <c r="BT198" s="30" t="n">
        <f aca="false">MIN($BR$6,BR198+BS198)</f>
        <v>0</v>
      </c>
      <c r="BU198" s="30" t="n">
        <f aca="false">MAX(0,MIN(BL198,BR198+BS198-BT198))</f>
        <v>0</v>
      </c>
      <c r="BV198" s="29" t="n">
        <f aca="false">BL198-BU198</f>
        <v>690</v>
      </c>
      <c r="BW198" s="30" t="n">
        <f aca="false">BR198+BS198-BT198-BU198</f>
        <v>0</v>
      </c>
      <c r="BX198" s="30" t="n">
        <f aca="false">CA197</f>
        <v>0</v>
      </c>
      <c r="BY198" s="30" t="n">
        <f aca="false">BX198*$BR$5/12</f>
        <v>0</v>
      </c>
      <c r="BZ198" s="30" t="n">
        <f aca="false">MIN($BR$6,BX198+BY198)</f>
        <v>0</v>
      </c>
      <c r="CA198" s="30" t="n">
        <f aca="false">BX198+BY198-BZ198</f>
        <v>0</v>
      </c>
      <c r="CB198" s="30" t="n">
        <f aca="false">CG197</f>
        <v>0</v>
      </c>
      <c r="CC198" s="30" t="n">
        <f aca="false">CB198*$CB$5/12</f>
        <v>0</v>
      </c>
      <c r="CD198" s="30" t="n">
        <f aca="false">MIN($CB$6,CB198+CC198)</f>
        <v>0</v>
      </c>
      <c r="CE198" s="30" t="n">
        <f aca="false">MAX(0,MIN(BV198,CB198+CC198-CD198))</f>
        <v>0</v>
      </c>
      <c r="CF198" s="29" t="n">
        <f aca="false">BV198-CE198</f>
        <v>690</v>
      </c>
      <c r="CG198" s="30" t="n">
        <f aca="false">CB198+CC198-CD198-CE198</f>
        <v>0</v>
      </c>
      <c r="CH198" s="30" t="n">
        <f aca="false">CK197</f>
        <v>0</v>
      </c>
      <c r="CI198" s="30" t="n">
        <f aca="false">CH198*$CB$5/12</f>
        <v>0</v>
      </c>
      <c r="CJ198" s="30" t="n">
        <f aca="false">MIN($CB$6,CH198+CI198)</f>
        <v>0</v>
      </c>
      <c r="CK198" s="30" t="n">
        <f aca="false">CH198+CI198-CJ198</f>
        <v>0</v>
      </c>
    </row>
    <row r="199" customFormat="false" ht="15" hidden="false" customHeight="false" outlineLevel="0" collapsed="false">
      <c r="A199" s="0" t="n">
        <v>191</v>
      </c>
      <c r="B199" s="29" t="n">
        <f aca="false">'1 Your debts'!$B$16-(L199+V199+AF199+AP199+AZ199+BJ199+BT199+CD199)</f>
        <v>690</v>
      </c>
      <c r="C199" s="34" t="n">
        <f aca="false">O199+Y199+AI199+AS199+BC199+BM199+BW199+CG199</f>
        <v>0</v>
      </c>
      <c r="D199" s="34" t="n">
        <f aca="false">K199+U199+AE199+AO199+AY199+BI199+BS199+CC199</f>
        <v>0</v>
      </c>
      <c r="F199" s="34" t="n">
        <f aca="false">S199+AC199+AM199+AW199+BG199+BQ199+CA199+CK199</f>
        <v>0</v>
      </c>
      <c r="G199" s="34" t="n">
        <f aca="false">Q199+AA199+AK199+AU199+BE199+BO199+BY199+CI199</f>
        <v>0</v>
      </c>
      <c r="J199" s="34" t="n">
        <f aca="false">O198</f>
        <v>0</v>
      </c>
      <c r="K199" s="34" t="n">
        <f aca="false">J199*$J$5/12</f>
        <v>0</v>
      </c>
      <c r="L199" s="29" t="n">
        <f aca="false">MIN($J$6,J199+K199)</f>
        <v>0</v>
      </c>
      <c r="M199" s="30" t="n">
        <f aca="false">MAX(0,MIN($B199,J199+K199-L199))</f>
        <v>0</v>
      </c>
      <c r="N199" s="29" t="n">
        <f aca="false">$B199-M199</f>
        <v>690</v>
      </c>
      <c r="O199" s="34" t="n">
        <f aca="false">J199+K199-L199-M199</f>
        <v>0</v>
      </c>
      <c r="P199" s="34" t="n">
        <f aca="false">S198</f>
        <v>0</v>
      </c>
      <c r="Q199" s="34" t="n">
        <f aca="false">P199*$J$5/12</f>
        <v>0</v>
      </c>
      <c r="R199" s="29" t="n">
        <f aca="false">MIN($J$6,P199+Q199)</f>
        <v>0</v>
      </c>
      <c r="S199" s="34" t="n">
        <f aca="false">P199+Q199-R199</f>
        <v>0</v>
      </c>
      <c r="T199" s="34" t="n">
        <f aca="false">Y198</f>
        <v>0</v>
      </c>
      <c r="U199" s="34" t="n">
        <f aca="false">T199*$T$5/12</f>
        <v>0</v>
      </c>
      <c r="V199" s="29" t="n">
        <f aca="false">MIN($T$6,T199+U199)</f>
        <v>0</v>
      </c>
      <c r="W199" s="30" t="n">
        <f aca="false">MAX(0,MIN(N199,T199+U199-V199))</f>
        <v>0</v>
      </c>
      <c r="X199" s="29" t="n">
        <f aca="false">N199-W199</f>
        <v>690</v>
      </c>
      <c r="Y199" s="34" t="n">
        <f aca="false">T199+U199-V199-W199</f>
        <v>0</v>
      </c>
      <c r="Z199" s="34" t="n">
        <f aca="false">AC198</f>
        <v>0</v>
      </c>
      <c r="AA199" s="34" t="n">
        <f aca="false">Z199*$T$5/12</f>
        <v>0</v>
      </c>
      <c r="AB199" s="29" t="n">
        <f aca="false">MIN($T$6,Z199+AA199)</f>
        <v>0</v>
      </c>
      <c r="AC199" s="34" t="n">
        <f aca="false">Z199+AA199-AB199</f>
        <v>0</v>
      </c>
      <c r="AD199" s="34" t="n">
        <f aca="false">AI198</f>
        <v>0</v>
      </c>
      <c r="AE199" s="34" t="n">
        <f aca="false">AD199*$AD$5/12</f>
        <v>0</v>
      </c>
      <c r="AF199" s="29" t="n">
        <f aca="false">MIN($AD$6,AD199+AE199)</f>
        <v>0</v>
      </c>
      <c r="AG199" s="30" t="n">
        <f aca="false">MAX(0,MIN(X199,AD199+AE199-AF199))</f>
        <v>0</v>
      </c>
      <c r="AH199" s="29" t="n">
        <f aca="false">X199-AG199</f>
        <v>690</v>
      </c>
      <c r="AI199" s="34" t="n">
        <f aca="false">AD199+AE199-AF199-AG199</f>
        <v>0</v>
      </c>
      <c r="AJ199" s="34" t="n">
        <f aca="false">AM198</f>
        <v>0</v>
      </c>
      <c r="AK199" s="34" t="n">
        <f aca="false">AJ199*$AD$5/12</f>
        <v>0</v>
      </c>
      <c r="AL199" s="29" t="n">
        <f aca="false">MIN($AD$6,AJ199+AK199)</f>
        <v>0</v>
      </c>
      <c r="AM199" s="34" t="n">
        <f aca="false">AJ199+AK199-AL199</f>
        <v>0</v>
      </c>
      <c r="AN199" s="34" t="n">
        <f aca="false">AS198</f>
        <v>0</v>
      </c>
      <c r="AO199" s="34" t="n">
        <f aca="false">AN199*$AN$5/12</f>
        <v>0</v>
      </c>
      <c r="AP199" s="29" t="n">
        <f aca="false">MIN($AN$6,AN199+AO199)</f>
        <v>0</v>
      </c>
      <c r="AQ199" s="30" t="n">
        <f aca="false">MAX(0,MIN(AH199,AN199+AO199-AP199))</f>
        <v>0</v>
      </c>
      <c r="AR199" s="29" t="n">
        <f aca="false">AH199-AQ199</f>
        <v>690</v>
      </c>
      <c r="AS199" s="34" t="n">
        <f aca="false">AN199+AO199-AP199-AQ199</f>
        <v>0</v>
      </c>
      <c r="AT199" s="34" t="n">
        <f aca="false">AW198</f>
        <v>0</v>
      </c>
      <c r="AU199" s="34" t="n">
        <f aca="false">AT199*$AN$5/12</f>
        <v>0</v>
      </c>
      <c r="AV199" s="29" t="n">
        <f aca="false">MIN($AN$6,AT199+AU199)</f>
        <v>0</v>
      </c>
      <c r="AW199" s="34" t="n">
        <f aca="false">AT199+AU199-AV199</f>
        <v>0</v>
      </c>
      <c r="AX199" s="30" t="n">
        <f aca="false">BC198</f>
        <v>0</v>
      </c>
      <c r="AY199" s="30" t="n">
        <f aca="false">AX199*$AX$5/12</f>
        <v>0</v>
      </c>
      <c r="AZ199" s="30" t="n">
        <f aca="false">MIN($AX$6,AX199+AY199)</f>
        <v>0</v>
      </c>
      <c r="BA199" s="30" t="n">
        <f aca="false">MAX(0,MIN(AR199,AX199+AY199-AZ199))</f>
        <v>0</v>
      </c>
      <c r="BB199" s="29" t="n">
        <f aca="false">AR199-BA199</f>
        <v>690</v>
      </c>
      <c r="BC199" s="30" t="n">
        <f aca="false">AX199+AY199-AZ199-BA199</f>
        <v>0</v>
      </c>
      <c r="BD199" s="30" t="n">
        <f aca="false">BG198</f>
        <v>0</v>
      </c>
      <c r="BE199" s="30" t="n">
        <f aca="false">BD199*$AX$5/12</f>
        <v>0</v>
      </c>
      <c r="BF199" s="30" t="n">
        <f aca="false">MIN($AX$6,BD199+BE199)</f>
        <v>0</v>
      </c>
      <c r="BG199" s="30" t="n">
        <f aca="false">BD199+BE199-BF199</f>
        <v>0</v>
      </c>
      <c r="BH199" s="30" t="n">
        <f aca="false">BM198</f>
        <v>0</v>
      </c>
      <c r="BI199" s="30" t="n">
        <f aca="false">BH199*$BH$5/12</f>
        <v>0</v>
      </c>
      <c r="BJ199" s="30" t="n">
        <f aca="false">MIN($BH$6,BH199+BI199)</f>
        <v>0</v>
      </c>
      <c r="BK199" s="30" t="n">
        <f aca="false">MAX(0,MIN(BB199,BH199+BI199-BJ199))</f>
        <v>0</v>
      </c>
      <c r="BL199" s="29" t="n">
        <f aca="false">BB199-BK199</f>
        <v>690</v>
      </c>
      <c r="BM199" s="30" t="n">
        <f aca="false">BH199+BI199-BJ199-BK199</f>
        <v>0</v>
      </c>
      <c r="BN199" s="30" t="n">
        <f aca="false">BQ198</f>
        <v>0</v>
      </c>
      <c r="BO199" s="30" t="n">
        <f aca="false">BN199*$BH$5/12</f>
        <v>0</v>
      </c>
      <c r="BP199" s="30" t="n">
        <f aca="false">MIN($BH$6,BN199+BO199)</f>
        <v>0</v>
      </c>
      <c r="BQ199" s="30" t="n">
        <f aca="false">BN199+BO199-BP199</f>
        <v>0</v>
      </c>
      <c r="BR199" s="30" t="n">
        <f aca="false">BW198</f>
        <v>0</v>
      </c>
      <c r="BS199" s="30" t="n">
        <f aca="false">BR199*$BR$5/12</f>
        <v>0</v>
      </c>
      <c r="BT199" s="30" t="n">
        <f aca="false">MIN($BR$6,BR199+BS199)</f>
        <v>0</v>
      </c>
      <c r="BU199" s="30" t="n">
        <f aca="false">MAX(0,MIN(BL199,BR199+BS199-BT199))</f>
        <v>0</v>
      </c>
      <c r="BV199" s="29" t="n">
        <f aca="false">BL199-BU199</f>
        <v>690</v>
      </c>
      <c r="BW199" s="30" t="n">
        <f aca="false">BR199+BS199-BT199-BU199</f>
        <v>0</v>
      </c>
      <c r="BX199" s="30" t="n">
        <f aca="false">CA198</f>
        <v>0</v>
      </c>
      <c r="BY199" s="30" t="n">
        <f aca="false">BX199*$BR$5/12</f>
        <v>0</v>
      </c>
      <c r="BZ199" s="30" t="n">
        <f aca="false">MIN($BR$6,BX199+BY199)</f>
        <v>0</v>
      </c>
      <c r="CA199" s="30" t="n">
        <f aca="false">BX199+BY199-BZ199</f>
        <v>0</v>
      </c>
      <c r="CB199" s="30" t="n">
        <f aca="false">CG198</f>
        <v>0</v>
      </c>
      <c r="CC199" s="30" t="n">
        <f aca="false">CB199*$CB$5/12</f>
        <v>0</v>
      </c>
      <c r="CD199" s="30" t="n">
        <f aca="false">MIN($CB$6,CB199+CC199)</f>
        <v>0</v>
      </c>
      <c r="CE199" s="30" t="n">
        <f aca="false">MAX(0,MIN(BV199,CB199+CC199-CD199))</f>
        <v>0</v>
      </c>
      <c r="CF199" s="29" t="n">
        <f aca="false">BV199-CE199</f>
        <v>690</v>
      </c>
      <c r="CG199" s="30" t="n">
        <f aca="false">CB199+CC199-CD199-CE199</f>
        <v>0</v>
      </c>
      <c r="CH199" s="30" t="n">
        <f aca="false">CK198</f>
        <v>0</v>
      </c>
      <c r="CI199" s="30" t="n">
        <f aca="false">CH199*$CB$5/12</f>
        <v>0</v>
      </c>
      <c r="CJ199" s="30" t="n">
        <f aca="false">MIN($CB$6,CH199+CI199)</f>
        <v>0</v>
      </c>
      <c r="CK199" s="30" t="n">
        <f aca="false">CH199+CI199-CJ199</f>
        <v>0</v>
      </c>
    </row>
    <row r="200" customFormat="false" ht="15" hidden="false" customHeight="false" outlineLevel="0" collapsed="false">
      <c r="A200" s="0" t="n">
        <v>192</v>
      </c>
      <c r="B200" s="29" t="n">
        <f aca="false">'1 Your debts'!$B$16-(L200+V200+AF200+AP200+AZ200+BJ200+BT200+CD200)</f>
        <v>690</v>
      </c>
      <c r="C200" s="34" t="n">
        <f aca="false">O200+Y200+AI200+AS200+BC200+BM200+BW200+CG200</f>
        <v>0</v>
      </c>
      <c r="D200" s="34" t="n">
        <f aca="false">K200+U200+AE200+AO200+AY200+BI200+BS200+CC200</f>
        <v>0</v>
      </c>
      <c r="F200" s="34" t="n">
        <f aca="false">S200+AC200+AM200+AW200+BG200+BQ200+CA200+CK200</f>
        <v>0</v>
      </c>
      <c r="G200" s="34" t="n">
        <f aca="false">Q200+AA200+AK200+AU200+BE200+BO200+BY200+CI200</f>
        <v>0</v>
      </c>
      <c r="J200" s="34" t="n">
        <f aca="false">O199</f>
        <v>0</v>
      </c>
      <c r="K200" s="34" t="n">
        <f aca="false">J200*$J$5/12</f>
        <v>0</v>
      </c>
      <c r="L200" s="29" t="n">
        <f aca="false">MIN($J$6,J200+K200)</f>
        <v>0</v>
      </c>
      <c r="M200" s="30" t="n">
        <f aca="false">MAX(0,MIN($B200,J200+K200-L200))</f>
        <v>0</v>
      </c>
      <c r="N200" s="29" t="n">
        <f aca="false">$B200-M200</f>
        <v>690</v>
      </c>
      <c r="O200" s="34" t="n">
        <f aca="false">J200+K200-L200-M200</f>
        <v>0</v>
      </c>
      <c r="P200" s="34" t="n">
        <f aca="false">S199</f>
        <v>0</v>
      </c>
      <c r="Q200" s="34" t="n">
        <f aca="false">P200*$J$5/12</f>
        <v>0</v>
      </c>
      <c r="R200" s="29" t="n">
        <f aca="false">MIN($J$6,P200+Q200)</f>
        <v>0</v>
      </c>
      <c r="S200" s="34" t="n">
        <f aca="false">P200+Q200-R200</f>
        <v>0</v>
      </c>
      <c r="T200" s="34" t="n">
        <f aca="false">Y199</f>
        <v>0</v>
      </c>
      <c r="U200" s="34" t="n">
        <f aca="false">T200*$T$5/12</f>
        <v>0</v>
      </c>
      <c r="V200" s="29" t="n">
        <f aca="false">MIN($T$6,T200+U200)</f>
        <v>0</v>
      </c>
      <c r="W200" s="30" t="n">
        <f aca="false">MAX(0,MIN(N200,T200+U200-V200))</f>
        <v>0</v>
      </c>
      <c r="X200" s="29" t="n">
        <f aca="false">N200-W200</f>
        <v>690</v>
      </c>
      <c r="Y200" s="34" t="n">
        <f aca="false">T200+U200-V200-W200</f>
        <v>0</v>
      </c>
      <c r="Z200" s="34" t="n">
        <f aca="false">AC199</f>
        <v>0</v>
      </c>
      <c r="AA200" s="34" t="n">
        <f aca="false">Z200*$T$5/12</f>
        <v>0</v>
      </c>
      <c r="AB200" s="29" t="n">
        <f aca="false">MIN($T$6,Z200+AA200)</f>
        <v>0</v>
      </c>
      <c r="AC200" s="34" t="n">
        <f aca="false">Z200+AA200-AB200</f>
        <v>0</v>
      </c>
      <c r="AD200" s="34" t="n">
        <f aca="false">AI199</f>
        <v>0</v>
      </c>
      <c r="AE200" s="34" t="n">
        <f aca="false">AD200*$AD$5/12</f>
        <v>0</v>
      </c>
      <c r="AF200" s="29" t="n">
        <f aca="false">MIN($AD$6,AD200+AE200)</f>
        <v>0</v>
      </c>
      <c r="AG200" s="30" t="n">
        <f aca="false">MAX(0,MIN(X200,AD200+AE200-AF200))</f>
        <v>0</v>
      </c>
      <c r="AH200" s="29" t="n">
        <f aca="false">X200-AG200</f>
        <v>690</v>
      </c>
      <c r="AI200" s="34" t="n">
        <f aca="false">AD200+AE200-AF200-AG200</f>
        <v>0</v>
      </c>
      <c r="AJ200" s="34" t="n">
        <f aca="false">AM199</f>
        <v>0</v>
      </c>
      <c r="AK200" s="34" t="n">
        <f aca="false">AJ200*$AD$5/12</f>
        <v>0</v>
      </c>
      <c r="AL200" s="29" t="n">
        <f aca="false">MIN($AD$6,AJ200+AK200)</f>
        <v>0</v>
      </c>
      <c r="AM200" s="34" t="n">
        <f aca="false">AJ200+AK200-AL200</f>
        <v>0</v>
      </c>
      <c r="AN200" s="34" t="n">
        <f aca="false">AS199</f>
        <v>0</v>
      </c>
      <c r="AO200" s="34" t="n">
        <f aca="false">AN200*$AN$5/12</f>
        <v>0</v>
      </c>
      <c r="AP200" s="29" t="n">
        <f aca="false">MIN($AN$6,AN200+AO200)</f>
        <v>0</v>
      </c>
      <c r="AQ200" s="30" t="n">
        <f aca="false">MAX(0,MIN(AH200,AN200+AO200-AP200))</f>
        <v>0</v>
      </c>
      <c r="AR200" s="29" t="n">
        <f aca="false">AH200-AQ200</f>
        <v>690</v>
      </c>
      <c r="AS200" s="34" t="n">
        <f aca="false">AN200+AO200-AP200-AQ200</f>
        <v>0</v>
      </c>
      <c r="AT200" s="34" t="n">
        <f aca="false">AW199</f>
        <v>0</v>
      </c>
      <c r="AU200" s="34" t="n">
        <f aca="false">AT200*$AN$5/12</f>
        <v>0</v>
      </c>
      <c r="AV200" s="29" t="n">
        <f aca="false">MIN($AN$6,AT200+AU200)</f>
        <v>0</v>
      </c>
      <c r="AW200" s="34" t="n">
        <f aca="false">AT200+AU200-AV200</f>
        <v>0</v>
      </c>
      <c r="AX200" s="30" t="n">
        <f aca="false">BC199</f>
        <v>0</v>
      </c>
      <c r="AY200" s="30" t="n">
        <f aca="false">AX200*$AX$5/12</f>
        <v>0</v>
      </c>
      <c r="AZ200" s="30" t="n">
        <f aca="false">MIN($AX$6,AX200+AY200)</f>
        <v>0</v>
      </c>
      <c r="BA200" s="30" t="n">
        <f aca="false">MAX(0,MIN(AR200,AX200+AY200-AZ200))</f>
        <v>0</v>
      </c>
      <c r="BB200" s="29" t="n">
        <f aca="false">AR200-BA200</f>
        <v>690</v>
      </c>
      <c r="BC200" s="30" t="n">
        <f aca="false">AX200+AY200-AZ200-BA200</f>
        <v>0</v>
      </c>
      <c r="BD200" s="30" t="n">
        <f aca="false">BG199</f>
        <v>0</v>
      </c>
      <c r="BE200" s="30" t="n">
        <f aca="false">BD200*$AX$5/12</f>
        <v>0</v>
      </c>
      <c r="BF200" s="30" t="n">
        <f aca="false">MIN($AX$6,BD200+BE200)</f>
        <v>0</v>
      </c>
      <c r="BG200" s="30" t="n">
        <f aca="false">BD200+BE200-BF200</f>
        <v>0</v>
      </c>
      <c r="BH200" s="30" t="n">
        <f aca="false">BM199</f>
        <v>0</v>
      </c>
      <c r="BI200" s="30" t="n">
        <f aca="false">BH200*$BH$5/12</f>
        <v>0</v>
      </c>
      <c r="BJ200" s="30" t="n">
        <f aca="false">MIN($BH$6,BH200+BI200)</f>
        <v>0</v>
      </c>
      <c r="BK200" s="30" t="n">
        <f aca="false">MAX(0,MIN(BB200,BH200+BI200-BJ200))</f>
        <v>0</v>
      </c>
      <c r="BL200" s="29" t="n">
        <f aca="false">BB200-BK200</f>
        <v>690</v>
      </c>
      <c r="BM200" s="30" t="n">
        <f aca="false">BH200+BI200-BJ200-BK200</f>
        <v>0</v>
      </c>
      <c r="BN200" s="30" t="n">
        <f aca="false">BQ199</f>
        <v>0</v>
      </c>
      <c r="BO200" s="30" t="n">
        <f aca="false">BN200*$BH$5/12</f>
        <v>0</v>
      </c>
      <c r="BP200" s="30" t="n">
        <f aca="false">MIN($BH$6,BN200+BO200)</f>
        <v>0</v>
      </c>
      <c r="BQ200" s="30" t="n">
        <f aca="false">BN200+BO200-BP200</f>
        <v>0</v>
      </c>
      <c r="BR200" s="30" t="n">
        <f aca="false">BW199</f>
        <v>0</v>
      </c>
      <c r="BS200" s="30" t="n">
        <f aca="false">BR200*$BR$5/12</f>
        <v>0</v>
      </c>
      <c r="BT200" s="30" t="n">
        <f aca="false">MIN($BR$6,BR200+BS200)</f>
        <v>0</v>
      </c>
      <c r="BU200" s="30" t="n">
        <f aca="false">MAX(0,MIN(BL200,BR200+BS200-BT200))</f>
        <v>0</v>
      </c>
      <c r="BV200" s="29" t="n">
        <f aca="false">BL200-BU200</f>
        <v>690</v>
      </c>
      <c r="BW200" s="30" t="n">
        <f aca="false">BR200+BS200-BT200-BU200</f>
        <v>0</v>
      </c>
      <c r="BX200" s="30" t="n">
        <f aca="false">CA199</f>
        <v>0</v>
      </c>
      <c r="BY200" s="30" t="n">
        <f aca="false">BX200*$BR$5/12</f>
        <v>0</v>
      </c>
      <c r="BZ200" s="30" t="n">
        <f aca="false">MIN($BR$6,BX200+BY200)</f>
        <v>0</v>
      </c>
      <c r="CA200" s="30" t="n">
        <f aca="false">BX200+BY200-BZ200</f>
        <v>0</v>
      </c>
      <c r="CB200" s="30" t="n">
        <f aca="false">CG199</f>
        <v>0</v>
      </c>
      <c r="CC200" s="30" t="n">
        <f aca="false">CB200*$CB$5/12</f>
        <v>0</v>
      </c>
      <c r="CD200" s="30" t="n">
        <f aca="false">MIN($CB$6,CB200+CC200)</f>
        <v>0</v>
      </c>
      <c r="CE200" s="30" t="n">
        <f aca="false">MAX(0,MIN(BV200,CB200+CC200-CD200))</f>
        <v>0</v>
      </c>
      <c r="CF200" s="29" t="n">
        <f aca="false">BV200-CE200</f>
        <v>690</v>
      </c>
      <c r="CG200" s="30" t="n">
        <f aca="false">CB200+CC200-CD200-CE200</f>
        <v>0</v>
      </c>
      <c r="CH200" s="30" t="n">
        <f aca="false">CK199</f>
        <v>0</v>
      </c>
      <c r="CI200" s="30" t="n">
        <f aca="false">CH200*$CB$5/12</f>
        <v>0</v>
      </c>
      <c r="CJ200" s="30" t="n">
        <f aca="false">MIN($CB$6,CH200+CI200)</f>
        <v>0</v>
      </c>
      <c r="CK200" s="30" t="n">
        <f aca="false">CH200+CI200-CJ200</f>
        <v>0</v>
      </c>
    </row>
    <row r="201" customFormat="false" ht="15" hidden="false" customHeight="false" outlineLevel="0" collapsed="false">
      <c r="A201" s="0" t="n">
        <v>193</v>
      </c>
      <c r="B201" s="29" t="n">
        <f aca="false">'1 Your debts'!$B$16-(L201+V201+AF201+AP201+AZ201+BJ201+BT201+CD201)</f>
        <v>690</v>
      </c>
      <c r="C201" s="34" t="n">
        <f aca="false">O201+Y201+AI201+AS201+BC201+BM201+BW201+CG201</f>
        <v>0</v>
      </c>
      <c r="D201" s="34" t="n">
        <f aca="false">K201+U201+AE201+AO201+AY201+BI201+BS201+CC201</f>
        <v>0</v>
      </c>
      <c r="F201" s="34" t="n">
        <f aca="false">S201+AC201+AM201+AW201+BG201+BQ201+CA201+CK201</f>
        <v>0</v>
      </c>
      <c r="G201" s="34" t="n">
        <f aca="false">Q201+AA201+AK201+AU201+BE201+BO201+BY201+CI201</f>
        <v>0</v>
      </c>
      <c r="J201" s="34" t="n">
        <f aca="false">O200</f>
        <v>0</v>
      </c>
      <c r="K201" s="34" t="n">
        <f aca="false">J201*$J$5/12</f>
        <v>0</v>
      </c>
      <c r="L201" s="29" t="n">
        <f aca="false">MIN($J$6,J201+K201)</f>
        <v>0</v>
      </c>
      <c r="M201" s="30" t="n">
        <f aca="false">MAX(0,MIN($B201,J201+K201-L201))</f>
        <v>0</v>
      </c>
      <c r="N201" s="29" t="n">
        <f aca="false">$B201-M201</f>
        <v>690</v>
      </c>
      <c r="O201" s="34" t="n">
        <f aca="false">J201+K201-L201-M201</f>
        <v>0</v>
      </c>
      <c r="P201" s="34" t="n">
        <f aca="false">S200</f>
        <v>0</v>
      </c>
      <c r="Q201" s="34" t="n">
        <f aca="false">P201*$J$5/12</f>
        <v>0</v>
      </c>
      <c r="R201" s="29" t="n">
        <f aca="false">MIN($J$6,P201+Q201)</f>
        <v>0</v>
      </c>
      <c r="S201" s="34" t="n">
        <f aca="false">P201+Q201-R201</f>
        <v>0</v>
      </c>
      <c r="T201" s="34" t="n">
        <f aca="false">Y200</f>
        <v>0</v>
      </c>
      <c r="U201" s="34" t="n">
        <f aca="false">T201*$T$5/12</f>
        <v>0</v>
      </c>
      <c r="V201" s="29" t="n">
        <f aca="false">MIN($T$6,T201+U201)</f>
        <v>0</v>
      </c>
      <c r="W201" s="30" t="n">
        <f aca="false">MAX(0,MIN(N201,T201+U201-V201))</f>
        <v>0</v>
      </c>
      <c r="X201" s="29" t="n">
        <f aca="false">N201-W201</f>
        <v>690</v>
      </c>
      <c r="Y201" s="34" t="n">
        <f aca="false">T201+U201-V201-W201</f>
        <v>0</v>
      </c>
      <c r="Z201" s="34" t="n">
        <f aca="false">AC200</f>
        <v>0</v>
      </c>
      <c r="AA201" s="34" t="n">
        <f aca="false">Z201*$T$5/12</f>
        <v>0</v>
      </c>
      <c r="AB201" s="29" t="n">
        <f aca="false">MIN($T$6,Z201+AA201)</f>
        <v>0</v>
      </c>
      <c r="AC201" s="34" t="n">
        <f aca="false">Z201+AA201-AB201</f>
        <v>0</v>
      </c>
      <c r="AD201" s="34" t="n">
        <f aca="false">AI200</f>
        <v>0</v>
      </c>
      <c r="AE201" s="34" t="n">
        <f aca="false">AD201*$AD$5/12</f>
        <v>0</v>
      </c>
      <c r="AF201" s="29" t="n">
        <f aca="false">MIN($AD$6,AD201+AE201)</f>
        <v>0</v>
      </c>
      <c r="AG201" s="30" t="n">
        <f aca="false">MAX(0,MIN(X201,AD201+AE201-AF201))</f>
        <v>0</v>
      </c>
      <c r="AH201" s="29" t="n">
        <f aca="false">X201-AG201</f>
        <v>690</v>
      </c>
      <c r="AI201" s="34" t="n">
        <f aca="false">AD201+AE201-AF201-AG201</f>
        <v>0</v>
      </c>
      <c r="AJ201" s="34" t="n">
        <f aca="false">AM200</f>
        <v>0</v>
      </c>
      <c r="AK201" s="34" t="n">
        <f aca="false">AJ201*$AD$5/12</f>
        <v>0</v>
      </c>
      <c r="AL201" s="29" t="n">
        <f aca="false">MIN($AD$6,AJ201+AK201)</f>
        <v>0</v>
      </c>
      <c r="AM201" s="34" t="n">
        <f aca="false">AJ201+AK201-AL201</f>
        <v>0</v>
      </c>
      <c r="AN201" s="34" t="n">
        <f aca="false">AS200</f>
        <v>0</v>
      </c>
      <c r="AO201" s="34" t="n">
        <f aca="false">AN201*$AN$5/12</f>
        <v>0</v>
      </c>
      <c r="AP201" s="29" t="n">
        <f aca="false">MIN($AN$6,AN201+AO201)</f>
        <v>0</v>
      </c>
      <c r="AQ201" s="30" t="n">
        <f aca="false">MAX(0,MIN(AH201,AN201+AO201-AP201))</f>
        <v>0</v>
      </c>
      <c r="AR201" s="29" t="n">
        <f aca="false">AH201-AQ201</f>
        <v>690</v>
      </c>
      <c r="AS201" s="34" t="n">
        <f aca="false">AN201+AO201-AP201-AQ201</f>
        <v>0</v>
      </c>
      <c r="AT201" s="34" t="n">
        <f aca="false">AW200</f>
        <v>0</v>
      </c>
      <c r="AU201" s="34" t="n">
        <f aca="false">AT201*$AN$5/12</f>
        <v>0</v>
      </c>
      <c r="AV201" s="29" t="n">
        <f aca="false">MIN($AN$6,AT201+AU201)</f>
        <v>0</v>
      </c>
      <c r="AW201" s="34" t="n">
        <f aca="false">AT201+AU201-AV201</f>
        <v>0</v>
      </c>
      <c r="AX201" s="30" t="n">
        <f aca="false">BC200</f>
        <v>0</v>
      </c>
      <c r="AY201" s="30" t="n">
        <f aca="false">AX201*$AX$5/12</f>
        <v>0</v>
      </c>
      <c r="AZ201" s="30" t="n">
        <f aca="false">MIN($AX$6,AX201+AY201)</f>
        <v>0</v>
      </c>
      <c r="BA201" s="30" t="n">
        <f aca="false">MAX(0,MIN(AR201,AX201+AY201-AZ201))</f>
        <v>0</v>
      </c>
      <c r="BB201" s="29" t="n">
        <f aca="false">AR201-BA201</f>
        <v>690</v>
      </c>
      <c r="BC201" s="30" t="n">
        <f aca="false">AX201+AY201-AZ201-BA201</f>
        <v>0</v>
      </c>
      <c r="BD201" s="30" t="n">
        <f aca="false">BG200</f>
        <v>0</v>
      </c>
      <c r="BE201" s="30" t="n">
        <f aca="false">BD201*$AX$5/12</f>
        <v>0</v>
      </c>
      <c r="BF201" s="30" t="n">
        <f aca="false">MIN($AX$6,BD201+BE201)</f>
        <v>0</v>
      </c>
      <c r="BG201" s="30" t="n">
        <f aca="false">BD201+BE201-BF201</f>
        <v>0</v>
      </c>
      <c r="BH201" s="30" t="n">
        <f aca="false">BM200</f>
        <v>0</v>
      </c>
      <c r="BI201" s="30" t="n">
        <f aca="false">BH201*$BH$5/12</f>
        <v>0</v>
      </c>
      <c r="BJ201" s="30" t="n">
        <f aca="false">MIN($BH$6,BH201+BI201)</f>
        <v>0</v>
      </c>
      <c r="BK201" s="30" t="n">
        <f aca="false">MAX(0,MIN(BB201,BH201+BI201-BJ201))</f>
        <v>0</v>
      </c>
      <c r="BL201" s="29" t="n">
        <f aca="false">BB201-BK201</f>
        <v>690</v>
      </c>
      <c r="BM201" s="30" t="n">
        <f aca="false">BH201+BI201-BJ201-BK201</f>
        <v>0</v>
      </c>
      <c r="BN201" s="30" t="n">
        <f aca="false">BQ200</f>
        <v>0</v>
      </c>
      <c r="BO201" s="30" t="n">
        <f aca="false">BN201*$BH$5/12</f>
        <v>0</v>
      </c>
      <c r="BP201" s="30" t="n">
        <f aca="false">MIN($BH$6,BN201+BO201)</f>
        <v>0</v>
      </c>
      <c r="BQ201" s="30" t="n">
        <f aca="false">BN201+BO201-BP201</f>
        <v>0</v>
      </c>
      <c r="BR201" s="30" t="n">
        <f aca="false">BW200</f>
        <v>0</v>
      </c>
      <c r="BS201" s="30" t="n">
        <f aca="false">BR201*$BR$5/12</f>
        <v>0</v>
      </c>
      <c r="BT201" s="30" t="n">
        <f aca="false">MIN($BR$6,BR201+BS201)</f>
        <v>0</v>
      </c>
      <c r="BU201" s="30" t="n">
        <f aca="false">MAX(0,MIN(BL201,BR201+BS201-BT201))</f>
        <v>0</v>
      </c>
      <c r="BV201" s="29" t="n">
        <f aca="false">BL201-BU201</f>
        <v>690</v>
      </c>
      <c r="BW201" s="30" t="n">
        <f aca="false">BR201+BS201-BT201-BU201</f>
        <v>0</v>
      </c>
      <c r="BX201" s="30" t="n">
        <f aca="false">CA200</f>
        <v>0</v>
      </c>
      <c r="BY201" s="30" t="n">
        <f aca="false">BX201*$BR$5/12</f>
        <v>0</v>
      </c>
      <c r="BZ201" s="30" t="n">
        <f aca="false">MIN($BR$6,BX201+BY201)</f>
        <v>0</v>
      </c>
      <c r="CA201" s="30" t="n">
        <f aca="false">BX201+BY201-BZ201</f>
        <v>0</v>
      </c>
      <c r="CB201" s="30" t="n">
        <f aca="false">CG200</f>
        <v>0</v>
      </c>
      <c r="CC201" s="30" t="n">
        <f aca="false">CB201*$CB$5/12</f>
        <v>0</v>
      </c>
      <c r="CD201" s="30" t="n">
        <f aca="false">MIN($CB$6,CB201+CC201)</f>
        <v>0</v>
      </c>
      <c r="CE201" s="30" t="n">
        <f aca="false">MAX(0,MIN(BV201,CB201+CC201-CD201))</f>
        <v>0</v>
      </c>
      <c r="CF201" s="29" t="n">
        <f aca="false">BV201-CE201</f>
        <v>690</v>
      </c>
      <c r="CG201" s="30" t="n">
        <f aca="false">CB201+CC201-CD201-CE201</f>
        <v>0</v>
      </c>
      <c r="CH201" s="30" t="n">
        <f aca="false">CK200</f>
        <v>0</v>
      </c>
      <c r="CI201" s="30" t="n">
        <f aca="false">CH201*$CB$5/12</f>
        <v>0</v>
      </c>
      <c r="CJ201" s="30" t="n">
        <f aca="false">MIN($CB$6,CH201+CI201)</f>
        <v>0</v>
      </c>
      <c r="CK201" s="30" t="n">
        <f aca="false">CH201+CI201-CJ201</f>
        <v>0</v>
      </c>
    </row>
    <row r="202" customFormat="false" ht="15" hidden="false" customHeight="false" outlineLevel="0" collapsed="false">
      <c r="A202" s="0" t="n">
        <v>194</v>
      </c>
      <c r="B202" s="29" t="n">
        <f aca="false">'1 Your debts'!$B$16-(L202+V202+AF202+AP202+AZ202+BJ202+BT202+CD202)</f>
        <v>690</v>
      </c>
      <c r="C202" s="34" t="n">
        <f aca="false">O202+Y202+AI202+AS202+BC202+BM202+BW202+CG202</f>
        <v>0</v>
      </c>
      <c r="D202" s="34" t="n">
        <f aca="false">K202+U202+AE202+AO202+AY202+BI202+BS202+CC202</f>
        <v>0</v>
      </c>
      <c r="F202" s="34" t="n">
        <f aca="false">S202+AC202+AM202+AW202+BG202+BQ202+CA202+CK202</f>
        <v>0</v>
      </c>
      <c r="G202" s="34" t="n">
        <f aca="false">Q202+AA202+AK202+AU202+BE202+BO202+BY202+CI202</f>
        <v>0</v>
      </c>
      <c r="J202" s="34" t="n">
        <f aca="false">O201</f>
        <v>0</v>
      </c>
      <c r="K202" s="34" t="n">
        <f aca="false">J202*$J$5/12</f>
        <v>0</v>
      </c>
      <c r="L202" s="29" t="n">
        <f aca="false">MIN($J$6,J202+K202)</f>
        <v>0</v>
      </c>
      <c r="M202" s="30" t="n">
        <f aca="false">MAX(0,MIN($B202,J202+K202-L202))</f>
        <v>0</v>
      </c>
      <c r="N202" s="29" t="n">
        <f aca="false">$B202-M202</f>
        <v>690</v>
      </c>
      <c r="O202" s="34" t="n">
        <f aca="false">J202+K202-L202-M202</f>
        <v>0</v>
      </c>
      <c r="P202" s="34" t="n">
        <f aca="false">S201</f>
        <v>0</v>
      </c>
      <c r="Q202" s="34" t="n">
        <f aca="false">P202*$J$5/12</f>
        <v>0</v>
      </c>
      <c r="R202" s="29" t="n">
        <f aca="false">MIN($J$6,P202+Q202)</f>
        <v>0</v>
      </c>
      <c r="S202" s="34" t="n">
        <f aca="false">P202+Q202-R202</f>
        <v>0</v>
      </c>
      <c r="T202" s="34" t="n">
        <f aca="false">Y201</f>
        <v>0</v>
      </c>
      <c r="U202" s="34" t="n">
        <f aca="false">T202*$T$5/12</f>
        <v>0</v>
      </c>
      <c r="V202" s="29" t="n">
        <f aca="false">MIN($T$6,T202+U202)</f>
        <v>0</v>
      </c>
      <c r="W202" s="30" t="n">
        <f aca="false">MAX(0,MIN(N202,T202+U202-V202))</f>
        <v>0</v>
      </c>
      <c r="X202" s="29" t="n">
        <f aca="false">N202-W202</f>
        <v>690</v>
      </c>
      <c r="Y202" s="34" t="n">
        <f aca="false">T202+U202-V202-W202</f>
        <v>0</v>
      </c>
      <c r="Z202" s="34" t="n">
        <f aca="false">AC201</f>
        <v>0</v>
      </c>
      <c r="AA202" s="34" t="n">
        <f aca="false">Z202*$T$5/12</f>
        <v>0</v>
      </c>
      <c r="AB202" s="29" t="n">
        <f aca="false">MIN($T$6,Z202+AA202)</f>
        <v>0</v>
      </c>
      <c r="AC202" s="34" t="n">
        <f aca="false">Z202+AA202-AB202</f>
        <v>0</v>
      </c>
      <c r="AD202" s="34" t="n">
        <f aca="false">AI201</f>
        <v>0</v>
      </c>
      <c r="AE202" s="34" t="n">
        <f aca="false">AD202*$AD$5/12</f>
        <v>0</v>
      </c>
      <c r="AF202" s="29" t="n">
        <f aca="false">MIN($AD$6,AD202+AE202)</f>
        <v>0</v>
      </c>
      <c r="AG202" s="30" t="n">
        <f aca="false">MAX(0,MIN(X202,AD202+AE202-AF202))</f>
        <v>0</v>
      </c>
      <c r="AH202" s="29" t="n">
        <f aca="false">X202-AG202</f>
        <v>690</v>
      </c>
      <c r="AI202" s="34" t="n">
        <f aca="false">AD202+AE202-AF202-AG202</f>
        <v>0</v>
      </c>
      <c r="AJ202" s="34" t="n">
        <f aca="false">AM201</f>
        <v>0</v>
      </c>
      <c r="AK202" s="34" t="n">
        <f aca="false">AJ202*$AD$5/12</f>
        <v>0</v>
      </c>
      <c r="AL202" s="29" t="n">
        <f aca="false">MIN($AD$6,AJ202+AK202)</f>
        <v>0</v>
      </c>
      <c r="AM202" s="34" t="n">
        <f aca="false">AJ202+AK202-AL202</f>
        <v>0</v>
      </c>
      <c r="AN202" s="34" t="n">
        <f aca="false">AS201</f>
        <v>0</v>
      </c>
      <c r="AO202" s="34" t="n">
        <f aca="false">AN202*$AN$5/12</f>
        <v>0</v>
      </c>
      <c r="AP202" s="29" t="n">
        <f aca="false">MIN($AN$6,AN202+AO202)</f>
        <v>0</v>
      </c>
      <c r="AQ202" s="30" t="n">
        <f aca="false">MAX(0,MIN(AH202,AN202+AO202-AP202))</f>
        <v>0</v>
      </c>
      <c r="AR202" s="29" t="n">
        <f aca="false">AH202-AQ202</f>
        <v>690</v>
      </c>
      <c r="AS202" s="34" t="n">
        <f aca="false">AN202+AO202-AP202-AQ202</f>
        <v>0</v>
      </c>
      <c r="AT202" s="34" t="n">
        <f aca="false">AW201</f>
        <v>0</v>
      </c>
      <c r="AU202" s="34" t="n">
        <f aca="false">AT202*$AN$5/12</f>
        <v>0</v>
      </c>
      <c r="AV202" s="29" t="n">
        <f aca="false">MIN($AN$6,AT202+AU202)</f>
        <v>0</v>
      </c>
      <c r="AW202" s="34" t="n">
        <f aca="false">AT202+AU202-AV202</f>
        <v>0</v>
      </c>
      <c r="AX202" s="30" t="n">
        <f aca="false">BC201</f>
        <v>0</v>
      </c>
      <c r="AY202" s="30" t="n">
        <f aca="false">AX202*$AX$5/12</f>
        <v>0</v>
      </c>
      <c r="AZ202" s="30" t="n">
        <f aca="false">MIN($AX$6,AX202+AY202)</f>
        <v>0</v>
      </c>
      <c r="BA202" s="30" t="n">
        <f aca="false">MAX(0,MIN(AR202,AX202+AY202-AZ202))</f>
        <v>0</v>
      </c>
      <c r="BB202" s="29" t="n">
        <f aca="false">AR202-BA202</f>
        <v>690</v>
      </c>
      <c r="BC202" s="30" t="n">
        <f aca="false">AX202+AY202-AZ202-BA202</f>
        <v>0</v>
      </c>
      <c r="BD202" s="30" t="n">
        <f aca="false">BG201</f>
        <v>0</v>
      </c>
      <c r="BE202" s="30" t="n">
        <f aca="false">BD202*$AX$5/12</f>
        <v>0</v>
      </c>
      <c r="BF202" s="30" t="n">
        <f aca="false">MIN($AX$6,BD202+BE202)</f>
        <v>0</v>
      </c>
      <c r="BG202" s="30" t="n">
        <f aca="false">BD202+BE202-BF202</f>
        <v>0</v>
      </c>
      <c r="BH202" s="30" t="n">
        <f aca="false">BM201</f>
        <v>0</v>
      </c>
      <c r="BI202" s="30" t="n">
        <f aca="false">BH202*$BH$5/12</f>
        <v>0</v>
      </c>
      <c r="BJ202" s="30" t="n">
        <f aca="false">MIN($BH$6,BH202+BI202)</f>
        <v>0</v>
      </c>
      <c r="BK202" s="30" t="n">
        <f aca="false">MAX(0,MIN(BB202,BH202+BI202-BJ202))</f>
        <v>0</v>
      </c>
      <c r="BL202" s="29" t="n">
        <f aca="false">BB202-BK202</f>
        <v>690</v>
      </c>
      <c r="BM202" s="30" t="n">
        <f aca="false">BH202+BI202-BJ202-BK202</f>
        <v>0</v>
      </c>
      <c r="BN202" s="30" t="n">
        <f aca="false">BQ201</f>
        <v>0</v>
      </c>
      <c r="BO202" s="30" t="n">
        <f aca="false">BN202*$BH$5/12</f>
        <v>0</v>
      </c>
      <c r="BP202" s="30" t="n">
        <f aca="false">MIN($BH$6,BN202+BO202)</f>
        <v>0</v>
      </c>
      <c r="BQ202" s="30" t="n">
        <f aca="false">BN202+BO202-BP202</f>
        <v>0</v>
      </c>
      <c r="BR202" s="30" t="n">
        <f aca="false">BW201</f>
        <v>0</v>
      </c>
      <c r="BS202" s="30" t="n">
        <f aca="false">BR202*$BR$5/12</f>
        <v>0</v>
      </c>
      <c r="BT202" s="30" t="n">
        <f aca="false">MIN($BR$6,BR202+BS202)</f>
        <v>0</v>
      </c>
      <c r="BU202" s="30" t="n">
        <f aca="false">MAX(0,MIN(BL202,BR202+BS202-BT202))</f>
        <v>0</v>
      </c>
      <c r="BV202" s="29" t="n">
        <f aca="false">BL202-BU202</f>
        <v>690</v>
      </c>
      <c r="BW202" s="30" t="n">
        <f aca="false">BR202+BS202-BT202-BU202</f>
        <v>0</v>
      </c>
      <c r="BX202" s="30" t="n">
        <f aca="false">CA201</f>
        <v>0</v>
      </c>
      <c r="BY202" s="30" t="n">
        <f aca="false">BX202*$BR$5/12</f>
        <v>0</v>
      </c>
      <c r="BZ202" s="30" t="n">
        <f aca="false">MIN($BR$6,BX202+BY202)</f>
        <v>0</v>
      </c>
      <c r="CA202" s="30" t="n">
        <f aca="false">BX202+BY202-BZ202</f>
        <v>0</v>
      </c>
      <c r="CB202" s="30" t="n">
        <f aca="false">CG201</f>
        <v>0</v>
      </c>
      <c r="CC202" s="30" t="n">
        <f aca="false">CB202*$CB$5/12</f>
        <v>0</v>
      </c>
      <c r="CD202" s="30" t="n">
        <f aca="false">MIN($CB$6,CB202+CC202)</f>
        <v>0</v>
      </c>
      <c r="CE202" s="30" t="n">
        <f aca="false">MAX(0,MIN(BV202,CB202+CC202-CD202))</f>
        <v>0</v>
      </c>
      <c r="CF202" s="29" t="n">
        <f aca="false">BV202-CE202</f>
        <v>690</v>
      </c>
      <c r="CG202" s="30" t="n">
        <f aca="false">CB202+CC202-CD202-CE202</f>
        <v>0</v>
      </c>
      <c r="CH202" s="30" t="n">
        <f aca="false">CK201</f>
        <v>0</v>
      </c>
      <c r="CI202" s="30" t="n">
        <f aca="false">CH202*$CB$5/12</f>
        <v>0</v>
      </c>
      <c r="CJ202" s="30" t="n">
        <f aca="false">MIN($CB$6,CH202+CI202)</f>
        <v>0</v>
      </c>
      <c r="CK202" s="30" t="n">
        <f aca="false">CH202+CI202-CJ202</f>
        <v>0</v>
      </c>
    </row>
    <row r="203" customFormat="false" ht="15" hidden="false" customHeight="false" outlineLevel="0" collapsed="false">
      <c r="A203" s="0" t="n">
        <v>195</v>
      </c>
      <c r="B203" s="29" t="n">
        <f aca="false">'1 Your debts'!$B$16-(L203+V203+AF203+AP203+AZ203+BJ203+BT203+CD203)</f>
        <v>690</v>
      </c>
      <c r="C203" s="34" t="n">
        <f aca="false">O203+Y203+AI203+AS203+BC203+BM203+BW203+CG203</f>
        <v>0</v>
      </c>
      <c r="D203" s="34" t="n">
        <f aca="false">K203+U203+AE203+AO203+AY203+BI203+BS203+CC203</f>
        <v>0</v>
      </c>
      <c r="F203" s="34" t="n">
        <f aca="false">S203+AC203+AM203+AW203+BG203+BQ203+CA203+CK203</f>
        <v>0</v>
      </c>
      <c r="G203" s="34" t="n">
        <f aca="false">Q203+AA203+AK203+AU203+BE203+BO203+BY203+CI203</f>
        <v>0</v>
      </c>
      <c r="J203" s="34" t="n">
        <f aca="false">O202</f>
        <v>0</v>
      </c>
      <c r="K203" s="34" t="n">
        <f aca="false">J203*$J$5/12</f>
        <v>0</v>
      </c>
      <c r="L203" s="29" t="n">
        <f aca="false">MIN($J$6,J203+K203)</f>
        <v>0</v>
      </c>
      <c r="M203" s="30" t="n">
        <f aca="false">MAX(0,MIN($B203,J203+K203-L203))</f>
        <v>0</v>
      </c>
      <c r="N203" s="29" t="n">
        <f aca="false">$B203-M203</f>
        <v>690</v>
      </c>
      <c r="O203" s="34" t="n">
        <f aca="false">J203+K203-L203-M203</f>
        <v>0</v>
      </c>
      <c r="P203" s="34" t="n">
        <f aca="false">S202</f>
        <v>0</v>
      </c>
      <c r="Q203" s="34" t="n">
        <f aca="false">P203*$J$5/12</f>
        <v>0</v>
      </c>
      <c r="R203" s="29" t="n">
        <f aca="false">MIN($J$6,P203+Q203)</f>
        <v>0</v>
      </c>
      <c r="S203" s="34" t="n">
        <f aca="false">P203+Q203-R203</f>
        <v>0</v>
      </c>
      <c r="T203" s="34" t="n">
        <f aca="false">Y202</f>
        <v>0</v>
      </c>
      <c r="U203" s="34" t="n">
        <f aca="false">T203*$T$5/12</f>
        <v>0</v>
      </c>
      <c r="V203" s="29" t="n">
        <f aca="false">MIN($T$6,T203+U203)</f>
        <v>0</v>
      </c>
      <c r="W203" s="30" t="n">
        <f aca="false">MAX(0,MIN(N203,T203+U203-V203))</f>
        <v>0</v>
      </c>
      <c r="X203" s="29" t="n">
        <f aca="false">N203-W203</f>
        <v>690</v>
      </c>
      <c r="Y203" s="34" t="n">
        <f aca="false">T203+U203-V203-W203</f>
        <v>0</v>
      </c>
      <c r="Z203" s="34" t="n">
        <f aca="false">AC202</f>
        <v>0</v>
      </c>
      <c r="AA203" s="34" t="n">
        <f aca="false">Z203*$T$5/12</f>
        <v>0</v>
      </c>
      <c r="AB203" s="29" t="n">
        <f aca="false">MIN($T$6,Z203+AA203)</f>
        <v>0</v>
      </c>
      <c r="AC203" s="34" t="n">
        <f aca="false">Z203+AA203-AB203</f>
        <v>0</v>
      </c>
      <c r="AD203" s="34" t="n">
        <f aca="false">AI202</f>
        <v>0</v>
      </c>
      <c r="AE203" s="34" t="n">
        <f aca="false">AD203*$AD$5/12</f>
        <v>0</v>
      </c>
      <c r="AF203" s="29" t="n">
        <f aca="false">MIN($AD$6,AD203+AE203)</f>
        <v>0</v>
      </c>
      <c r="AG203" s="30" t="n">
        <f aca="false">MAX(0,MIN(X203,AD203+AE203-AF203))</f>
        <v>0</v>
      </c>
      <c r="AH203" s="29" t="n">
        <f aca="false">X203-AG203</f>
        <v>690</v>
      </c>
      <c r="AI203" s="34" t="n">
        <f aca="false">AD203+AE203-AF203-AG203</f>
        <v>0</v>
      </c>
      <c r="AJ203" s="34" t="n">
        <f aca="false">AM202</f>
        <v>0</v>
      </c>
      <c r="AK203" s="34" t="n">
        <f aca="false">AJ203*$AD$5/12</f>
        <v>0</v>
      </c>
      <c r="AL203" s="29" t="n">
        <f aca="false">MIN($AD$6,AJ203+AK203)</f>
        <v>0</v>
      </c>
      <c r="AM203" s="34" t="n">
        <f aca="false">AJ203+AK203-AL203</f>
        <v>0</v>
      </c>
      <c r="AN203" s="34" t="n">
        <f aca="false">AS202</f>
        <v>0</v>
      </c>
      <c r="AO203" s="34" t="n">
        <f aca="false">AN203*$AN$5/12</f>
        <v>0</v>
      </c>
      <c r="AP203" s="29" t="n">
        <f aca="false">MIN($AN$6,AN203+AO203)</f>
        <v>0</v>
      </c>
      <c r="AQ203" s="30" t="n">
        <f aca="false">MAX(0,MIN(AH203,AN203+AO203-AP203))</f>
        <v>0</v>
      </c>
      <c r="AR203" s="29" t="n">
        <f aca="false">AH203-AQ203</f>
        <v>690</v>
      </c>
      <c r="AS203" s="34" t="n">
        <f aca="false">AN203+AO203-AP203-AQ203</f>
        <v>0</v>
      </c>
      <c r="AT203" s="34" t="n">
        <f aca="false">AW202</f>
        <v>0</v>
      </c>
      <c r="AU203" s="34" t="n">
        <f aca="false">AT203*$AN$5/12</f>
        <v>0</v>
      </c>
      <c r="AV203" s="29" t="n">
        <f aca="false">MIN($AN$6,AT203+AU203)</f>
        <v>0</v>
      </c>
      <c r="AW203" s="34" t="n">
        <f aca="false">AT203+AU203-AV203</f>
        <v>0</v>
      </c>
      <c r="AX203" s="30" t="n">
        <f aca="false">BC202</f>
        <v>0</v>
      </c>
      <c r="AY203" s="30" t="n">
        <f aca="false">AX203*$AX$5/12</f>
        <v>0</v>
      </c>
      <c r="AZ203" s="30" t="n">
        <f aca="false">MIN($AX$6,AX203+AY203)</f>
        <v>0</v>
      </c>
      <c r="BA203" s="30" t="n">
        <f aca="false">MAX(0,MIN(AR203,AX203+AY203-AZ203))</f>
        <v>0</v>
      </c>
      <c r="BB203" s="29" t="n">
        <f aca="false">AR203-BA203</f>
        <v>690</v>
      </c>
      <c r="BC203" s="30" t="n">
        <f aca="false">AX203+AY203-AZ203-BA203</f>
        <v>0</v>
      </c>
      <c r="BD203" s="30" t="n">
        <f aca="false">BG202</f>
        <v>0</v>
      </c>
      <c r="BE203" s="30" t="n">
        <f aca="false">BD203*$AX$5/12</f>
        <v>0</v>
      </c>
      <c r="BF203" s="30" t="n">
        <f aca="false">MIN($AX$6,BD203+BE203)</f>
        <v>0</v>
      </c>
      <c r="BG203" s="30" t="n">
        <f aca="false">BD203+BE203-BF203</f>
        <v>0</v>
      </c>
      <c r="BH203" s="30" t="n">
        <f aca="false">BM202</f>
        <v>0</v>
      </c>
      <c r="BI203" s="30" t="n">
        <f aca="false">BH203*$BH$5/12</f>
        <v>0</v>
      </c>
      <c r="BJ203" s="30" t="n">
        <f aca="false">MIN($BH$6,BH203+BI203)</f>
        <v>0</v>
      </c>
      <c r="BK203" s="30" t="n">
        <f aca="false">MAX(0,MIN(BB203,BH203+BI203-BJ203))</f>
        <v>0</v>
      </c>
      <c r="BL203" s="29" t="n">
        <f aca="false">BB203-BK203</f>
        <v>690</v>
      </c>
      <c r="BM203" s="30" t="n">
        <f aca="false">BH203+BI203-BJ203-BK203</f>
        <v>0</v>
      </c>
      <c r="BN203" s="30" t="n">
        <f aca="false">BQ202</f>
        <v>0</v>
      </c>
      <c r="BO203" s="30" t="n">
        <f aca="false">BN203*$BH$5/12</f>
        <v>0</v>
      </c>
      <c r="BP203" s="30" t="n">
        <f aca="false">MIN($BH$6,BN203+BO203)</f>
        <v>0</v>
      </c>
      <c r="BQ203" s="30" t="n">
        <f aca="false">BN203+BO203-BP203</f>
        <v>0</v>
      </c>
      <c r="BR203" s="30" t="n">
        <f aca="false">BW202</f>
        <v>0</v>
      </c>
      <c r="BS203" s="30" t="n">
        <f aca="false">BR203*$BR$5/12</f>
        <v>0</v>
      </c>
      <c r="BT203" s="30" t="n">
        <f aca="false">MIN($BR$6,BR203+BS203)</f>
        <v>0</v>
      </c>
      <c r="BU203" s="30" t="n">
        <f aca="false">MAX(0,MIN(BL203,BR203+BS203-BT203))</f>
        <v>0</v>
      </c>
      <c r="BV203" s="29" t="n">
        <f aca="false">BL203-BU203</f>
        <v>690</v>
      </c>
      <c r="BW203" s="30" t="n">
        <f aca="false">BR203+BS203-BT203-BU203</f>
        <v>0</v>
      </c>
      <c r="BX203" s="30" t="n">
        <f aca="false">CA202</f>
        <v>0</v>
      </c>
      <c r="BY203" s="30" t="n">
        <f aca="false">BX203*$BR$5/12</f>
        <v>0</v>
      </c>
      <c r="BZ203" s="30" t="n">
        <f aca="false">MIN($BR$6,BX203+BY203)</f>
        <v>0</v>
      </c>
      <c r="CA203" s="30" t="n">
        <f aca="false">BX203+BY203-BZ203</f>
        <v>0</v>
      </c>
      <c r="CB203" s="30" t="n">
        <f aca="false">CG202</f>
        <v>0</v>
      </c>
      <c r="CC203" s="30" t="n">
        <f aca="false">CB203*$CB$5/12</f>
        <v>0</v>
      </c>
      <c r="CD203" s="30" t="n">
        <f aca="false">MIN($CB$6,CB203+CC203)</f>
        <v>0</v>
      </c>
      <c r="CE203" s="30" t="n">
        <f aca="false">MAX(0,MIN(BV203,CB203+CC203-CD203))</f>
        <v>0</v>
      </c>
      <c r="CF203" s="29" t="n">
        <f aca="false">BV203-CE203</f>
        <v>690</v>
      </c>
      <c r="CG203" s="30" t="n">
        <f aca="false">CB203+CC203-CD203-CE203</f>
        <v>0</v>
      </c>
      <c r="CH203" s="30" t="n">
        <f aca="false">CK202</f>
        <v>0</v>
      </c>
      <c r="CI203" s="30" t="n">
        <f aca="false">CH203*$CB$5/12</f>
        <v>0</v>
      </c>
      <c r="CJ203" s="30" t="n">
        <f aca="false">MIN($CB$6,CH203+CI203)</f>
        <v>0</v>
      </c>
      <c r="CK203" s="30" t="n">
        <f aca="false">CH203+CI203-CJ203</f>
        <v>0</v>
      </c>
    </row>
    <row r="204" customFormat="false" ht="15" hidden="false" customHeight="false" outlineLevel="0" collapsed="false">
      <c r="A204" s="0" t="n">
        <v>196</v>
      </c>
      <c r="B204" s="29" t="n">
        <f aca="false">'1 Your debts'!$B$16-(L204+V204+AF204+AP204+AZ204+BJ204+BT204+CD204)</f>
        <v>690</v>
      </c>
      <c r="C204" s="34" t="n">
        <f aca="false">O204+Y204+AI204+AS204+BC204+BM204+BW204+CG204</f>
        <v>0</v>
      </c>
      <c r="D204" s="34" t="n">
        <f aca="false">K204+U204+AE204+AO204+AY204+BI204+BS204+CC204</f>
        <v>0</v>
      </c>
      <c r="F204" s="34" t="n">
        <f aca="false">S204+AC204+AM204+AW204+BG204+BQ204+CA204+CK204</f>
        <v>0</v>
      </c>
      <c r="G204" s="34" t="n">
        <f aca="false">Q204+AA204+AK204+AU204+BE204+BO204+BY204+CI204</f>
        <v>0</v>
      </c>
      <c r="J204" s="34" t="n">
        <f aca="false">O203</f>
        <v>0</v>
      </c>
      <c r="K204" s="34" t="n">
        <f aca="false">J204*$J$5/12</f>
        <v>0</v>
      </c>
      <c r="L204" s="29" t="n">
        <f aca="false">MIN($J$6,J204+K204)</f>
        <v>0</v>
      </c>
      <c r="M204" s="30" t="n">
        <f aca="false">MAX(0,MIN($B204,J204+K204-L204))</f>
        <v>0</v>
      </c>
      <c r="N204" s="29" t="n">
        <f aca="false">$B204-M204</f>
        <v>690</v>
      </c>
      <c r="O204" s="34" t="n">
        <f aca="false">J204+K204-L204-M204</f>
        <v>0</v>
      </c>
      <c r="P204" s="34" t="n">
        <f aca="false">S203</f>
        <v>0</v>
      </c>
      <c r="Q204" s="34" t="n">
        <f aca="false">P204*$J$5/12</f>
        <v>0</v>
      </c>
      <c r="R204" s="29" t="n">
        <f aca="false">MIN($J$6,P204+Q204)</f>
        <v>0</v>
      </c>
      <c r="S204" s="34" t="n">
        <f aca="false">P204+Q204-R204</f>
        <v>0</v>
      </c>
      <c r="T204" s="34" t="n">
        <f aca="false">Y203</f>
        <v>0</v>
      </c>
      <c r="U204" s="34" t="n">
        <f aca="false">T204*$T$5/12</f>
        <v>0</v>
      </c>
      <c r="V204" s="29" t="n">
        <f aca="false">MIN($T$6,T204+U204)</f>
        <v>0</v>
      </c>
      <c r="W204" s="30" t="n">
        <f aca="false">MAX(0,MIN(N204,T204+U204-V204))</f>
        <v>0</v>
      </c>
      <c r="X204" s="29" t="n">
        <f aca="false">N204-W204</f>
        <v>690</v>
      </c>
      <c r="Y204" s="34" t="n">
        <f aca="false">T204+U204-V204-W204</f>
        <v>0</v>
      </c>
      <c r="Z204" s="34" t="n">
        <f aca="false">AC203</f>
        <v>0</v>
      </c>
      <c r="AA204" s="34" t="n">
        <f aca="false">Z204*$T$5/12</f>
        <v>0</v>
      </c>
      <c r="AB204" s="29" t="n">
        <f aca="false">MIN($T$6,Z204+AA204)</f>
        <v>0</v>
      </c>
      <c r="AC204" s="34" t="n">
        <f aca="false">Z204+AA204-AB204</f>
        <v>0</v>
      </c>
      <c r="AD204" s="34" t="n">
        <f aca="false">AI203</f>
        <v>0</v>
      </c>
      <c r="AE204" s="34" t="n">
        <f aca="false">AD204*$AD$5/12</f>
        <v>0</v>
      </c>
      <c r="AF204" s="29" t="n">
        <f aca="false">MIN($AD$6,AD204+AE204)</f>
        <v>0</v>
      </c>
      <c r="AG204" s="30" t="n">
        <f aca="false">MAX(0,MIN(X204,AD204+AE204-AF204))</f>
        <v>0</v>
      </c>
      <c r="AH204" s="29" t="n">
        <f aca="false">X204-AG204</f>
        <v>690</v>
      </c>
      <c r="AI204" s="34" t="n">
        <f aca="false">AD204+AE204-AF204-AG204</f>
        <v>0</v>
      </c>
      <c r="AJ204" s="34" t="n">
        <f aca="false">AM203</f>
        <v>0</v>
      </c>
      <c r="AK204" s="34" t="n">
        <f aca="false">AJ204*$AD$5/12</f>
        <v>0</v>
      </c>
      <c r="AL204" s="29" t="n">
        <f aca="false">MIN($AD$6,AJ204+AK204)</f>
        <v>0</v>
      </c>
      <c r="AM204" s="34" t="n">
        <f aca="false">AJ204+AK204-AL204</f>
        <v>0</v>
      </c>
      <c r="AN204" s="34" t="n">
        <f aca="false">AS203</f>
        <v>0</v>
      </c>
      <c r="AO204" s="34" t="n">
        <f aca="false">AN204*$AN$5/12</f>
        <v>0</v>
      </c>
      <c r="AP204" s="29" t="n">
        <f aca="false">MIN($AN$6,AN204+AO204)</f>
        <v>0</v>
      </c>
      <c r="AQ204" s="30" t="n">
        <f aca="false">MAX(0,MIN(AH204,AN204+AO204-AP204))</f>
        <v>0</v>
      </c>
      <c r="AR204" s="29" t="n">
        <f aca="false">AH204-AQ204</f>
        <v>690</v>
      </c>
      <c r="AS204" s="34" t="n">
        <f aca="false">AN204+AO204-AP204-AQ204</f>
        <v>0</v>
      </c>
      <c r="AT204" s="34" t="n">
        <f aca="false">AW203</f>
        <v>0</v>
      </c>
      <c r="AU204" s="34" t="n">
        <f aca="false">AT204*$AN$5/12</f>
        <v>0</v>
      </c>
      <c r="AV204" s="29" t="n">
        <f aca="false">MIN($AN$6,AT204+AU204)</f>
        <v>0</v>
      </c>
      <c r="AW204" s="34" t="n">
        <f aca="false">AT204+AU204-AV204</f>
        <v>0</v>
      </c>
      <c r="AX204" s="30" t="n">
        <f aca="false">BC203</f>
        <v>0</v>
      </c>
      <c r="AY204" s="30" t="n">
        <f aca="false">AX204*$AX$5/12</f>
        <v>0</v>
      </c>
      <c r="AZ204" s="30" t="n">
        <f aca="false">MIN($AX$6,AX204+AY204)</f>
        <v>0</v>
      </c>
      <c r="BA204" s="30" t="n">
        <f aca="false">MAX(0,MIN(AR204,AX204+AY204-AZ204))</f>
        <v>0</v>
      </c>
      <c r="BB204" s="29" t="n">
        <f aca="false">AR204-BA204</f>
        <v>690</v>
      </c>
      <c r="BC204" s="30" t="n">
        <f aca="false">AX204+AY204-AZ204-BA204</f>
        <v>0</v>
      </c>
      <c r="BD204" s="30" t="n">
        <f aca="false">BG203</f>
        <v>0</v>
      </c>
      <c r="BE204" s="30" t="n">
        <f aca="false">BD204*$AX$5/12</f>
        <v>0</v>
      </c>
      <c r="BF204" s="30" t="n">
        <f aca="false">MIN($AX$6,BD204+BE204)</f>
        <v>0</v>
      </c>
      <c r="BG204" s="30" t="n">
        <f aca="false">BD204+BE204-BF204</f>
        <v>0</v>
      </c>
      <c r="BH204" s="30" t="n">
        <f aca="false">BM203</f>
        <v>0</v>
      </c>
      <c r="BI204" s="30" t="n">
        <f aca="false">BH204*$BH$5/12</f>
        <v>0</v>
      </c>
      <c r="BJ204" s="30" t="n">
        <f aca="false">MIN($BH$6,BH204+BI204)</f>
        <v>0</v>
      </c>
      <c r="BK204" s="30" t="n">
        <f aca="false">MAX(0,MIN(BB204,BH204+BI204-BJ204))</f>
        <v>0</v>
      </c>
      <c r="BL204" s="29" t="n">
        <f aca="false">BB204-BK204</f>
        <v>690</v>
      </c>
      <c r="BM204" s="30" t="n">
        <f aca="false">BH204+BI204-BJ204-BK204</f>
        <v>0</v>
      </c>
      <c r="BN204" s="30" t="n">
        <f aca="false">BQ203</f>
        <v>0</v>
      </c>
      <c r="BO204" s="30" t="n">
        <f aca="false">BN204*$BH$5/12</f>
        <v>0</v>
      </c>
      <c r="BP204" s="30" t="n">
        <f aca="false">MIN($BH$6,BN204+BO204)</f>
        <v>0</v>
      </c>
      <c r="BQ204" s="30" t="n">
        <f aca="false">BN204+BO204-BP204</f>
        <v>0</v>
      </c>
      <c r="BR204" s="30" t="n">
        <f aca="false">BW203</f>
        <v>0</v>
      </c>
      <c r="BS204" s="30" t="n">
        <f aca="false">BR204*$BR$5/12</f>
        <v>0</v>
      </c>
      <c r="BT204" s="30" t="n">
        <f aca="false">MIN($BR$6,BR204+BS204)</f>
        <v>0</v>
      </c>
      <c r="BU204" s="30" t="n">
        <f aca="false">MAX(0,MIN(BL204,BR204+BS204-BT204))</f>
        <v>0</v>
      </c>
      <c r="BV204" s="29" t="n">
        <f aca="false">BL204-BU204</f>
        <v>690</v>
      </c>
      <c r="BW204" s="30" t="n">
        <f aca="false">BR204+BS204-BT204-BU204</f>
        <v>0</v>
      </c>
      <c r="BX204" s="30" t="n">
        <f aca="false">CA203</f>
        <v>0</v>
      </c>
      <c r="BY204" s="30" t="n">
        <f aca="false">BX204*$BR$5/12</f>
        <v>0</v>
      </c>
      <c r="BZ204" s="30" t="n">
        <f aca="false">MIN($BR$6,BX204+BY204)</f>
        <v>0</v>
      </c>
      <c r="CA204" s="30" t="n">
        <f aca="false">BX204+BY204-BZ204</f>
        <v>0</v>
      </c>
      <c r="CB204" s="30" t="n">
        <f aca="false">CG203</f>
        <v>0</v>
      </c>
      <c r="CC204" s="30" t="n">
        <f aca="false">CB204*$CB$5/12</f>
        <v>0</v>
      </c>
      <c r="CD204" s="30" t="n">
        <f aca="false">MIN($CB$6,CB204+CC204)</f>
        <v>0</v>
      </c>
      <c r="CE204" s="30" t="n">
        <f aca="false">MAX(0,MIN(BV204,CB204+CC204-CD204))</f>
        <v>0</v>
      </c>
      <c r="CF204" s="29" t="n">
        <f aca="false">BV204-CE204</f>
        <v>690</v>
      </c>
      <c r="CG204" s="30" t="n">
        <f aca="false">CB204+CC204-CD204-CE204</f>
        <v>0</v>
      </c>
      <c r="CH204" s="30" t="n">
        <f aca="false">CK203</f>
        <v>0</v>
      </c>
      <c r="CI204" s="30" t="n">
        <f aca="false">CH204*$CB$5/12</f>
        <v>0</v>
      </c>
      <c r="CJ204" s="30" t="n">
        <f aca="false">MIN($CB$6,CH204+CI204)</f>
        <v>0</v>
      </c>
      <c r="CK204" s="30" t="n">
        <f aca="false">CH204+CI204-CJ204</f>
        <v>0</v>
      </c>
    </row>
    <row r="205" customFormat="false" ht="15" hidden="false" customHeight="false" outlineLevel="0" collapsed="false">
      <c r="A205" s="0" t="n">
        <v>197</v>
      </c>
      <c r="B205" s="29" t="n">
        <f aca="false">'1 Your debts'!$B$16-(L205+V205+AF205+AP205+AZ205+BJ205+BT205+CD205)</f>
        <v>690</v>
      </c>
      <c r="C205" s="34" t="n">
        <f aca="false">O205+Y205+AI205+AS205+BC205+BM205+BW205+CG205</f>
        <v>0</v>
      </c>
      <c r="D205" s="34" t="n">
        <f aca="false">K205+U205+AE205+AO205+AY205+BI205+BS205+CC205</f>
        <v>0</v>
      </c>
      <c r="F205" s="34" t="n">
        <f aca="false">S205+AC205+AM205+AW205+BG205+BQ205+CA205+CK205</f>
        <v>0</v>
      </c>
      <c r="G205" s="34" t="n">
        <f aca="false">Q205+AA205+AK205+AU205+BE205+BO205+BY205+CI205</f>
        <v>0</v>
      </c>
      <c r="J205" s="34" t="n">
        <f aca="false">O204</f>
        <v>0</v>
      </c>
      <c r="K205" s="34" t="n">
        <f aca="false">J205*$J$5/12</f>
        <v>0</v>
      </c>
      <c r="L205" s="29" t="n">
        <f aca="false">MIN($J$6,J205+K205)</f>
        <v>0</v>
      </c>
      <c r="M205" s="30" t="n">
        <f aca="false">MAX(0,MIN($B205,J205+K205-L205))</f>
        <v>0</v>
      </c>
      <c r="N205" s="29" t="n">
        <f aca="false">$B205-M205</f>
        <v>690</v>
      </c>
      <c r="O205" s="34" t="n">
        <f aca="false">J205+K205-L205-M205</f>
        <v>0</v>
      </c>
      <c r="P205" s="34" t="n">
        <f aca="false">S204</f>
        <v>0</v>
      </c>
      <c r="Q205" s="34" t="n">
        <f aca="false">P205*$J$5/12</f>
        <v>0</v>
      </c>
      <c r="R205" s="29" t="n">
        <f aca="false">MIN($J$6,P205+Q205)</f>
        <v>0</v>
      </c>
      <c r="S205" s="34" t="n">
        <f aca="false">P205+Q205-R205</f>
        <v>0</v>
      </c>
      <c r="T205" s="34" t="n">
        <f aca="false">Y204</f>
        <v>0</v>
      </c>
      <c r="U205" s="34" t="n">
        <f aca="false">T205*$T$5/12</f>
        <v>0</v>
      </c>
      <c r="V205" s="29" t="n">
        <f aca="false">MIN($T$6,T205+U205)</f>
        <v>0</v>
      </c>
      <c r="W205" s="30" t="n">
        <f aca="false">MAX(0,MIN(N205,T205+U205-V205))</f>
        <v>0</v>
      </c>
      <c r="X205" s="29" t="n">
        <f aca="false">N205-W205</f>
        <v>690</v>
      </c>
      <c r="Y205" s="34" t="n">
        <f aca="false">T205+U205-V205-W205</f>
        <v>0</v>
      </c>
      <c r="Z205" s="34" t="n">
        <f aca="false">AC204</f>
        <v>0</v>
      </c>
      <c r="AA205" s="34" t="n">
        <f aca="false">Z205*$T$5/12</f>
        <v>0</v>
      </c>
      <c r="AB205" s="29" t="n">
        <f aca="false">MIN($T$6,Z205+AA205)</f>
        <v>0</v>
      </c>
      <c r="AC205" s="34" t="n">
        <f aca="false">Z205+AA205-AB205</f>
        <v>0</v>
      </c>
      <c r="AD205" s="34" t="n">
        <f aca="false">AI204</f>
        <v>0</v>
      </c>
      <c r="AE205" s="34" t="n">
        <f aca="false">AD205*$AD$5/12</f>
        <v>0</v>
      </c>
      <c r="AF205" s="29" t="n">
        <f aca="false">MIN($AD$6,AD205+AE205)</f>
        <v>0</v>
      </c>
      <c r="AG205" s="30" t="n">
        <f aca="false">MAX(0,MIN(X205,AD205+AE205-AF205))</f>
        <v>0</v>
      </c>
      <c r="AH205" s="29" t="n">
        <f aca="false">X205-AG205</f>
        <v>690</v>
      </c>
      <c r="AI205" s="34" t="n">
        <f aca="false">AD205+AE205-AF205-AG205</f>
        <v>0</v>
      </c>
      <c r="AJ205" s="34" t="n">
        <f aca="false">AM204</f>
        <v>0</v>
      </c>
      <c r="AK205" s="34" t="n">
        <f aca="false">AJ205*$AD$5/12</f>
        <v>0</v>
      </c>
      <c r="AL205" s="29" t="n">
        <f aca="false">MIN($AD$6,AJ205+AK205)</f>
        <v>0</v>
      </c>
      <c r="AM205" s="34" t="n">
        <f aca="false">AJ205+AK205-AL205</f>
        <v>0</v>
      </c>
      <c r="AN205" s="34" t="n">
        <f aca="false">AS204</f>
        <v>0</v>
      </c>
      <c r="AO205" s="34" t="n">
        <f aca="false">AN205*$AN$5/12</f>
        <v>0</v>
      </c>
      <c r="AP205" s="29" t="n">
        <f aca="false">MIN($AN$6,AN205+AO205)</f>
        <v>0</v>
      </c>
      <c r="AQ205" s="30" t="n">
        <f aca="false">MAX(0,MIN(AH205,AN205+AO205-AP205))</f>
        <v>0</v>
      </c>
      <c r="AR205" s="29" t="n">
        <f aca="false">AH205-AQ205</f>
        <v>690</v>
      </c>
      <c r="AS205" s="34" t="n">
        <f aca="false">AN205+AO205-AP205-AQ205</f>
        <v>0</v>
      </c>
      <c r="AT205" s="34" t="n">
        <f aca="false">AW204</f>
        <v>0</v>
      </c>
      <c r="AU205" s="34" t="n">
        <f aca="false">AT205*$AN$5/12</f>
        <v>0</v>
      </c>
      <c r="AV205" s="29" t="n">
        <f aca="false">MIN($AN$6,AT205+AU205)</f>
        <v>0</v>
      </c>
      <c r="AW205" s="34" t="n">
        <f aca="false">AT205+AU205-AV205</f>
        <v>0</v>
      </c>
      <c r="AX205" s="30" t="n">
        <f aca="false">BC204</f>
        <v>0</v>
      </c>
      <c r="AY205" s="30" t="n">
        <f aca="false">AX205*$AX$5/12</f>
        <v>0</v>
      </c>
      <c r="AZ205" s="30" t="n">
        <f aca="false">MIN($AX$6,AX205+AY205)</f>
        <v>0</v>
      </c>
      <c r="BA205" s="30" t="n">
        <f aca="false">MAX(0,MIN(AR205,AX205+AY205-AZ205))</f>
        <v>0</v>
      </c>
      <c r="BB205" s="29" t="n">
        <f aca="false">AR205-BA205</f>
        <v>690</v>
      </c>
      <c r="BC205" s="30" t="n">
        <f aca="false">AX205+AY205-AZ205-BA205</f>
        <v>0</v>
      </c>
      <c r="BD205" s="30" t="n">
        <f aca="false">BG204</f>
        <v>0</v>
      </c>
      <c r="BE205" s="30" t="n">
        <f aca="false">BD205*$AX$5/12</f>
        <v>0</v>
      </c>
      <c r="BF205" s="30" t="n">
        <f aca="false">MIN($AX$6,BD205+BE205)</f>
        <v>0</v>
      </c>
      <c r="BG205" s="30" t="n">
        <f aca="false">BD205+BE205-BF205</f>
        <v>0</v>
      </c>
      <c r="BH205" s="30" t="n">
        <f aca="false">BM204</f>
        <v>0</v>
      </c>
      <c r="BI205" s="30" t="n">
        <f aca="false">BH205*$BH$5/12</f>
        <v>0</v>
      </c>
      <c r="BJ205" s="30" t="n">
        <f aca="false">MIN($BH$6,BH205+BI205)</f>
        <v>0</v>
      </c>
      <c r="BK205" s="30" t="n">
        <f aca="false">MAX(0,MIN(BB205,BH205+BI205-BJ205))</f>
        <v>0</v>
      </c>
      <c r="BL205" s="29" t="n">
        <f aca="false">BB205-BK205</f>
        <v>690</v>
      </c>
      <c r="BM205" s="30" t="n">
        <f aca="false">BH205+BI205-BJ205-BK205</f>
        <v>0</v>
      </c>
      <c r="BN205" s="30" t="n">
        <f aca="false">BQ204</f>
        <v>0</v>
      </c>
      <c r="BO205" s="30" t="n">
        <f aca="false">BN205*$BH$5/12</f>
        <v>0</v>
      </c>
      <c r="BP205" s="30" t="n">
        <f aca="false">MIN($BH$6,BN205+BO205)</f>
        <v>0</v>
      </c>
      <c r="BQ205" s="30" t="n">
        <f aca="false">BN205+BO205-BP205</f>
        <v>0</v>
      </c>
      <c r="BR205" s="30" t="n">
        <f aca="false">BW204</f>
        <v>0</v>
      </c>
      <c r="BS205" s="30" t="n">
        <f aca="false">BR205*$BR$5/12</f>
        <v>0</v>
      </c>
      <c r="BT205" s="30" t="n">
        <f aca="false">MIN($BR$6,BR205+BS205)</f>
        <v>0</v>
      </c>
      <c r="BU205" s="30" t="n">
        <f aca="false">MAX(0,MIN(BL205,BR205+BS205-BT205))</f>
        <v>0</v>
      </c>
      <c r="BV205" s="29" t="n">
        <f aca="false">BL205-BU205</f>
        <v>690</v>
      </c>
      <c r="BW205" s="30" t="n">
        <f aca="false">BR205+BS205-BT205-BU205</f>
        <v>0</v>
      </c>
      <c r="BX205" s="30" t="n">
        <f aca="false">CA204</f>
        <v>0</v>
      </c>
      <c r="BY205" s="30" t="n">
        <f aca="false">BX205*$BR$5/12</f>
        <v>0</v>
      </c>
      <c r="BZ205" s="30" t="n">
        <f aca="false">MIN($BR$6,BX205+BY205)</f>
        <v>0</v>
      </c>
      <c r="CA205" s="30" t="n">
        <f aca="false">BX205+BY205-BZ205</f>
        <v>0</v>
      </c>
      <c r="CB205" s="30" t="n">
        <f aca="false">CG204</f>
        <v>0</v>
      </c>
      <c r="CC205" s="30" t="n">
        <f aca="false">CB205*$CB$5/12</f>
        <v>0</v>
      </c>
      <c r="CD205" s="30" t="n">
        <f aca="false">MIN($CB$6,CB205+CC205)</f>
        <v>0</v>
      </c>
      <c r="CE205" s="30" t="n">
        <f aca="false">MAX(0,MIN(BV205,CB205+CC205-CD205))</f>
        <v>0</v>
      </c>
      <c r="CF205" s="29" t="n">
        <f aca="false">BV205-CE205</f>
        <v>690</v>
      </c>
      <c r="CG205" s="30" t="n">
        <f aca="false">CB205+CC205-CD205-CE205</f>
        <v>0</v>
      </c>
      <c r="CH205" s="30" t="n">
        <f aca="false">CK204</f>
        <v>0</v>
      </c>
      <c r="CI205" s="30" t="n">
        <f aca="false">CH205*$CB$5/12</f>
        <v>0</v>
      </c>
      <c r="CJ205" s="30" t="n">
        <f aca="false">MIN($CB$6,CH205+CI205)</f>
        <v>0</v>
      </c>
      <c r="CK205" s="30" t="n">
        <f aca="false">CH205+CI205-CJ205</f>
        <v>0</v>
      </c>
    </row>
    <row r="206" customFormat="false" ht="15" hidden="false" customHeight="false" outlineLevel="0" collapsed="false">
      <c r="A206" s="0" t="n">
        <v>198</v>
      </c>
      <c r="B206" s="29" t="n">
        <f aca="false">'1 Your debts'!$B$16-(L206+V206+AF206+AP206+AZ206+BJ206+BT206+CD206)</f>
        <v>690</v>
      </c>
      <c r="C206" s="34" t="n">
        <f aca="false">O206+Y206+AI206+AS206+BC206+BM206+BW206+CG206</f>
        <v>0</v>
      </c>
      <c r="D206" s="34" t="n">
        <f aca="false">K206+U206+AE206+AO206+AY206+BI206+BS206+CC206</f>
        <v>0</v>
      </c>
      <c r="F206" s="34" t="n">
        <f aca="false">S206+AC206+AM206+AW206+BG206+BQ206+CA206+CK206</f>
        <v>0</v>
      </c>
      <c r="G206" s="34" t="n">
        <f aca="false">Q206+AA206+AK206+AU206+BE206+BO206+BY206+CI206</f>
        <v>0</v>
      </c>
      <c r="J206" s="34" t="n">
        <f aca="false">O205</f>
        <v>0</v>
      </c>
      <c r="K206" s="34" t="n">
        <f aca="false">J206*$J$5/12</f>
        <v>0</v>
      </c>
      <c r="L206" s="29" t="n">
        <f aca="false">MIN($J$6,J206+K206)</f>
        <v>0</v>
      </c>
      <c r="M206" s="30" t="n">
        <f aca="false">MAX(0,MIN($B206,J206+K206-L206))</f>
        <v>0</v>
      </c>
      <c r="N206" s="29" t="n">
        <f aca="false">$B206-M206</f>
        <v>690</v>
      </c>
      <c r="O206" s="34" t="n">
        <f aca="false">J206+K206-L206-M206</f>
        <v>0</v>
      </c>
      <c r="P206" s="34" t="n">
        <f aca="false">S205</f>
        <v>0</v>
      </c>
      <c r="Q206" s="34" t="n">
        <f aca="false">P206*$J$5/12</f>
        <v>0</v>
      </c>
      <c r="R206" s="29" t="n">
        <f aca="false">MIN($J$6,P206+Q206)</f>
        <v>0</v>
      </c>
      <c r="S206" s="34" t="n">
        <f aca="false">P206+Q206-R206</f>
        <v>0</v>
      </c>
      <c r="T206" s="34" t="n">
        <f aca="false">Y205</f>
        <v>0</v>
      </c>
      <c r="U206" s="34" t="n">
        <f aca="false">T206*$T$5/12</f>
        <v>0</v>
      </c>
      <c r="V206" s="29" t="n">
        <f aca="false">MIN($T$6,T206+U206)</f>
        <v>0</v>
      </c>
      <c r="W206" s="30" t="n">
        <f aca="false">MAX(0,MIN(N206,T206+U206-V206))</f>
        <v>0</v>
      </c>
      <c r="X206" s="29" t="n">
        <f aca="false">N206-W206</f>
        <v>690</v>
      </c>
      <c r="Y206" s="34" t="n">
        <f aca="false">T206+U206-V206-W206</f>
        <v>0</v>
      </c>
      <c r="Z206" s="34" t="n">
        <f aca="false">AC205</f>
        <v>0</v>
      </c>
      <c r="AA206" s="34" t="n">
        <f aca="false">Z206*$T$5/12</f>
        <v>0</v>
      </c>
      <c r="AB206" s="29" t="n">
        <f aca="false">MIN($T$6,Z206+AA206)</f>
        <v>0</v>
      </c>
      <c r="AC206" s="34" t="n">
        <f aca="false">Z206+AA206-AB206</f>
        <v>0</v>
      </c>
      <c r="AD206" s="34" t="n">
        <f aca="false">AI205</f>
        <v>0</v>
      </c>
      <c r="AE206" s="34" t="n">
        <f aca="false">AD206*$AD$5/12</f>
        <v>0</v>
      </c>
      <c r="AF206" s="29" t="n">
        <f aca="false">MIN($AD$6,AD206+AE206)</f>
        <v>0</v>
      </c>
      <c r="AG206" s="30" t="n">
        <f aca="false">MAX(0,MIN(X206,AD206+AE206-AF206))</f>
        <v>0</v>
      </c>
      <c r="AH206" s="29" t="n">
        <f aca="false">X206-AG206</f>
        <v>690</v>
      </c>
      <c r="AI206" s="34" t="n">
        <f aca="false">AD206+AE206-AF206-AG206</f>
        <v>0</v>
      </c>
      <c r="AJ206" s="34" t="n">
        <f aca="false">AM205</f>
        <v>0</v>
      </c>
      <c r="AK206" s="34" t="n">
        <f aca="false">AJ206*$AD$5/12</f>
        <v>0</v>
      </c>
      <c r="AL206" s="29" t="n">
        <f aca="false">MIN($AD$6,AJ206+AK206)</f>
        <v>0</v>
      </c>
      <c r="AM206" s="34" t="n">
        <f aca="false">AJ206+AK206-AL206</f>
        <v>0</v>
      </c>
      <c r="AN206" s="34" t="n">
        <f aca="false">AS205</f>
        <v>0</v>
      </c>
      <c r="AO206" s="34" t="n">
        <f aca="false">AN206*$AN$5/12</f>
        <v>0</v>
      </c>
      <c r="AP206" s="29" t="n">
        <f aca="false">MIN($AN$6,AN206+AO206)</f>
        <v>0</v>
      </c>
      <c r="AQ206" s="30" t="n">
        <f aca="false">MAX(0,MIN(AH206,AN206+AO206-AP206))</f>
        <v>0</v>
      </c>
      <c r="AR206" s="29" t="n">
        <f aca="false">AH206-AQ206</f>
        <v>690</v>
      </c>
      <c r="AS206" s="34" t="n">
        <f aca="false">AN206+AO206-AP206-AQ206</f>
        <v>0</v>
      </c>
      <c r="AT206" s="34" t="n">
        <f aca="false">AW205</f>
        <v>0</v>
      </c>
      <c r="AU206" s="34" t="n">
        <f aca="false">AT206*$AN$5/12</f>
        <v>0</v>
      </c>
      <c r="AV206" s="29" t="n">
        <f aca="false">MIN($AN$6,AT206+AU206)</f>
        <v>0</v>
      </c>
      <c r="AW206" s="34" t="n">
        <f aca="false">AT206+AU206-AV206</f>
        <v>0</v>
      </c>
      <c r="AX206" s="30" t="n">
        <f aca="false">BC205</f>
        <v>0</v>
      </c>
      <c r="AY206" s="30" t="n">
        <f aca="false">AX206*$AX$5/12</f>
        <v>0</v>
      </c>
      <c r="AZ206" s="30" t="n">
        <f aca="false">MIN($AX$6,AX206+AY206)</f>
        <v>0</v>
      </c>
      <c r="BA206" s="30" t="n">
        <f aca="false">MAX(0,MIN(AR206,AX206+AY206-AZ206))</f>
        <v>0</v>
      </c>
      <c r="BB206" s="29" t="n">
        <f aca="false">AR206-BA206</f>
        <v>690</v>
      </c>
      <c r="BC206" s="30" t="n">
        <f aca="false">AX206+AY206-AZ206-BA206</f>
        <v>0</v>
      </c>
      <c r="BD206" s="30" t="n">
        <f aca="false">BG205</f>
        <v>0</v>
      </c>
      <c r="BE206" s="30" t="n">
        <f aca="false">BD206*$AX$5/12</f>
        <v>0</v>
      </c>
      <c r="BF206" s="30" t="n">
        <f aca="false">MIN($AX$6,BD206+BE206)</f>
        <v>0</v>
      </c>
      <c r="BG206" s="30" t="n">
        <f aca="false">BD206+BE206-BF206</f>
        <v>0</v>
      </c>
      <c r="BH206" s="30" t="n">
        <f aca="false">BM205</f>
        <v>0</v>
      </c>
      <c r="BI206" s="30" t="n">
        <f aca="false">BH206*$BH$5/12</f>
        <v>0</v>
      </c>
      <c r="BJ206" s="30" t="n">
        <f aca="false">MIN($BH$6,BH206+BI206)</f>
        <v>0</v>
      </c>
      <c r="BK206" s="30" t="n">
        <f aca="false">MAX(0,MIN(BB206,BH206+BI206-BJ206))</f>
        <v>0</v>
      </c>
      <c r="BL206" s="29" t="n">
        <f aca="false">BB206-BK206</f>
        <v>690</v>
      </c>
      <c r="BM206" s="30" t="n">
        <f aca="false">BH206+BI206-BJ206-BK206</f>
        <v>0</v>
      </c>
      <c r="BN206" s="30" t="n">
        <f aca="false">BQ205</f>
        <v>0</v>
      </c>
      <c r="BO206" s="30" t="n">
        <f aca="false">BN206*$BH$5/12</f>
        <v>0</v>
      </c>
      <c r="BP206" s="30" t="n">
        <f aca="false">MIN($BH$6,BN206+BO206)</f>
        <v>0</v>
      </c>
      <c r="BQ206" s="30" t="n">
        <f aca="false">BN206+BO206-BP206</f>
        <v>0</v>
      </c>
      <c r="BR206" s="30" t="n">
        <f aca="false">BW205</f>
        <v>0</v>
      </c>
      <c r="BS206" s="30" t="n">
        <f aca="false">BR206*$BR$5/12</f>
        <v>0</v>
      </c>
      <c r="BT206" s="30" t="n">
        <f aca="false">MIN($BR$6,BR206+BS206)</f>
        <v>0</v>
      </c>
      <c r="BU206" s="30" t="n">
        <f aca="false">MAX(0,MIN(BL206,BR206+BS206-BT206))</f>
        <v>0</v>
      </c>
      <c r="BV206" s="29" t="n">
        <f aca="false">BL206-BU206</f>
        <v>690</v>
      </c>
      <c r="BW206" s="30" t="n">
        <f aca="false">BR206+BS206-BT206-BU206</f>
        <v>0</v>
      </c>
      <c r="BX206" s="30" t="n">
        <f aca="false">CA205</f>
        <v>0</v>
      </c>
      <c r="BY206" s="30" t="n">
        <f aca="false">BX206*$BR$5/12</f>
        <v>0</v>
      </c>
      <c r="BZ206" s="30" t="n">
        <f aca="false">MIN($BR$6,BX206+BY206)</f>
        <v>0</v>
      </c>
      <c r="CA206" s="30" t="n">
        <f aca="false">BX206+BY206-BZ206</f>
        <v>0</v>
      </c>
      <c r="CB206" s="30" t="n">
        <f aca="false">CG205</f>
        <v>0</v>
      </c>
      <c r="CC206" s="30" t="n">
        <f aca="false">CB206*$CB$5/12</f>
        <v>0</v>
      </c>
      <c r="CD206" s="30" t="n">
        <f aca="false">MIN($CB$6,CB206+CC206)</f>
        <v>0</v>
      </c>
      <c r="CE206" s="30" t="n">
        <f aca="false">MAX(0,MIN(BV206,CB206+CC206-CD206))</f>
        <v>0</v>
      </c>
      <c r="CF206" s="29" t="n">
        <f aca="false">BV206-CE206</f>
        <v>690</v>
      </c>
      <c r="CG206" s="30" t="n">
        <f aca="false">CB206+CC206-CD206-CE206</f>
        <v>0</v>
      </c>
      <c r="CH206" s="30" t="n">
        <f aca="false">CK205</f>
        <v>0</v>
      </c>
      <c r="CI206" s="30" t="n">
        <f aca="false">CH206*$CB$5/12</f>
        <v>0</v>
      </c>
      <c r="CJ206" s="30" t="n">
        <f aca="false">MIN($CB$6,CH206+CI206)</f>
        <v>0</v>
      </c>
      <c r="CK206" s="30" t="n">
        <f aca="false">CH206+CI206-CJ206</f>
        <v>0</v>
      </c>
    </row>
    <row r="207" customFormat="false" ht="15" hidden="false" customHeight="false" outlineLevel="0" collapsed="false">
      <c r="A207" s="0" t="n">
        <v>199</v>
      </c>
      <c r="B207" s="29" t="n">
        <f aca="false">'1 Your debts'!$B$16-(L207+V207+AF207+AP207+AZ207+BJ207+BT207+CD207)</f>
        <v>690</v>
      </c>
      <c r="C207" s="34" t="n">
        <f aca="false">O207+Y207+AI207+AS207+BC207+BM207+BW207+CG207</f>
        <v>0</v>
      </c>
      <c r="D207" s="34" t="n">
        <f aca="false">K207+U207+AE207+AO207+AY207+BI207+BS207+CC207</f>
        <v>0</v>
      </c>
      <c r="F207" s="34" t="n">
        <f aca="false">S207+AC207+AM207+AW207+BG207+BQ207+CA207+CK207</f>
        <v>0</v>
      </c>
      <c r="G207" s="34" t="n">
        <f aca="false">Q207+AA207+AK207+AU207+BE207+BO207+BY207+CI207</f>
        <v>0</v>
      </c>
      <c r="J207" s="34" t="n">
        <f aca="false">O206</f>
        <v>0</v>
      </c>
      <c r="K207" s="34" t="n">
        <f aca="false">J207*$J$5/12</f>
        <v>0</v>
      </c>
      <c r="L207" s="29" t="n">
        <f aca="false">MIN($J$6,J207+K207)</f>
        <v>0</v>
      </c>
      <c r="M207" s="30" t="n">
        <f aca="false">MAX(0,MIN($B207,J207+K207-L207))</f>
        <v>0</v>
      </c>
      <c r="N207" s="29" t="n">
        <f aca="false">$B207-M207</f>
        <v>690</v>
      </c>
      <c r="O207" s="34" t="n">
        <f aca="false">J207+K207-L207-M207</f>
        <v>0</v>
      </c>
      <c r="P207" s="34" t="n">
        <f aca="false">S206</f>
        <v>0</v>
      </c>
      <c r="Q207" s="34" t="n">
        <f aca="false">P207*$J$5/12</f>
        <v>0</v>
      </c>
      <c r="R207" s="29" t="n">
        <f aca="false">MIN($J$6,P207+Q207)</f>
        <v>0</v>
      </c>
      <c r="S207" s="34" t="n">
        <f aca="false">P207+Q207-R207</f>
        <v>0</v>
      </c>
      <c r="T207" s="34" t="n">
        <f aca="false">Y206</f>
        <v>0</v>
      </c>
      <c r="U207" s="34" t="n">
        <f aca="false">T207*$T$5/12</f>
        <v>0</v>
      </c>
      <c r="V207" s="29" t="n">
        <f aca="false">MIN($T$6,T207+U207)</f>
        <v>0</v>
      </c>
      <c r="W207" s="30" t="n">
        <f aca="false">MAX(0,MIN(N207,T207+U207-V207))</f>
        <v>0</v>
      </c>
      <c r="X207" s="29" t="n">
        <f aca="false">N207-W207</f>
        <v>690</v>
      </c>
      <c r="Y207" s="34" t="n">
        <f aca="false">T207+U207-V207-W207</f>
        <v>0</v>
      </c>
      <c r="Z207" s="34" t="n">
        <f aca="false">AC206</f>
        <v>0</v>
      </c>
      <c r="AA207" s="34" t="n">
        <f aca="false">Z207*$T$5/12</f>
        <v>0</v>
      </c>
      <c r="AB207" s="29" t="n">
        <f aca="false">MIN($T$6,Z207+AA207)</f>
        <v>0</v>
      </c>
      <c r="AC207" s="34" t="n">
        <f aca="false">Z207+AA207-AB207</f>
        <v>0</v>
      </c>
      <c r="AD207" s="34" t="n">
        <f aca="false">AI206</f>
        <v>0</v>
      </c>
      <c r="AE207" s="34" t="n">
        <f aca="false">AD207*$AD$5/12</f>
        <v>0</v>
      </c>
      <c r="AF207" s="29" t="n">
        <f aca="false">MIN($AD$6,AD207+AE207)</f>
        <v>0</v>
      </c>
      <c r="AG207" s="30" t="n">
        <f aca="false">MAX(0,MIN(X207,AD207+AE207-AF207))</f>
        <v>0</v>
      </c>
      <c r="AH207" s="29" t="n">
        <f aca="false">X207-AG207</f>
        <v>690</v>
      </c>
      <c r="AI207" s="34" t="n">
        <f aca="false">AD207+AE207-AF207-AG207</f>
        <v>0</v>
      </c>
      <c r="AJ207" s="34" t="n">
        <f aca="false">AM206</f>
        <v>0</v>
      </c>
      <c r="AK207" s="34" t="n">
        <f aca="false">AJ207*$AD$5/12</f>
        <v>0</v>
      </c>
      <c r="AL207" s="29" t="n">
        <f aca="false">MIN($AD$6,AJ207+AK207)</f>
        <v>0</v>
      </c>
      <c r="AM207" s="34" t="n">
        <f aca="false">AJ207+AK207-AL207</f>
        <v>0</v>
      </c>
      <c r="AN207" s="34" t="n">
        <f aca="false">AS206</f>
        <v>0</v>
      </c>
      <c r="AO207" s="34" t="n">
        <f aca="false">AN207*$AN$5/12</f>
        <v>0</v>
      </c>
      <c r="AP207" s="29" t="n">
        <f aca="false">MIN($AN$6,AN207+AO207)</f>
        <v>0</v>
      </c>
      <c r="AQ207" s="30" t="n">
        <f aca="false">MAX(0,MIN(AH207,AN207+AO207-AP207))</f>
        <v>0</v>
      </c>
      <c r="AR207" s="29" t="n">
        <f aca="false">AH207-AQ207</f>
        <v>690</v>
      </c>
      <c r="AS207" s="34" t="n">
        <f aca="false">AN207+AO207-AP207-AQ207</f>
        <v>0</v>
      </c>
      <c r="AT207" s="34" t="n">
        <f aca="false">AW206</f>
        <v>0</v>
      </c>
      <c r="AU207" s="34" t="n">
        <f aca="false">AT207*$AN$5/12</f>
        <v>0</v>
      </c>
      <c r="AV207" s="29" t="n">
        <f aca="false">MIN($AN$6,AT207+AU207)</f>
        <v>0</v>
      </c>
      <c r="AW207" s="34" t="n">
        <f aca="false">AT207+AU207-AV207</f>
        <v>0</v>
      </c>
      <c r="AX207" s="30" t="n">
        <f aca="false">BC206</f>
        <v>0</v>
      </c>
      <c r="AY207" s="30" t="n">
        <f aca="false">AX207*$AX$5/12</f>
        <v>0</v>
      </c>
      <c r="AZ207" s="30" t="n">
        <f aca="false">MIN($AX$6,AX207+AY207)</f>
        <v>0</v>
      </c>
      <c r="BA207" s="30" t="n">
        <f aca="false">MAX(0,MIN(AR207,AX207+AY207-AZ207))</f>
        <v>0</v>
      </c>
      <c r="BB207" s="29" t="n">
        <f aca="false">AR207-BA207</f>
        <v>690</v>
      </c>
      <c r="BC207" s="30" t="n">
        <f aca="false">AX207+AY207-AZ207-BA207</f>
        <v>0</v>
      </c>
      <c r="BD207" s="30" t="n">
        <f aca="false">BG206</f>
        <v>0</v>
      </c>
      <c r="BE207" s="30" t="n">
        <f aca="false">BD207*$AX$5/12</f>
        <v>0</v>
      </c>
      <c r="BF207" s="30" t="n">
        <f aca="false">MIN($AX$6,BD207+BE207)</f>
        <v>0</v>
      </c>
      <c r="BG207" s="30" t="n">
        <f aca="false">BD207+BE207-BF207</f>
        <v>0</v>
      </c>
      <c r="BH207" s="30" t="n">
        <f aca="false">BM206</f>
        <v>0</v>
      </c>
      <c r="BI207" s="30" t="n">
        <f aca="false">BH207*$BH$5/12</f>
        <v>0</v>
      </c>
      <c r="BJ207" s="30" t="n">
        <f aca="false">MIN($BH$6,BH207+BI207)</f>
        <v>0</v>
      </c>
      <c r="BK207" s="30" t="n">
        <f aca="false">MAX(0,MIN(BB207,BH207+BI207-BJ207))</f>
        <v>0</v>
      </c>
      <c r="BL207" s="29" t="n">
        <f aca="false">BB207-BK207</f>
        <v>690</v>
      </c>
      <c r="BM207" s="30" t="n">
        <f aca="false">BH207+BI207-BJ207-BK207</f>
        <v>0</v>
      </c>
      <c r="BN207" s="30" t="n">
        <f aca="false">BQ206</f>
        <v>0</v>
      </c>
      <c r="BO207" s="30" t="n">
        <f aca="false">BN207*$BH$5/12</f>
        <v>0</v>
      </c>
      <c r="BP207" s="30" t="n">
        <f aca="false">MIN($BH$6,BN207+BO207)</f>
        <v>0</v>
      </c>
      <c r="BQ207" s="30" t="n">
        <f aca="false">BN207+BO207-BP207</f>
        <v>0</v>
      </c>
      <c r="BR207" s="30" t="n">
        <f aca="false">BW206</f>
        <v>0</v>
      </c>
      <c r="BS207" s="30" t="n">
        <f aca="false">BR207*$BR$5/12</f>
        <v>0</v>
      </c>
      <c r="BT207" s="30" t="n">
        <f aca="false">MIN($BR$6,BR207+BS207)</f>
        <v>0</v>
      </c>
      <c r="BU207" s="30" t="n">
        <f aca="false">MAX(0,MIN(BL207,BR207+BS207-BT207))</f>
        <v>0</v>
      </c>
      <c r="BV207" s="29" t="n">
        <f aca="false">BL207-BU207</f>
        <v>690</v>
      </c>
      <c r="BW207" s="30" t="n">
        <f aca="false">BR207+BS207-BT207-BU207</f>
        <v>0</v>
      </c>
      <c r="BX207" s="30" t="n">
        <f aca="false">CA206</f>
        <v>0</v>
      </c>
      <c r="BY207" s="30" t="n">
        <f aca="false">BX207*$BR$5/12</f>
        <v>0</v>
      </c>
      <c r="BZ207" s="30" t="n">
        <f aca="false">MIN($BR$6,BX207+BY207)</f>
        <v>0</v>
      </c>
      <c r="CA207" s="30" t="n">
        <f aca="false">BX207+BY207-BZ207</f>
        <v>0</v>
      </c>
      <c r="CB207" s="30" t="n">
        <f aca="false">CG206</f>
        <v>0</v>
      </c>
      <c r="CC207" s="30" t="n">
        <f aca="false">CB207*$CB$5/12</f>
        <v>0</v>
      </c>
      <c r="CD207" s="30" t="n">
        <f aca="false">MIN($CB$6,CB207+CC207)</f>
        <v>0</v>
      </c>
      <c r="CE207" s="30" t="n">
        <f aca="false">MAX(0,MIN(BV207,CB207+CC207-CD207))</f>
        <v>0</v>
      </c>
      <c r="CF207" s="29" t="n">
        <f aca="false">BV207-CE207</f>
        <v>690</v>
      </c>
      <c r="CG207" s="30" t="n">
        <f aca="false">CB207+CC207-CD207-CE207</f>
        <v>0</v>
      </c>
      <c r="CH207" s="30" t="n">
        <f aca="false">CK206</f>
        <v>0</v>
      </c>
      <c r="CI207" s="30" t="n">
        <f aca="false">CH207*$CB$5/12</f>
        <v>0</v>
      </c>
      <c r="CJ207" s="30" t="n">
        <f aca="false">MIN($CB$6,CH207+CI207)</f>
        <v>0</v>
      </c>
      <c r="CK207" s="30" t="n">
        <f aca="false">CH207+CI207-CJ207</f>
        <v>0</v>
      </c>
    </row>
    <row r="208" customFormat="false" ht="15" hidden="false" customHeight="false" outlineLevel="0" collapsed="false">
      <c r="A208" s="0" t="n">
        <v>200</v>
      </c>
      <c r="B208" s="29" t="n">
        <f aca="false">'1 Your debts'!$B$16-(L208+V208+AF208+AP208+AZ208+BJ208+BT208+CD208)</f>
        <v>690</v>
      </c>
      <c r="C208" s="34" t="n">
        <f aca="false">O208+Y208+AI208+AS208+BC208+BM208+BW208+CG208</f>
        <v>0</v>
      </c>
      <c r="D208" s="34" t="n">
        <f aca="false">K208+U208+AE208+AO208+AY208+BI208+BS208+CC208</f>
        <v>0</v>
      </c>
      <c r="F208" s="34" t="n">
        <f aca="false">S208+AC208+AM208+AW208+BG208+BQ208+CA208+CK208</f>
        <v>0</v>
      </c>
      <c r="G208" s="34" t="n">
        <f aca="false">Q208+AA208+AK208+AU208+BE208+BO208+BY208+CI208</f>
        <v>0</v>
      </c>
      <c r="J208" s="34" t="n">
        <f aca="false">O207</f>
        <v>0</v>
      </c>
      <c r="K208" s="34" t="n">
        <f aca="false">J208*$J$5/12</f>
        <v>0</v>
      </c>
      <c r="L208" s="29" t="n">
        <f aca="false">MIN($J$6,J208+K208)</f>
        <v>0</v>
      </c>
      <c r="M208" s="30" t="n">
        <f aca="false">MAX(0,MIN($B208,J208+K208-L208))</f>
        <v>0</v>
      </c>
      <c r="N208" s="29" t="n">
        <f aca="false">$B208-M208</f>
        <v>690</v>
      </c>
      <c r="O208" s="34" t="n">
        <f aca="false">J208+K208-L208-M208</f>
        <v>0</v>
      </c>
      <c r="P208" s="34" t="n">
        <f aca="false">S207</f>
        <v>0</v>
      </c>
      <c r="Q208" s="34" t="n">
        <f aca="false">P208*$J$5/12</f>
        <v>0</v>
      </c>
      <c r="R208" s="29" t="n">
        <f aca="false">MIN($J$6,P208+Q208)</f>
        <v>0</v>
      </c>
      <c r="S208" s="34" t="n">
        <f aca="false">P208+Q208-R208</f>
        <v>0</v>
      </c>
      <c r="T208" s="34" t="n">
        <f aca="false">Y207</f>
        <v>0</v>
      </c>
      <c r="U208" s="34" t="n">
        <f aca="false">T208*$T$5/12</f>
        <v>0</v>
      </c>
      <c r="V208" s="29" t="n">
        <f aca="false">MIN($T$6,T208+U208)</f>
        <v>0</v>
      </c>
      <c r="W208" s="30" t="n">
        <f aca="false">MAX(0,MIN(N208,T208+U208-V208))</f>
        <v>0</v>
      </c>
      <c r="X208" s="29" t="n">
        <f aca="false">N208-W208</f>
        <v>690</v>
      </c>
      <c r="Y208" s="34" t="n">
        <f aca="false">T208+U208-V208-W208</f>
        <v>0</v>
      </c>
      <c r="Z208" s="34" t="n">
        <f aca="false">AC207</f>
        <v>0</v>
      </c>
      <c r="AA208" s="34" t="n">
        <f aca="false">Z208*$T$5/12</f>
        <v>0</v>
      </c>
      <c r="AB208" s="29" t="n">
        <f aca="false">MIN($T$6,Z208+AA208)</f>
        <v>0</v>
      </c>
      <c r="AC208" s="34" t="n">
        <f aca="false">Z208+AA208-AB208</f>
        <v>0</v>
      </c>
      <c r="AD208" s="34" t="n">
        <f aca="false">AI207</f>
        <v>0</v>
      </c>
      <c r="AE208" s="34" t="n">
        <f aca="false">AD208*$AD$5/12</f>
        <v>0</v>
      </c>
      <c r="AF208" s="29" t="n">
        <f aca="false">MIN($AD$6,AD208+AE208)</f>
        <v>0</v>
      </c>
      <c r="AG208" s="30" t="n">
        <f aca="false">MAX(0,MIN(X208,AD208+AE208-AF208))</f>
        <v>0</v>
      </c>
      <c r="AH208" s="29" t="n">
        <f aca="false">X208-AG208</f>
        <v>690</v>
      </c>
      <c r="AI208" s="34" t="n">
        <f aca="false">AD208+AE208-AF208-AG208</f>
        <v>0</v>
      </c>
      <c r="AJ208" s="34" t="n">
        <f aca="false">AM207</f>
        <v>0</v>
      </c>
      <c r="AK208" s="34" t="n">
        <f aca="false">AJ208*$AD$5/12</f>
        <v>0</v>
      </c>
      <c r="AL208" s="29" t="n">
        <f aca="false">MIN($AD$6,AJ208+AK208)</f>
        <v>0</v>
      </c>
      <c r="AM208" s="34" t="n">
        <f aca="false">AJ208+AK208-AL208</f>
        <v>0</v>
      </c>
      <c r="AN208" s="34" t="n">
        <f aca="false">AS207</f>
        <v>0</v>
      </c>
      <c r="AO208" s="34" t="n">
        <f aca="false">AN208*$AN$5/12</f>
        <v>0</v>
      </c>
      <c r="AP208" s="29" t="n">
        <f aca="false">MIN($AN$6,AN208+AO208)</f>
        <v>0</v>
      </c>
      <c r="AQ208" s="30" t="n">
        <f aca="false">MAX(0,MIN(AH208,AN208+AO208-AP208))</f>
        <v>0</v>
      </c>
      <c r="AR208" s="29" t="n">
        <f aca="false">AH208-AQ208</f>
        <v>690</v>
      </c>
      <c r="AS208" s="34" t="n">
        <f aca="false">AN208+AO208-AP208-AQ208</f>
        <v>0</v>
      </c>
      <c r="AT208" s="34" t="n">
        <f aca="false">AW207</f>
        <v>0</v>
      </c>
      <c r="AU208" s="34" t="n">
        <f aca="false">AT208*$AN$5/12</f>
        <v>0</v>
      </c>
      <c r="AV208" s="29" t="n">
        <f aca="false">MIN($AN$6,AT208+AU208)</f>
        <v>0</v>
      </c>
      <c r="AW208" s="34" t="n">
        <f aca="false">AT208+AU208-AV208</f>
        <v>0</v>
      </c>
      <c r="AX208" s="30" t="n">
        <f aca="false">BC207</f>
        <v>0</v>
      </c>
      <c r="AY208" s="30" t="n">
        <f aca="false">AX208*$AX$5/12</f>
        <v>0</v>
      </c>
      <c r="AZ208" s="30" t="n">
        <f aca="false">MIN($AX$6,AX208+AY208)</f>
        <v>0</v>
      </c>
      <c r="BA208" s="30" t="n">
        <f aca="false">MAX(0,MIN(AR208,AX208+AY208-AZ208))</f>
        <v>0</v>
      </c>
      <c r="BB208" s="29" t="n">
        <f aca="false">AR208-BA208</f>
        <v>690</v>
      </c>
      <c r="BC208" s="30" t="n">
        <f aca="false">AX208+AY208-AZ208-BA208</f>
        <v>0</v>
      </c>
      <c r="BD208" s="30" t="n">
        <f aca="false">BG207</f>
        <v>0</v>
      </c>
      <c r="BE208" s="30" t="n">
        <f aca="false">BD208*$AX$5/12</f>
        <v>0</v>
      </c>
      <c r="BF208" s="30" t="n">
        <f aca="false">MIN($AX$6,BD208+BE208)</f>
        <v>0</v>
      </c>
      <c r="BG208" s="30" t="n">
        <f aca="false">BD208+BE208-BF208</f>
        <v>0</v>
      </c>
      <c r="BH208" s="30" t="n">
        <f aca="false">BM207</f>
        <v>0</v>
      </c>
      <c r="BI208" s="30" t="n">
        <f aca="false">BH208*$BH$5/12</f>
        <v>0</v>
      </c>
      <c r="BJ208" s="30" t="n">
        <f aca="false">MIN($BH$6,BH208+BI208)</f>
        <v>0</v>
      </c>
      <c r="BK208" s="30" t="n">
        <f aca="false">MAX(0,MIN(BB208,BH208+BI208-BJ208))</f>
        <v>0</v>
      </c>
      <c r="BL208" s="29" t="n">
        <f aca="false">BB208-BK208</f>
        <v>690</v>
      </c>
      <c r="BM208" s="30" t="n">
        <f aca="false">BH208+BI208-BJ208-BK208</f>
        <v>0</v>
      </c>
      <c r="BN208" s="30" t="n">
        <f aca="false">BQ207</f>
        <v>0</v>
      </c>
      <c r="BO208" s="30" t="n">
        <f aca="false">BN208*$BH$5/12</f>
        <v>0</v>
      </c>
      <c r="BP208" s="30" t="n">
        <f aca="false">MIN($BH$6,BN208+BO208)</f>
        <v>0</v>
      </c>
      <c r="BQ208" s="30" t="n">
        <f aca="false">BN208+BO208-BP208</f>
        <v>0</v>
      </c>
      <c r="BR208" s="30" t="n">
        <f aca="false">BW207</f>
        <v>0</v>
      </c>
      <c r="BS208" s="30" t="n">
        <f aca="false">BR208*$BR$5/12</f>
        <v>0</v>
      </c>
      <c r="BT208" s="30" t="n">
        <f aca="false">MIN($BR$6,BR208+BS208)</f>
        <v>0</v>
      </c>
      <c r="BU208" s="30" t="n">
        <f aca="false">MAX(0,MIN(BL208,BR208+BS208-BT208))</f>
        <v>0</v>
      </c>
      <c r="BV208" s="29" t="n">
        <f aca="false">BL208-BU208</f>
        <v>690</v>
      </c>
      <c r="BW208" s="30" t="n">
        <f aca="false">BR208+BS208-BT208-BU208</f>
        <v>0</v>
      </c>
      <c r="BX208" s="30" t="n">
        <f aca="false">CA207</f>
        <v>0</v>
      </c>
      <c r="BY208" s="30" t="n">
        <f aca="false">BX208*$BR$5/12</f>
        <v>0</v>
      </c>
      <c r="BZ208" s="30" t="n">
        <f aca="false">MIN($BR$6,BX208+BY208)</f>
        <v>0</v>
      </c>
      <c r="CA208" s="30" t="n">
        <f aca="false">BX208+BY208-BZ208</f>
        <v>0</v>
      </c>
      <c r="CB208" s="30" t="n">
        <f aca="false">CG207</f>
        <v>0</v>
      </c>
      <c r="CC208" s="30" t="n">
        <f aca="false">CB208*$CB$5/12</f>
        <v>0</v>
      </c>
      <c r="CD208" s="30" t="n">
        <f aca="false">MIN($CB$6,CB208+CC208)</f>
        <v>0</v>
      </c>
      <c r="CE208" s="30" t="n">
        <f aca="false">MAX(0,MIN(BV208,CB208+CC208-CD208))</f>
        <v>0</v>
      </c>
      <c r="CF208" s="29" t="n">
        <f aca="false">BV208-CE208</f>
        <v>690</v>
      </c>
      <c r="CG208" s="30" t="n">
        <f aca="false">CB208+CC208-CD208-CE208</f>
        <v>0</v>
      </c>
      <c r="CH208" s="30" t="n">
        <f aca="false">CK207</f>
        <v>0</v>
      </c>
      <c r="CI208" s="30" t="n">
        <f aca="false">CH208*$CB$5/12</f>
        <v>0</v>
      </c>
      <c r="CJ208" s="30" t="n">
        <f aca="false">MIN($CB$6,CH208+CI208)</f>
        <v>0</v>
      </c>
      <c r="CK208" s="30" t="n">
        <f aca="false">CH208+CI208-CJ208</f>
        <v>0</v>
      </c>
    </row>
    <row r="209" customFormat="false" ht="15" hidden="false" customHeight="false" outlineLevel="0" collapsed="false">
      <c r="A209" s="0" t="n">
        <v>201</v>
      </c>
      <c r="B209" s="29" t="n">
        <f aca="false">'1 Your debts'!$B$16-(L209+V209+AF209+AP209+AZ209+BJ209+BT209+CD209)</f>
        <v>690</v>
      </c>
      <c r="C209" s="34" t="n">
        <f aca="false">O209+Y209+AI209+AS209+BC209+BM209+BW209+CG209</f>
        <v>0</v>
      </c>
      <c r="D209" s="34" t="n">
        <f aca="false">K209+U209+AE209+AO209+AY209+BI209+BS209+CC209</f>
        <v>0</v>
      </c>
      <c r="F209" s="34" t="n">
        <f aca="false">S209+AC209+AM209+AW209+BG209+BQ209+CA209+CK209</f>
        <v>0</v>
      </c>
      <c r="G209" s="34" t="n">
        <f aca="false">Q209+AA209+AK209+AU209+BE209+BO209+BY209+CI209</f>
        <v>0</v>
      </c>
      <c r="J209" s="34" t="n">
        <f aca="false">O208</f>
        <v>0</v>
      </c>
      <c r="K209" s="34" t="n">
        <f aca="false">J209*$J$5/12</f>
        <v>0</v>
      </c>
      <c r="L209" s="29" t="n">
        <f aca="false">MIN($J$6,J209+K209)</f>
        <v>0</v>
      </c>
      <c r="M209" s="30" t="n">
        <f aca="false">MAX(0,MIN($B209,J209+K209-L209))</f>
        <v>0</v>
      </c>
      <c r="N209" s="29" t="n">
        <f aca="false">$B209-M209</f>
        <v>690</v>
      </c>
      <c r="O209" s="34" t="n">
        <f aca="false">J209+K209-L209-M209</f>
        <v>0</v>
      </c>
      <c r="P209" s="34" t="n">
        <f aca="false">S208</f>
        <v>0</v>
      </c>
      <c r="Q209" s="34" t="n">
        <f aca="false">P209*$J$5/12</f>
        <v>0</v>
      </c>
      <c r="R209" s="29" t="n">
        <f aca="false">MIN($J$6,P209+Q209)</f>
        <v>0</v>
      </c>
      <c r="S209" s="34" t="n">
        <f aca="false">P209+Q209-R209</f>
        <v>0</v>
      </c>
      <c r="T209" s="34" t="n">
        <f aca="false">Y208</f>
        <v>0</v>
      </c>
      <c r="U209" s="34" t="n">
        <f aca="false">T209*$T$5/12</f>
        <v>0</v>
      </c>
      <c r="V209" s="29" t="n">
        <f aca="false">MIN($T$6,T209+U209)</f>
        <v>0</v>
      </c>
      <c r="W209" s="30" t="n">
        <f aca="false">MAX(0,MIN(N209,T209+U209-V209))</f>
        <v>0</v>
      </c>
      <c r="X209" s="29" t="n">
        <f aca="false">N209-W209</f>
        <v>690</v>
      </c>
      <c r="Y209" s="34" t="n">
        <f aca="false">T209+U209-V209-W209</f>
        <v>0</v>
      </c>
      <c r="Z209" s="34" t="n">
        <f aca="false">AC208</f>
        <v>0</v>
      </c>
      <c r="AA209" s="34" t="n">
        <f aca="false">Z209*$T$5/12</f>
        <v>0</v>
      </c>
      <c r="AB209" s="29" t="n">
        <f aca="false">MIN($T$6,Z209+AA209)</f>
        <v>0</v>
      </c>
      <c r="AC209" s="34" t="n">
        <f aca="false">Z209+AA209-AB209</f>
        <v>0</v>
      </c>
      <c r="AD209" s="34" t="n">
        <f aca="false">AI208</f>
        <v>0</v>
      </c>
      <c r="AE209" s="34" t="n">
        <f aca="false">AD209*$AD$5/12</f>
        <v>0</v>
      </c>
      <c r="AF209" s="29" t="n">
        <f aca="false">MIN($AD$6,AD209+AE209)</f>
        <v>0</v>
      </c>
      <c r="AG209" s="30" t="n">
        <f aca="false">MAX(0,MIN(X209,AD209+AE209-AF209))</f>
        <v>0</v>
      </c>
      <c r="AH209" s="29" t="n">
        <f aca="false">X209-AG209</f>
        <v>690</v>
      </c>
      <c r="AI209" s="34" t="n">
        <f aca="false">AD209+AE209-AF209-AG209</f>
        <v>0</v>
      </c>
      <c r="AJ209" s="34" t="n">
        <f aca="false">AM208</f>
        <v>0</v>
      </c>
      <c r="AK209" s="34" t="n">
        <f aca="false">AJ209*$AD$5/12</f>
        <v>0</v>
      </c>
      <c r="AL209" s="29" t="n">
        <f aca="false">MIN($AD$6,AJ209+AK209)</f>
        <v>0</v>
      </c>
      <c r="AM209" s="34" t="n">
        <f aca="false">AJ209+AK209-AL209</f>
        <v>0</v>
      </c>
      <c r="AN209" s="34" t="n">
        <f aca="false">AS208</f>
        <v>0</v>
      </c>
      <c r="AO209" s="34" t="n">
        <f aca="false">AN209*$AN$5/12</f>
        <v>0</v>
      </c>
      <c r="AP209" s="29" t="n">
        <f aca="false">MIN($AN$6,AN209+AO209)</f>
        <v>0</v>
      </c>
      <c r="AQ209" s="30" t="n">
        <f aca="false">MAX(0,MIN(AH209,AN209+AO209-AP209))</f>
        <v>0</v>
      </c>
      <c r="AR209" s="29" t="n">
        <f aca="false">AH209-AQ209</f>
        <v>690</v>
      </c>
      <c r="AS209" s="34" t="n">
        <f aca="false">AN209+AO209-AP209-AQ209</f>
        <v>0</v>
      </c>
      <c r="AT209" s="34" t="n">
        <f aca="false">AW208</f>
        <v>0</v>
      </c>
      <c r="AU209" s="34" t="n">
        <f aca="false">AT209*$AN$5/12</f>
        <v>0</v>
      </c>
      <c r="AV209" s="29" t="n">
        <f aca="false">MIN($AN$6,AT209+AU209)</f>
        <v>0</v>
      </c>
      <c r="AW209" s="34" t="n">
        <f aca="false">AT209+AU209-AV209</f>
        <v>0</v>
      </c>
      <c r="AX209" s="30" t="n">
        <f aca="false">BC208</f>
        <v>0</v>
      </c>
      <c r="AY209" s="30" t="n">
        <f aca="false">AX209*$AX$5/12</f>
        <v>0</v>
      </c>
      <c r="AZ209" s="30" t="n">
        <f aca="false">MIN($AX$6,AX209+AY209)</f>
        <v>0</v>
      </c>
      <c r="BA209" s="30" t="n">
        <f aca="false">MAX(0,MIN(AR209,AX209+AY209-AZ209))</f>
        <v>0</v>
      </c>
      <c r="BB209" s="29" t="n">
        <f aca="false">AR209-BA209</f>
        <v>690</v>
      </c>
      <c r="BC209" s="30" t="n">
        <f aca="false">AX209+AY209-AZ209-BA209</f>
        <v>0</v>
      </c>
      <c r="BD209" s="30" t="n">
        <f aca="false">BG208</f>
        <v>0</v>
      </c>
      <c r="BE209" s="30" t="n">
        <f aca="false">BD209*$AX$5/12</f>
        <v>0</v>
      </c>
      <c r="BF209" s="30" t="n">
        <f aca="false">MIN($AX$6,BD209+BE209)</f>
        <v>0</v>
      </c>
      <c r="BG209" s="30" t="n">
        <f aca="false">BD209+BE209-BF209</f>
        <v>0</v>
      </c>
      <c r="BH209" s="30" t="n">
        <f aca="false">BM208</f>
        <v>0</v>
      </c>
      <c r="BI209" s="30" t="n">
        <f aca="false">BH209*$BH$5/12</f>
        <v>0</v>
      </c>
      <c r="BJ209" s="30" t="n">
        <f aca="false">MIN($BH$6,BH209+BI209)</f>
        <v>0</v>
      </c>
      <c r="BK209" s="30" t="n">
        <f aca="false">MAX(0,MIN(BB209,BH209+BI209-BJ209))</f>
        <v>0</v>
      </c>
      <c r="BL209" s="29" t="n">
        <f aca="false">BB209-BK209</f>
        <v>690</v>
      </c>
      <c r="BM209" s="30" t="n">
        <f aca="false">BH209+BI209-BJ209-BK209</f>
        <v>0</v>
      </c>
      <c r="BN209" s="30" t="n">
        <f aca="false">BQ208</f>
        <v>0</v>
      </c>
      <c r="BO209" s="30" t="n">
        <f aca="false">BN209*$BH$5/12</f>
        <v>0</v>
      </c>
      <c r="BP209" s="30" t="n">
        <f aca="false">MIN($BH$6,BN209+BO209)</f>
        <v>0</v>
      </c>
      <c r="BQ209" s="30" t="n">
        <f aca="false">BN209+BO209-BP209</f>
        <v>0</v>
      </c>
      <c r="BR209" s="30" t="n">
        <f aca="false">BW208</f>
        <v>0</v>
      </c>
      <c r="BS209" s="30" t="n">
        <f aca="false">BR209*$BR$5/12</f>
        <v>0</v>
      </c>
      <c r="BT209" s="30" t="n">
        <f aca="false">MIN($BR$6,BR209+BS209)</f>
        <v>0</v>
      </c>
      <c r="BU209" s="30" t="n">
        <f aca="false">MAX(0,MIN(BL209,BR209+BS209-BT209))</f>
        <v>0</v>
      </c>
      <c r="BV209" s="29" t="n">
        <f aca="false">BL209-BU209</f>
        <v>690</v>
      </c>
      <c r="BW209" s="30" t="n">
        <f aca="false">BR209+BS209-BT209-BU209</f>
        <v>0</v>
      </c>
      <c r="BX209" s="30" t="n">
        <f aca="false">CA208</f>
        <v>0</v>
      </c>
      <c r="BY209" s="30" t="n">
        <f aca="false">BX209*$BR$5/12</f>
        <v>0</v>
      </c>
      <c r="BZ209" s="30" t="n">
        <f aca="false">MIN($BR$6,BX209+BY209)</f>
        <v>0</v>
      </c>
      <c r="CA209" s="30" t="n">
        <f aca="false">BX209+BY209-BZ209</f>
        <v>0</v>
      </c>
      <c r="CB209" s="30" t="n">
        <f aca="false">CG208</f>
        <v>0</v>
      </c>
      <c r="CC209" s="30" t="n">
        <f aca="false">CB209*$CB$5/12</f>
        <v>0</v>
      </c>
      <c r="CD209" s="30" t="n">
        <f aca="false">MIN($CB$6,CB209+CC209)</f>
        <v>0</v>
      </c>
      <c r="CE209" s="30" t="n">
        <f aca="false">MAX(0,MIN(BV209,CB209+CC209-CD209))</f>
        <v>0</v>
      </c>
      <c r="CF209" s="29" t="n">
        <f aca="false">BV209-CE209</f>
        <v>690</v>
      </c>
      <c r="CG209" s="30" t="n">
        <f aca="false">CB209+CC209-CD209-CE209</f>
        <v>0</v>
      </c>
      <c r="CH209" s="30" t="n">
        <f aca="false">CK208</f>
        <v>0</v>
      </c>
      <c r="CI209" s="30" t="n">
        <f aca="false">CH209*$CB$5/12</f>
        <v>0</v>
      </c>
      <c r="CJ209" s="30" t="n">
        <f aca="false">MIN($CB$6,CH209+CI209)</f>
        <v>0</v>
      </c>
      <c r="CK209" s="30" t="n">
        <f aca="false">CH209+CI209-CJ209</f>
        <v>0</v>
      </c>
    </row>
    <row r="210" customFormat="false" ht="15" hidden="false" customHeight="false" outlineLevel="0" collapsed="false">
      <c r="A210" s="0" t="n">
        <v>202</v>
      </c>
      <c r="B210" s="29" t="n">
        <f aca="false">'1 Your debts'!$B$16-(L210+V210+AF210+AP210+AZ210+BJ210+BT210+CD210)</f>
        <v>690</v>
      </c>
      <c r="C210" s="34" t="n">
        <f aca="false">O210+Y210+AI210+AS210+BC210+BM210+BW210+CG210</f>
        <v>0</v>
      </c>
      <c r="D210" s="34" t="n">
        <f aca="false">K210+U210+AE210+AO210+AY210+BI210+BS210+CC210</f>
        <v>0</v>
      </c>
      <c r="F210" s="34" t="n">
        <f aca="false">S210+AC210+AM210+AW210+BG210+BQ210+CA210+CK210</f>
        <v>0</v>
      </c>
      <c r="G210" s="34" t="n">
        <f aca="false">Q210+AA210+AK210+AU210+BE210+BO210+BY210+CI210</f>
        <v>0</v>
      </c>
      <c r="J210" s="34" t="n">
        <f aca="false">O209</f>
        <v>0</v>
      </c>
      <c r="K210" s="34" t="n">
        <f aca="false">J210*$J$5/12</f>
        <v>0</v>
      </c>
      <c r="L210" s="29" t="n">
        <f aca="false">MIN($J$6,J210+K210)</f>
        <v>0</v>
      </c>
      <c r="M210" s="30" t="n">
        <f aca="false">MAX(0,MIN($B210,J210+K210-L210))</f>
        <v>0</v>
      </c>
      <c r="N210" s="29" t="n">
        <f aca="false">$B210-M210</f>
        <v>690</v>
      </c>
      <c r="O210" s="34" t="n">
        <f aca="false">J210+K210-L210-M210</f>
        <v>0</v>
      </c>
      <c r="P210" s="34" t="n">
        <f aca="false">S209</f>
        <v>0</v>
      </c>
      <c r="Q210" s="34" t="n">
        <f aca="false">P210*$J$5/12</f>
        <v>0</v>
      </c>
      <c r="R210" s="29" t="n">
        <f aca="false">MIN($J$6,P210+Q210)</f>
        <v>0</v>
      </c>
      <c r="S210" s="34" t="n">
        <f aca="false">P210+Q210-R210</f>
        <v>0</v>
      </c>
      <c r="T210" s="34" t="n">
        <f aca="false">Y209</f>
        <v>0</v>
      </c>
      <c r="U210" s="34" t="n">
        <f aca="false">T210*$T$5/12</f>
        <v>0</v>
      </c>
      <c r="V210" s="29" t="n">
        <f aca="false">MIN($T$6,T210+U210)</f>
        <v>0</v>
      </c>
      <c r="W210" s="30" t="n">
        <f aca="false">MAX(0,MIN(N210,T210+U210-V210))</f>
        <v>0</v>
      </c>
      <c r="X210" s="29" t="n">
        <f aca="false">N210-W210</f>
        <v>690</v>
      </c>
      <c r="Y210" s="34" t="n">
        <f aca="false">T210+U210-V210-W210</f>
        <v>0</v>
      </c>
      <c r="Z210" s="34" t="n">
        <f aca="false">AC209</f>
        <v>0</v>
      </c>
      <c r="AA210" s="34" t="n">
        <f aca="false">Z210*$T$5/12</f>
        <v>0</v>
      </c>
      <c r="AB210" s="29" t="n">
        <f aca="false">MIN($T$6,Z210+AA210)</f>
        <v>0</v>
      </c>
      <c r="AC210" s="34" t="n">
        <f aca="false">Z210+AA210-AB210</f>
        <v>0</v>
      </c>
      <c r="AD210" s="34" t="n">
        <f aca="false">AI209</f>
        <v>0</v>
      </c>
      <c r="AE210" s="34" t="n">
        <f aca="false">AD210*$AD$5/12</f>
        <v>0</v>
      </c>
      <c r="AF210" s="29" t="n">
        <f aca="false">MIN($AD$6,AD210+AE210)</f>
        <v>0</v>
      </c>
      <c r="AG210" s="30" t="n">
        <f aca="false">MAX(0,MIN(X210,AD210+AE210-AF210))</f>
        <v>0</v>
      </c>
      <c r="AH210" s="29" t="n">
        <f aca="false">X210-AG210</f>
        <v>690</v>
      </c>
      <c r="AI210" s="34" t="n">
        <f aca="false">AD210+AE210-AF210-AG210</f>
        <v>0</v>
      </c>
      <c r="AJ210" s="34" t="n">
        <f aca="false">AM209</f>
        <v>0</v>
      </c>
      <c r="AK210" s="34" t="n">
        <f aca="false">AJ210*$AD$5/12</f>
        <v>0</v>
      </c>
      <c r="AL210" s="29" t="n">
        <f aca="false">MIN($AD$6,AJ210+AK210)</f>
        <v>0</v>
      </c>
      <c r="AM210" s="34" t="n">
        <f aca="false">AJ210+AK210-AL210</f>
        <v>0</v>
      </c>
      <c r="AN210" s="34" t="n">
        <f aca="false">AS209</f>
        <v>0</v>
      </c>
      <c r="AO210" s="34" t="n">
        <f aca="false">AN210*$AN$5/12</f>
        <v>0</v>
      </c>
      <c r="AP210" s="29" t="n">
        <f aca="false">MIN($AN$6,AN210+AO210)</f>
        <v>0</v>
      </c>
      <c r="AQ210" s="30" t="n">
        <f aca="false">MAX(0,MIN(AH210,AN210+AO210-AP210))</f>
        <v>0</v>
      </c>
      <c r="AR210" s="29" t="n">
        <f aca="false">AH210-AQ210</f>
        <v>690</v>
      </c>
      <c r="AS210" s="34" t="n">
        <f aca="false">AN210+AO210-AP210-AQ210</f>
        <v>0</v>
      </c>
      <c r="AT210" s="34" t="n">
        <f aca="false">AW209</f>
        <v>0</v>
      </c>
      <c r="AU210" s="34" t="n">
        <f aca="false">AT210*$AN$5/12</f>
        <v>0</v>
      </c>
      <c r="AV210" s="29" t="n">
        <f aca="false">MIN($AN$6,AT210+AU210)</f>
        <v>0</v>
      </c>
      <c r="AW210" s="34" t="n">
        <f aca="false">AT210+AU210-AV210</f>
        <v>0</v>
      </c>
      <c r="AX210" s="30" t="n">
        <f aca="false">BC209</f>
        <v>0</v>
      </c>
      <c r="AY210" s="30" t="n">
        <f aca="false">AX210*$AX$5/12</f>
        <v>0</v>
      </c>
      <c r="AZ210" s="30" t="n">
        <f aca="false">MIN($AX$6,AX210+AY210)</f>
        <v>0</v>
      </c>
      <c r="BA210" s="30" t="n">
        <f aca="false">MAX(0,MIN(AR210,AX210+AY210-AZ210))</f>
        <v>0</v>
      </c>
      <c r="BB210" s="29" t="n">
        <f aca="false">AR210-BA210</f>
        <v>690</v>
      </c>
      <c r="BC210" s="30" t="n">
        <f aca="false">AX210+AY210-AZ210-BA210</f>
        <v>0</v>
      </c>
      <c r="BD210" s="30" t="n">
        <f aca="false">BG209</f>
        <v>0</v>
      </c>
      <c r="BE210" s="30" t="n">
        <f aca="false">BD210*$AX$5/12</f>
        <v>0</v>
      </c>
      <c r="BF210" s="30" t="n">
        <f aca="false">MIN($AX$6,BD210+BE210)</f>
        <v>0</v>
      </c>
      <c r="BG210" s="30" t="n">
        <f aca="false">BD210+BE210-BF210</f>
        <v>0</v>
      </c>
      <c r="BH210" s="30" t="n">
        <f aca="false">BM209</f>
        <v>0</v>
      </c>
      <c r="BI210" s="30" t="n">
        <f aca="false">BH210*$BH$5/12</f>
        <v>0</v>
      </c>
      <c r="BJ210" s="30" t="n">
        <f aca="false">MIN($BH$6,BH210+BI210)</f>
        <v>0</v>
      </c>
      <c r="BK210" s="30" t="n">
        <f aca="false">MAX(0,MIN(BB210,BH210+BI210-BJ210))</f>
        <v>0</v>
      </c>
      <c r="BL210" s="29" t="n">
        <f aca="false">BB210-BK210</f>
        <v>690</v>
      </c>
      <c r="BM210" s="30" t="n">
        <f aca="false">BH210+BI210-BJ210-BK210</f>
        <v>0</v>
      </c>
      <c r="BN210" s="30" t="n">
        <f aca="false">BQ209</f>
        <v>0</v>
      </c>
      <c r="BO210" s="30" t="n">
        <f aca="false">BN210*$BH$5/12</f>
        <v>0</v>
      </c>
      <c r="BP210" s="30" t="n">
        <f aca="false">MIN($BH$6,BN210+BO210)</f>
        <v>0</v>
      </c>
      <c r="BQ210" s="30" t="n">
        <f aca="false">BN210+BO210-BP210</f>
        <v>0</v>
      </c>
      <c r="BR210" s="30" t="n">
        <f aca="false">BW209</f>
        <v>0</v>
      </c>
      <c r="BS210" s="30" t="n">
        <f aca="false">BR210*$BR$5/12</f>
        <v>0</v>
      </c>
      <c r="BT210" s="30" t="n">
        <f aca="false">MIN($BR$6,BR210+BS210)</f>
        <v>0</v>
      </c>
      <c r="BU210" s="30" t="n">
        <f aca="false">MAX(0,MIN(BL210,BR210+BS210-BT210))</f>
        <v>0</v>
      </c>
      <c r="BV210" s="29" t="n">
        <f aca="false">BL210-BU210</f>
        <v>690</v>
      </c>
      <c r="BW210" s="30" t="n">
        <f aca="false">BR210+BS210-BT210-BU210</f>
        <v>0</v>
      </c>
      <c r="BX210" s="30" t="n">
        <f aca="false">CA209</f>
        <v>0</v>
      </c>
      <c r="BY210" s="30" t="n">
        <f aca="false">BX210*$BR$5/12</f>
        <v>0</v>
      </c>
      <c r="BZ210" s="30" t="n">
        <f aca="false">MIN($BR$6,BX210+BY210)</f>
        <v>0</v>
      </c>
      <c r="CA210" s="30" t="n">
        <f aca="false">BX210+BY210-BZ210</f>
        <v>0</v>
      </c>
      <c r="CB210" s="30" t="n">
        <f aca="false">CG209</f>
        <v>0</v>
      </c>
      <c r="CC210" s="30" t="n">
        <f aca="false">CB210*$CB$5/12</f>
        <v>0</v>
      </c>
      <c r="CD210" s="30" t="n">
        <f aca="false">MIN($CB$6,CB210+CC210)</f>
        <v>0</v>
      </c>
      <c r="CE210" s="30" t="n">
        <f aca="false">MAX(0,MIN(BV210,CB210+CC210-CD210))</f>
        <v>0</v>
      </c>
      <c r="CF210" s="29" t="n">
        <f aca="false">BV210-CE210</f>
        <v>690</v>
      </c>
      <c r="CG210" s="30" t="n">
        <f aca="false">CB210+CC210-CD210-CE210</f>
        <v>0</v>
      </c>
      <c r="CH210" s="30" t="n">
        <f aca="false">CK209</f>
        <v>0</v>
      </c>
      <c r="CI210" s="30" t="n">
        <f aca="false">CH210*$CB$5/12</f>
        <v>0</v>
      </c>
      <c r="CJ210" s="30" t="n">
        <f aca="false">MIN($CB$6,CH210+CI210)</f>
        <v>0</v>
      </c>
      <c r="CK210" s="30" t="n">
        <f aca="false">CH210+CI210-CJ210</f>
        <v>0</v>
      </c>
    </row>
    <row r="211" customFormat="false" ht="15" hidden="false" customHeight="false" outlineLevel="0" collapsed="false">
      <c r="A211" s="0" t="n">
        <v>203</v>
      </c>
      <c r="B211" s="29" t="n">
        <f aca="false">'1 Your debts'!$B$16-(L211+V211+AF211+AP211+AZ211+BJ211+BT211+CD211)</f>
        <v>690</v>
      </c>
      <c r="C211" s="34" t="n">
        <f aca="false">O211+Y211+AI211+AS211+BC211+BM211+BW211+CG211</f>
        <v>0</v>
      </c>
      <c r="D211" s="34" t="n">
        <f aca="false">K211+U211+AE211+AO211+AY211+BI211+BS211+CC211</f>
        <v>0</v>
      </c>
      <c r="F211" s="34" t="n">
        <f aca="false">S211+AC211+AM211+AW211+BG211+BQ211+CA211+CK211</f>
        <v>0</v>
      </c>
      <c r="G211" s="34" t="n">
        <f aca="false">Q211+AA211+AK211+AU211+BE211+BO211+BY211+CI211</f>
        <v>0</v>
      </c>
      <c r="J211" s="34" t="n">
        <f aca="false">O210</f>
        <v>0</v>
      </c>
      <c r="K211" s="34" t="n">
        <f aca="false">J211*$J$5/12</f>
        <v>0</v>
      </c>
      <c r="L211" s="29" t="n">
        <f aca="false">MIN($J$6,J211+K211)</f>
        <v>0</v>
      </c>
      <c r="M211" s="30" t="n">
        <f aca="false">MAX(0,MIN($B211,J211+K211-L211))</f>
        <v>0</v>
      </c>
      <c r="N211" s="29" t="n">
        <f aca="false">$B211-M211</f>
        <v>690</v>
      </c>
      <c r="O211" s="34" t="n">
        <f aca="false">J211+K211-L211-M211</f>
        <v>0</v>
      </c>
      <c r="P211" s="34" t="n">
        <f aca="false">S210</f>
        <v>0</v>
      </c>
      <c r="Q211" s="34" t="n">
        <f aca="false">P211*$J$5/12</f>
        <v>0</v>
      </c>
      <c r="R211" s="29" t="n">
        <f aca="false">MIN($J$6,P211+Q211)</f>
        <v>0</v>
      </c>
      <c r="S211" s="34" t="n">
        <f aca="false">P211+Q211-R211</f>
        <v>0</v>
      </c>
      <c r="T211" s="34" t="n">
        <f aca="false">Y210</f>
        <v>0</v>
      </c>
      <c r="U211" s="34" t="n">
        <f aca="false">T211*$T$5/12</f>
        <v>0</v>
      </c>
      <c r="V211" s="29" t="n">
        <f aca="false">MIN($T$6,T211+U211)</f>
        <v>0</v>
      </c>
      <c r="W211" s="30" t="n">
        <f aca="false">MAX(0,MIN(N211,T211+U211-V211))</f>
        <v>0</v>
      </c>
      <c r="X211" s="29" t="n">
        <f aca="false">N211-W211</f>
        <v>690</v>
      </c>
      <c r="Y211" s="34" t="n">
        <f aca="false">T211+U211-V211-W211</f>
        <v>0</v>
      </c>
      <c r="Z211" s="34" t="n">
        <f aca="false">AC210</f>
        <v>0</v>
      </c>
      <c r="AA211" s="34" t="n">
        <f aca="false">Z211*$T$5/12</f>
        <v>0</v>
      </c>
      <c r="AB211" s="29" t="n">
        <f aca="false">MIN($T$6,Z211+AA211)</f>
        <v>0</v>
      </c>
      <c r="AC211" s="34" t="n">
        <f aca="false">Z211+AA211-AB211</f>
        <v>0</v>
      </c>
      <c r="AD211" s="34" t="n">
        <f aca="false">AI210</f>
        <v>0</v>
      </c>
      <c r="AE211" s="34" t="n">
        <f aca="false">AD211*$AD$5/12</f>
        <v>0</v>
      </c>
      <c r="AF211" s="29" t="n">
        <f aca="false">MIN($AD$6,AD211+AE211)</f>
        <v>0</v>
      </c>
      <c r="AG211" s="30" t="n">
        <f aca="false">MAX(0,MIN(X211,AD211+AE211-AF211))</f>
        <v>0</v>
      </c>
      <c r="AH211" s="29" t="n">
        <f aca="false">X211-AG211</f>
        <v>690</v>
      </c>
      <c r="AI211" s="34" t="n">
        <f aca="false">AD211+AE211-AF211-AG211</f>
        <v>0</v>
      </c>
      <c r="AJ211" s="34" t="n">
        <f aca="false">AM210</f>
        <v>0</v>
      </c>
      <c r="AK211" s="34" t="n">
        <f aca="false">AJ211*$AD$5/12</f>
        <v>0</v>
      </c>
      <c r="AL211" s="29" t="n">
        <f aca="false">MIN($AD$6,AJ211+AK211)</f>
        <v>0</v>
      </c>
      <c r="AM211" s="34" t="n">
        <f aca="false">AJ211+AK211-AL211</f>
        <v>0</v>
      </c>
      <c r="AN211" s="34" t="n">
        <f aca="false">AS210</f>
        <v>0</v>
      </c>
      <c r="AO211" s="34" t="n">
        <f aca="false">AN211*$AN$5/12</f>
        <v>0</v>
      </c>
      <c r="AP211" s="29" t="n">
        <f aca="false">MIN($AN$6,AN211+AO211)</f>
        <v>0</v>
      </c>
      <c r="AQ211" s="30" t="n">
        <f aca="false">MAX(0,MIN(AH211,AN211+AO211-AP211))</f>
        <v>0</v>
      </c>
      <c r="AR211" s="29" t="n">
        <f aca="false">AH211-AQ211</f>
        <v>690</v>
      </c>
      <c r="AS211" s="34" t="n">
        <f aca="false">AN211+AO211-AP211-AQ211</f>
        <v>0</v>
      </c>
      <c r="AT211" s="34" t="n">
        <f aca="false">AW210</f>
        <v>0</v>
      </c>
      <c r="AU211" s="34" t="n">
        <f aca="false">AT211*$AN$5/12</f>
        <v>0</v>
      </c>
      <c r="AV211" s="29" t="n">
        <f aca="false">MIN($AN$6,AT211+AU211)</f>
        <v>0</v>
      </c>
      <c r="AW211" s="34" t="n">
        <f aca="false">AT211+AU211-AV211</f>
        <v>0</v>
      </c>
      <c r="AX211" s="30" t="n">
        <f aca="false">BC210</f>
        <v>0</v>
      </c>
      <c r="AY211" s="30" t="n">
        <f aca="false">AX211*$AX$5/12</f>
        <v>0</v>
      </c>
      <c r="AZ211" s="30" t="n">
        <f aca="false">MIN($AX$6,AX211+AY211)</f>
        <v>0</v>
      </c>
      <c r="BA211" s="30" t="n">
        <f aca="false">MAX(0,MIN(AR211,AX211+AY211-AZ211))</f>
        <v>0</v>
      </c>
      <c r="BB211" s="29" t="n">
        <f aca="false">AR211-BA211</f>
        <v>690</v>
      </c>
      <c r="BC211" s="30" t="n">
        <f aca="false">AX211+AY211-AZ211-BA211</f>
        <v>0</v>
      </c>
      <c r="BD211" s="30" t="n">
        <f aca="false">BG210</f>
        <v>0</v>
      </c>
      <c r="BE211" s="30" t="n">
        <f aca="false">BD211*$AX$5/12</f>
        <v>0</v>
      </c>
      <c r="BF211" s="30" t="n">
        <f aca="false">MIN($AX$6,BD211+BE211)</f>
        <v>0</v>
      </c>
      <c r="BG211" s="30" t="n">
        <f aca="false">BD211+BE211-BF211</f>
        <v>0</v>
      </c>
      <c r="BH211" s="30" t="n">
        <f aca="false">BM210</f>
        <v>0</v>
      </c>
      <c r="BI211" s="30" t="n">
        <f aca="false">BH211*$BH$5/12</f>
        <v>0</v>
      </c>
      <c r="BJ211" s="30" t="n">
        <f aca="false">MIN($BH$6,BH211+BI211)</f>
        <v>0</v>
      </c>
      <c r="BK211" s="30" t="n">
        <f aca="false">MAX(0,MIN(BB211,BH211+BI211-BJ211))</f>
        <v>0</v>
      </c>
      <c r="BL211" s="29" t="n">
        <f aca="false">BB211-BK211</f>
        <v>690</v>
      </c>
      <c r="BM211" s="30" t="n">
        <f aca="false">BH211+BI211-BJ211-BK211</f>
        <v>0</v>
      </c>
      <c r="BN211" s="30" t="n">
        <f aca="false">BQ210</f>
        <v>0</v>
      </c>
      <c r="BO211" s="30" t="n">
        <f aca="false">BN211*$BH$5/12</f>
        <v>0</v>
      </c>
      <c r="BP211" s="30" t="n">
        <f aca="false">MIN($BH$6,BN211+BO211)</f>
        <v>0</v>
      </c>
      <c r="BQ211" s="30" t="n">
        <f aca="false">BN211+BO211-BP211</f>
        <v>0</v>
      </c>
      <c r="BR211" s="30" t="n">
        <f aca="false">BW210</f>
        <v>0</v>
      </c>
      <c r="BS211" s="30" t="n">
        <f aca="false">BR211*$BR$5/12</f>
        <v>0</v>
      </c>
      <c r="BT211" s="30" t="n">
        <f aca="false">MIN($BR$6,BR211+BS211)</f>
        <v>0</v>
      </c>
      <c r="BU211" s="30" t="n">
        <f aca="false">MAX(0,MIN(BL211,BR211+BS211-BT211))</f>
        <v>0</v>
      </c>
      <c r="BV211" s="29" t="n">
        <f aca="false">BL211-BU211</f>
        <v>690</v>
      </c>
      <c r="BW211" s="30" t="n">
        <f aca="false">BR211+BS211-BT211-BU211</f>
        <v>0</v>
      </c>
      <c r="BX211" s="30" t="n">
        <f aca="false">CA210</f>
        <v>0</v>
      </c>
      <c r="BY211" s="30" t="n">
        <f aca="false">BX211*$BR$5/12</f>
        <v>0</v>
      </c>
      <c r="BZ211" s="30" t="n">
        <f aca="false">MIN($BR$6,BX211+BY211)</f>
        <v>0</v>
      </c>
      <c r="CA211" s="30" t="n">
        <f aca="false">BX211+BY211-BZ211</f>
        <v>0</v>
      </c>
      <c r="CB211" s="30" t="n">
        <f aca="false">CG210</f>
        <v>0</v>
      </c>
      <c r="CC211" s="30" t="n">
        <f aca="false">CB211*$CB$5/12</f>
        <v>0</v>
      </c>
      <c r="CD211" s="30" t="n">
        <f aca="false">MIN($CB$6,CB211+CC211)</f>
        <v>0</v>
      </c>
      <c r="CE211" s="30" t="n">
        <f aca="false">MAX(0,MIN(BV211,CB211+CC211-CD211))</f>
        <v>0</v>
      </c>
      <c r="CF211" s="29" t="n">
        <f aca="false">BV211-CE211</f>
        <v>690</v>
      </c>
      <c r="CG211" s="30" t="n">
        <f aca="false">CB211+CC211-CD211-CE211</f>
        <v>0</v>
      </c>
      <c r="CH211" s="30" t="n">
        <f aca="false">CK210</f>
        <v>0</v>
      </c>
      <c r="CI211" s="30" t="n">
        <f aca="false">CH211*$CB$5/12</f>
        <v>0</v>
      </c>
      <c r="CJ211" s="30" t="n">
        <f aca="false">MIN($CB$6,CH211+CI211)</f>
        <v>0</v>
      </c>
      <c r="CK211" s="30" t="n">
        <f aca="false">CH211+CI211-CJ211</f>
        <v>0</v>
      </c>
    </row>
    <row r="212" customFormat="false" ht="15" hidden="false" customHeight="false" outlineLevel="0" collapsed="false">
      <c r="A212" s="0" t="n">
        <v>204</v>
      </c>
      <c r="B212" s="29" t="n">
        <f aca="false">'1 Your debts'!$B$16-(L212+V212+AF212+AP212+AZ212+BJ212+BT212+CD212)</f>
        <v>690</v>
      </c>
      <c r="C212" s="34" t="n">
        <f aca="false">O212+Y212+AI212+AS212+BC212+BM212+BW212+CG212</f>
        <v>0</v>
      </c>
      <c r="D212" s="34" t="n">
        <f aca="false">K212+U212+AE212+AO212+AY212+BI212+BS212+CC212</f>
        <v>0</v>
      </c>
      <c r="F212" s="34" t="n">
        <f aca="false">S212+AC212+AM212+AW212+BG212+BQ212+CA212+CK212</f>
        <v>0</v>
      </c>
      <c r="G212" s="34" t="n">
        <f aca="false">Q212+AA212+AK212+AU212+BE212+BO212+BY212+CI212</f>
        <v>0</v>
      </c>
      <c r="J212" s="34" t="n">
        <f aca="false">O211</f>
        <v>0</v>
      </c>
      <c r="K212" s="34" t="n">
        <f aca="false">J212*$J$5/12</f>
        <v>0</v>
      </c>
      <c r="L212" s="29" t="n">
        <f aca="false">MIN($J$6,J212+K212)</f>
        <v>0</v>
      </c>
      <c r="M212" s="30" t="n">
        <f aca="false">MAX(0,MIN($B212,J212+K212-L212))</f>
        <v>0</v>
      </c>
      <c r="N212" s="29" t="n">
        <f aca="false">$B212-M212</f>
        <v>690</v>
      </c>
      <c r="O212" s="34" t="n">
        <f aca="false">J212+K212-L212-M212</f>
        <v>0</v>
      </c>
      <c r="P212" s="34" t="n">
        <f aca="false">S211</f>
        <v>0</v>
      </c>
      <c r="Q212" s="34" t="n">
        <f aca="false">P212*$J$5/12</f>
        <v>0</v>
      </c>
      <c r="R212" s="29" t="n">
        <f aca="false">MIN($J$6,P212+Q212)</f>
        <v>0</v>
      </c>
      <c r="S212" s="34" t="n">
        <f aca="false">P212+Q212-R212</f>
        <v>0</v>
      </c>
      <c r="T212" s="34" t="n">
        <f aca="false">Y211</f>
        <v>0</v>
      </c>
      <c r="U212" s="34" t="n">
        <f aca="false">T212*$T$5/12</f>
        <v>0</v>
      </c>
      <c r="V212" s="29" t="n">
        <f aca="false">MIN($T$6,T212+U212)</f>
        <v>0</v>
      </c>
      <c r="W212" s="30" t="n">
        <f aca="false">MAX(0,MIN(N212,T212+U212-V212))</f>
        <v>0</v>
      </c>
      <c r="X212" s="29" t="n">
        <f aca="false">N212-W212</f>
        <v>690</v>
      </c>
      <c r="Y212" s="34" t="n">
        <f aca="false">T212+U212-V212-W212</f>
        <v>0</v>
      </c>
      <c r="Z212" s="34" t="n">
        <f aca="false">AC211</f>
        <v>0</v>
      </c>
      <c r="AA212" s="34" t="n">
        <f aca="false">Z212*$T$5/12</f>
        <v>0</v>
      </c>
      <c r="AB212" s="29" t="n">
        <f aca="false">MIN($T$6,Z212+AA212)</f>
        <v>0</v>
      </c>
      <c r="AC212" s="34" t="n">
        <f aca="false">Z212+AA212-AB212</f>
        <v>0</v>
      </c>
      <c r="AD212" s="34" t="n">
        <f aca="false">AI211</f>
        <v>0</v>
      </c>
      <c r="AE212" s="34" t="n">
        <f aca="false">AD212*$AD$5/12</f>
        <v>0</v>
      </c>
      <c r="AF212" s="29" t="n">
        <f aca="false">MIN($AD$6,AD212+AE212)</f>
        <v>0</v>
      </c>
      <c r="AG212" s="30" t="n">
        <f aca="false">MAX(0,MIN(X212,AD212+AE212-AF212))</f>
        <v>0</v>
      </c>
      <c r="AH212" s="29" t="n">
        <f aca="false">X212-AG212</f>
        <v>690</v>
      </c>
      <c r="AI212" s="34" t="n">
        <f aca="false">AD212+AE212-AF212-AG212</f>
        <v>0</v>
      </c>
      <c r="AJ212" s="34" t="n">
        <f aca="false">AM211</f>
        <v>0</v>
      </c>
      <c r="AK212" s="34" t="n">
        <f aca="false">AJ212*$AD$5/12</f>
        <v>0</v>
      </c>
      <c r="AL212" s="29" t="n">
        <f aca="false">MIN($AD$6,AJ212+AK212)</f>
        <v>0</v>
      </c>
      <c r="AM212" s="34" t="n">
        <f aca="false">AJ212+AK212-AL212</f>
        <v>0</v>
      </c>
      <c r="AN212" s="34" t="n">
        <f aca="false">AS211</f>
        <v>0</v>
      </c>
      <c r="AO212" s="34" t="n">
        <f aca="false">AN212*$AN$5/12</f>
        <v>0</v>
      </c>
      <c r="AP212" s="29" t="n">
        <f aca="false">MIN($AN$6,AN212+AO212)</f>
        <v>0</v>
      </c>
      <c r="AQ212" s="30" t="n">
        <f aca="false">MAX(0,MIN(AH212,AN212+AO212-AP212))</f>
        <v>0</v>
      </c>
      <c r="AR212" s="29" t="n">
        <f aca="false">AH212-AQ212</f>
        <v>690</v>
      </c>
      <c r="AS212" s="34" t="n">
        <f aca="false">AN212+AO212-AP212-AQ212</f>
        <v>0</v>
      </c>
      <c r="AT212" s="34" t="n">
        <f aca="false">AW211</f>
        <v>0</v>
      </c>
      <c r="AU212" s="34" t="n">
        <f aca="false">AT212*$AN$5/12</f>
        <v>0</v>
      </c>
      <c r="AV212" s="29" t="n">
        <f aca="false">MIN($AN$6,AT212+AU212)</f>
        <v>0</v>
      </c>
      <c r="AW212" s="34" t="n">
        <f aca="false">AT212+AU212-AV212</f>
        <v>0</v>
      </c>
      <c r="AX212" s="30" t="n">
        <f aca="false">BC211</f>
        <v>0</v>
      </c>
      <c r="AY212" s="30" t="n">
        <f aca="false">AX212*$AX$5/12</f>
        <v>0</v>
      </c>
      <c r="AZ212" s="30" t="n">
        <f aca="false">MIN($AX$6,AX212+AY212)</f>
        <v>0</v>
      </c>
      <c r="BA212" s="30" t="n">
        <f aca="false">MAX(0,MIN(AR212,AX212+AY212-AZ212))</f>
        <v>0</v>
      </c>
      <c r="BB212" s="29" t="n">
        <f aca="false">AR212-BA212</f>
        <v>690</v>
      </c>
      <c r="BC212" s="30" t="n">
        <f aca="false">AX212+AY212-AZ212-BA212</f>
        <v>0</v>
      </c>
      <c r="BD212" s="30" t="n">
        <f aca="false">BG211</f>
        <v>0</v>
      </c>
      <c r="BE212" s="30" t="n">
        <f aca="false">BD212*$AX$5/12</f>
        <v>0</v>
      </c>
      <c r="BF212" s="30" t="n">
        <f aca="false">MIN($AX$6,BD212+BE212)</f>
        <v>0</v>
      </c>
      <c r="BG212" s="30" t="n">
        <f aca="false">BD212+BE212-BF212</f>
        <v>0</v>
      </c>
      <c r="BH212" s="30" t="n">
        <f aca="false">BM211</f>
        <v>0</v>
      </c>
      <c r="BI212" s="30" t="n">
        <f aca="false">BH212*$BH$5/12</f>
        <v>0</v>
      </c>
      <c r="BJ212" s="30" t="n">
        <f aca="false">MIN($BH$6,BH212+BI212)</f>
        <v>0</v>
      </c>
      <c r="BK212" s="30" t="n">
        <f aca="false">MAX(0,MIN(BB212,BH212+BI212-BJ212))</f>
        <v>0</v>
      </c>
      <c r="BL212" s="29" t="n">
        <f aca="false">BB212-BK212</f>
        <v>690</v>
      </c>
      <c r="BM212" s="30" t="n">
        <f aca="false">BH212+BI212-BJ212-BK212</f>
        <v>0</v>
      </c>
      <c r="BN212" s="30" t="n">
        <f aca="false">BQ211</f>
        <v>0</v>
      </c>
      <c r="BO212" s="30" t="n">
        <f aca="false">BN212*$BH$5/12</f>
        <v>0</v>
      </c>
      <c r="BP212" s="30" t="n">
        <f aca="false">MIN($BH$6,BN212+BO212)</f>
        <v>0</v>
      </c>
      <c r="BQ212" s="30" t="n">
        <f aca="false">BN212+BO212-BP212</f>
        <v>0</v>
      </c>
      <c r="BR212" s="30" t="n">
        <f aca="false">BW211</f>
        <v>0</v>
      </c>
      <c r="BS212" s="30" t="n">
        <f aca="false">BR212*$BR$5/12</f>
        <v>0</v>
      </c>
      <c r="BT212" s="30" t="n">
        <f aca="false">MIN($BR$6,BR212+BS212)</f>
        <v>0</v>
      </c>
      <c r="BU212" s="30" t="n">
        <f aca="false">MAX(0,MIN(BL212,BR212+BS212-BT212))</f>
        <v>0</v>
      </c>
      <c r="BV212" s="29" t="n">
        <f aca="false">BL212-BU212</f>
        <v>690</v>
      </c>
      <c r="BW212" s="30" t="n">
        <f aca="false">BR212+BS212-BT212-BU212</f>
        <v>0</v>
      </c>
      <c r="BX212" s="30" t="n">
        <f aca="false">CA211</f>
        <v>0</v>
      </c>
      <c r="BY212" s="30" t="n">
        <f aca="false">BX212*$BR$5/12</f>
        <v>0</v>
      </c>
      <c r="BZ212" s="30" t="n">
        <f aca="false">MIN($BR$6,BX212+BY212)</f>
        <v>0</v>
      </c>
      <c r="CA212" s="30" t="n">
        <f aca="false">BX212+BY212-BZ212</f>
        <v>0</v>
      </c>
      <c r="CB212" s="30" t="n">
        <f aca="false">CG211</f>
        <v>0</v>
      </c>
      <c r="CC212" s="30" t="n">
        <f aca="false">CB212*$CB$5/12</f>
        <v>0</v>
      </c>
      <c r="CD212" s="30" t="n">
        <f aca="false">MIN($CB$6,CB212+CC212)</f>
        <v>0</v>
      </c>
      <c r="CE212" s="30" t="n">
        <f aca="false">MAX(0,MIN(BV212,CB212+CC212-CD212))</f>
        <v>0</v>
      </c>
      <c r="CF212" s="29" t="n">
        <f aca="false">BV212-CE212</f>
        <v>690</v>
      </c>
      <c r="CG212" s="30" t="n">
        <f aca="false">CB212+CC212-CD212-CE212</f>
        <v>0</v>
      </c>
      <c r="CH212" s="30" t="n">
        <f aca="false">CK211</f>
        <v>0</v>
      </c>
      <c r="CI212" s="30" t="n">
        <f aca="false">CH212*$CB$5/12</f>
        <v>0</v>
      </c>
      <c r="CJ212" s="30" t="n">
        <f aca="false">MIN($CB$6,CH212+CI212)</f>
        <v>0</v>
      </c>
      <c r="CK212" s="30" t="n">
        <f aca="false">CH212+CI212-CJ212</f>
        <v>0</v>
      </c>
    </row>
    <row r="213" customFormat="false" ht="15" hidden="false" customHeight="false" outlineLevel="0" collapsed="false">
      <c r="A213" s="0" t="n">
        <v>205</v>
      </c>
      <c r="B213" s="29" t="n">
        <f aca="false">'1 Your debts'!$B$16-(L213+V213+AF213+AP213+AZ213+BJ213+BT213+CD213)</f>
        <v>690</v>
      </c>
      <c r="C213" s="34" t="n">
        <f aca="false">O213+Y213+AI213+AS213+BC213+BM213+BW213+CG213</f>
        <v>0</v>
      </c>
      <c r="D213" s="34" t="n">
        <f aca="false">K213+U213+AE213+AO213+AY213+BI213+BS213+CC213</f>
        <v>0</v>
      </c>
      <c r="F213" s="34" t="n">
        <f aca="false">S213+AC213+AM213+AW213+BG213+BQ213+CA213+CK213</f>
        <v>0</v>
      </c>
      <c r="G213" s="34" t="n">
        <f aca="false">Q213+AA213+AK213+AU213+BE213+BO213+BY213+CI213</f>
        <v>0</v>
      </c>
      <c r="J213" s="34" t="n">
        <f aca="false">O212</f>
        <v>0</v>
      </c>
      <c r="K213" s="34" t="n">
        <f aca="false">J213*$J$5/12</f>
        <v>0</v>
      </c>
      <c r="L213" s="29" t="n">
        <f aca="false">MIN($J$6,J213+K213)</f>
        <v>0</v>
      </c>
      <c r="M213" s="30" t="n">
        <f aca="false">MAX(0,MIN($B213,J213+K213-L213))</f>
        <v>0</v>
      </c>
      <c r="N213" s="29" t="n">
        <f aca="false">$B213-M213</f>
        <v>690</v>
      </c>
      <c r="O213" s="34" t="n">
        <f aca="false">J213+K213-L213-M213</f>
        <v>0</v>
      </c>
      <c r="P213" s="34" t="n">
        <f aca="false">S212</f>
        <v>0</v>
      </c>
      <c r="Q213" s="34" t="n">
        <f aca="false">P213*$J$5/12</f>
        <v>0</v>
      </c>
      <c r="R213" s="29" t="n">
        <f aca="false">MIN($J$6,P213+Q213)</f>
        <v>0</v>
      </c>
      <c r="S213" s="34" t="n">
        <f aca="false">P213+Q213-R213</f>
        <v>0</v>
      </c>
      <c r="T213" s="34" t="n">
        <f aca="false">Y212</f>
        <v>0</v>
      </c>
      <c r="U213" s="34" t="n">
        <f aca="false">T213*$T$5/12</f>
        <v>0</v>
      </c>
      <c r="V213" s="29" t="n">
        <f aca="false">MIN($T$6,T213+U213)</f>
        <v>0</v>
      </c>
      <c r="W213" s="30" t="n">
        <f aca="false">MAX(0,MIN(N213,T213+U213-V213))</f>
        <v>0</v>
      </c>
      <c r="X213" s="29" t="n">
        <f aca="false">N213-W213</f>
        <v>690</v>
      </c>
      <c r="Y213" s="34" t="n">
        <f aca="false">T213+U213-V213-W213</f>
        <v>0</v>
      </c>
      <c r="Z213" s="34" t="n">
        <f aca="false">AC212</f>
        <v>0</v>
      </c>
      <c r="AA213" s="34" t="n">
        <f aca="false">Z213*$T$5/12</f>
        <v>0</v>
      </c>
      <c r="AB213" s="29" t="n">
        <f aca="false">MIN($T$6,Z213+AA213)</f>
        <v>0</v>
      </c>
      <c r="AC213" s="34" t="n">
        <f aca="false">Z213+AA213-AB213</f>
        <v>0</v>
      </c>
      <c r="AD213" s="34" t="n">
        <f aca="false">AI212</f>
        <v>0</v>
      </c>
      <c r="AE213" s="34" t="n">
        <f aca="false">AD213*$AD$5/12</f>
        <v>0</v>
      </c>
      <c r="AF213" s="29" t="n">
        <f aca="false">MIN($AD$6,AD213+AE213)</f>
        <v>0</v>
      </c>
      <c r="AG213" s="30" t="n">
        <f aca="false">MAX(0,MIN(X213,AD213+AE213-AF213))</f>
        <v>0</v>
      </c>
      <c r="AH213" s="29" t="n">
        <f aca="false">X213-AG213</f>
        <v>690</v>
      </c>
      <c r="AI213" s="34" t="n">
        <f aca="false">AD213+AE213-AF213-AG213</f>
        <v>0</v>
      </c>
      <c r="AJ213" s="34" t="n">
        <f aca="false">AM212</f>
        <v>0</v>
      </c>
      <c r="AK213" s="34" t="n">
        <f aca="false">AJ213*$AD$5/12</f>
        <v>0</v>
      </c>
      <c r="AL213" s="29" t="n">
        <f aca="false">MIN($AD$6,AJ213+AK213)</f>
        <v>0</v>
      </c>
      <c r="AM213" s="34" t="n">
        <f aca="false">AJ213+AK213-AL213</f>
        <v>0</v>
      </c>
      <c r="AN213" s="34" t="n">
        <f aca="false">AS212</f>
        <v>0</v>
      </c>
      <c r="AO213" s="34" t="n">
        <f aca="false">AN213*$AN$5/12</f>
        <v>0</v>
      </c>
      <c r="AP213" s="29" t="n">
        <f aca="false">MIN($AN$6,AN213+AO213)</f>
        <v>0</v>
      </c>
      <c r="AQ213" s="30" t="n">
        <f aca="false">MAX(0,MIN(AH213,AN213+AO213-AP213))</f>
        <v>0</v>
      </c>
      <c r="AR213" s="29" t="n">
        <f aca="false">AH213-AQ213</f>
        <v>690</v>
      </c>
      <c r="AS213" s="34" t="n">
        <f aca="false">AN213+AO213-AP213-AQ213</f>
        <v>0</v>
      </c>
      <c r="AT213" s="34" t="n">
        <f aca="false">AW212</f>
        <v>0</v>
      </c>
      <c r="AU213" s="34" t="n">
        <f aca="false">AT213*$AN$5/12</f>
        <v>0</v>
      </c>
      <c r="AV213" s="29" t="n">
        <f aca="false">MIN($AN$6,AT213+AU213)</f>
        <v>0</v>
      </c>
      <c r="AW213" s="34" t="n">
        <f aca="false">AT213+AU213-AV213</f>
        <v>0</v>
      </c>
      <c r="AX213" s="30" t="n">
        <f aca="false">BC212</f>
        <v>0</v>
      </c>
      <c r="AY213" s="30" t="n">
        <f aca="false">AX213*$AX$5/12</f>
        <v>0</v>
      </c>
      <c r="AZ213" s="30" t="n">
        <f aca="false">MIN($AX$6,AX213+AY213)</f>
        <v>0</v>
      </c>
      <c r="BA213" s="30" t="n">
        <f aca="false">MAX(0,MIN(AR213,AX213+AY213-AZ213))</f>
        <v>0</v>
      </c>
      <c r="BB213" s="29" t="n">
        <f aca="false">AR213-BA213</f>
        <v>690</v>
      </c>
      <c r="BC213" s="30" t="n">
        <f aca="false">AX213+AY213-AZ213-BA213</f>
        <v>0</v>
      </c>
      <c r="BD213" s="30" t="n">
        <f aca="false">BG212</f>
        <v>0</v>
      </c>
      <c r="BE213" s="30" t="n">
        <f aca="false">BD213*$AX$5/12</f>
        <v>0</v>
      </c>
      <c r="BF213" s="30" t="n">
        <f aca="false">MIN($AX$6,BD213+BE213)</f>
        <v>0</v>
      </c>
      <c r="BG213" s="30" t="n">
        <f aca="false">BD213+BE213-BF213</f>
        <v>0</v>
      </c>
      <c r="BH213" s="30" t="n">
        <f aca="false">BM212</f>
        <v>0</v>
      </c>
      <c r="BI213" s="30" t="n">
        <f aca="false">BH213*$BH$5/12</f>
        <v>0</v>
      </c>
      <c r="BJ213" s="30" t="n">
        <f aca="false">MIN($BH$6,BH213+BI213)</f>
        <v>0</v>
      </c>
      <c r="BK213" s="30" t="n">
        <f aca="false">MAX(0,MIN(BB213,BH213+BI213-BJ213))</f>
        <v>0</v>
      </c>
      <c r="BL213" s="29" t="n">
        <f aca="false">BB213-BK213</f>
        <v>690</v>
      </c>
      <c r="BM213" s="30" t="n">
        <f aca="false">BH213+BI213-BJ213-BK213</f>
        <v>0</v>
      </c>
      <c r="BN213" s="30" t="n">
        <f aca="false">BQ212</f>
        <v>0</v>
      </c>
      <c r="BO213" s="30" t="n">
        <f aca="false">BN213*$BH$5/12</f>
        <v>0</v>
      </c>
      <c r="BP213" s="30" t="n">
        <f aca="false">MIN($BH$6,BN213+BO213)</f>
        <v>0</v>
      </c>
      <c r="BQ213" s="30" t="n">
        <f aca="false">BN213+BO213-BP213</f>
        <v>0</v>
      </c>
      <c r="BR213" s="30" t="n">
        <f aca="false">BW212</f>
        <v>0</v>
      </c>
      <c r="BS213" s="30" t="n">
        <f aca="false">BR213*$BR$5/12</f>
        <v>0</v>
      </c>
      <c r="BT213" s="30" t="n">
        <f aca="false">MIN($BR$6,BR213+BS213)</f>
        <v>0</v>
      </c>
      <c r="BU213" s="30" t="n">
        <f aca="false">MAX(0,MIN(BL213,BR213+BS213-BT213))</f>
        <v>0</v>
      </c>
      <c r="BV213" s="29" t="n">
        <f aca="false">BL213-BU213</f>
        <v>690</v>
      </c>
      <c r="BW213" s="30" t="n">
        <f aca="false">BR213+BS213-BT213-BU213</f>
        <v>0</v>
      </c>
      <c r="BX213" s="30" t="n">
        <f aca="false">CA212</f>
        <v>0</v>
      </c>
      <c r="BY213" s="30" t="n">
        <f aca="false">BX213*$BR$5/12</f>
        <v>0</v>
      </c>
      <c r="BZ213" s="30" t="n">
        <f aca="false">MIN($BR$6,BX213+BY213)</f>
        <v>0</v>
      </c>
      <c r="CA213" s="30" t="n">
        <f aca="false">BX213+BY213-BZ213</f>
        <v>0</v>
      </c>
      <c r="CB213" s="30" t="n">
        <f aca="false">CG212</f>
        <v>0</v>
      </c>
      <c r="CC213" s="30" t="n">
        <f aca="false">CB213*$CB$5/12</f>
        <v>0</v>
      </c>
      <c r="CD213" s="30" t="n">
        <f aca="false">MIN($CB$6,CB213+CC213)</f>
        <v>0</v>
      </c>
      <c r="CE213" s="30" t="n">
        <f aca="false">MAX(0,MIN(BV213,CB213+CC213-CD213))</f>
        <v>0</v>
      </c>
      <c r="CF213" s="29" t="n">
        <f aca="false">BV213-CE213</f>
        <v>690</v>
      </c>
      <c r="CG213" s="30" t="n">
        <f aca="false">CB213+CC213-CD213-CE213</f>
        <v>0</v>
      </c>
      <c r="CH213" s="30" t="n">
        <f aca="false">CK212</f>
        <v>0</v>
      </c>
      <c r="CI213" s="30" t="n">
        <f aca="false">CH213*$CB$5/12</f>
        <v>0</v>
      </c>
      <c r="CJ213" s="30" t="n">
        <f aca="false">MIN($CB$6,CH213+CI213)</f>
        <v>0</v>
      </c>
      <c r="CK213" s="30" t="n">
        <f aca="false">CH213+CI213-CJ213</f>
        <v>0</v>
      </c>
    </row>
    <row r="214" customFormat="false" ht="15" hidden="false" customHeight="false" outlineLevel="0" collapsed="false">
      <c r="A214" s="0" t="n">
        <v>206</v>
      </c>
      <c r="B214" s="29" t="n">
        <f aca="false">'1 Your debts'!$B$16-(L214+V214+AF214+AP214+AZ214+BJ214+BT214+CD214)</f>
        <v>690</v>
      </c>
      <c r="C214" s="34" t="n">
        <f aca="false">O214+Y214+AI214+AS214+BC214+BM214+BW214+CG214</f>
        <v>0</v>
      </c>
      <c r="D214" s="34" t="n">
        <f aca="false">K214+U214+AE214+AO214+AY214+BI214+BS214+CC214</f>
        <v>0</v>
      </c>
      <c r="F214" s="34" t="n">
        <f aca="false">S214+AC214+AM214+AW214+BG214+BQ214+CA214+CK214</f>
        <v>0</v>
      </c>
      <c r="G214" s="34" t="n">
        <f aca="false">Q214+AA214+AK214+AU214+BE214+BO214+BY214+CI214</f>
        <v>0</v>
      </c>
      <c r="J214" s="34" t="n">
        <f aca="false">O213</f>
        <v>0</v>
      </c>
      <c r="K214" s="34" t="n">
        <f aca="false">J214*$J$5/12</f>
        <v>0</v>
      </c>
      <c r="L214" s="29" t="n">
        <f aca="false">MIN($J$6,J214+K214)</f>
        <v>0</v>
      </c>
      <c r="M214" s="30" t="n">
        <f aca="false">MAX(0,MIN($B214,J214+K214-L214))</f>
        <v>0</v>
      </c>
      <c r="N214" s="29" t="n">
        <f aca="false">$B214-M214</f>
        <v>690</v>
      </c>
      <c r="O214" s="34" t="n">
        <f aca="false">J214+K214-L214-M214</f>
        <v>0</v>
      </c>
      <c r="P214" s="34" t="n">
        <f aca="false">S213</f>
        <v>0</v>
      </c>
      <c r="Q214" s="34" t="n">
        <f aca="false">P214*$J$5/12</f>
        <v>0</v>
      </c>
      <c r="R214" s="29" t="n">
        <f aca="false">MIN($J$6,P214+Q214)</f>
        <v>0</v>
      </c>
      <c r="S214" s="34" t="n">
        <f aca="false">P214+Q214-R214</f>
        <v>0</v>
      </c>
      <c r="T214" s="34" t="n">
        <f aca="false">Y213</f>
        <v>0</v>
      </c>
      <c r="U214" s="34" t="n">
        <f aca="false">T214*$T$5/12</f>
        <v>0</v>
      </c>
      <c r="V214" s="29" t="n">
        <f aca="false">MIN($T$6,T214+U214)</f>
        <v>0</v>
      </c>
      <c r="W214" s="30" t="n">
        <f aca="false">MAX(0,MIN(N214,T214+U214-V214))</f>
        <v>0</v>
      </c>
      <c r="X214" s="29" t="n">
        <f aca="false">N214-W214</f>
        <v>690</v>
      </c>
      <c r="Y214" s="34" t="n">
        <f aca="false">T214+U214-V214-W214</f>
        <v>0</v>
      </c>
      <c r="Z214" s="34" t="n">
        <f aca="false">AC213</f>
        <v>0</v>
      </c>
      <c r="AA214" s="34" t="n">
        <f aca="false">Z214*$T$5/12</f>
        <v>0</v>
      </c>
      <c r="AB214" s="29" t="n">
        <f aca="false">MIN($T$6,Z214+AA214)</f>
        <v>0</v>
      </c>
      <c r="AC214" s="34" t="n">
        <f aca="false">Z214+AA214-AB214</f>
        <v>0</v>
      </c>
      <c r="AD214" s="34" t="n">
        <f aca="false">AI213</f>
        <v>0</v>
      </c>
      <c r="AE214" s="34" t="n">
        <f aca="false">AD214*$AD$5/12</f>
        <v>0</v>
      </c>
      <c r="AF214" s="29" t="n">
        <f aca="false">MIN($AD$6,AD214+AE214)</f>
        <v>0</v>
      </c>
      <c r="AG214" s="30" t="n">
        <f aca="false">MAX(0,MIN(X214,AD214+AE214-AF214))</f>
        <v>0</v>
      </c>
      <c r="AH214" s="29" t="n">
        <f aca="false">X214-AG214</f>
        <v>690</v>
      </c>
      <c r="AI214" s="34" t="n">
        <f aca="false">AD214+AE214-AF214-AG214</f>
        <v>0</v>
      </c>
      <c r="AJ214" s="34" t="n">
        <f aca="false">AM213</f>
        <v>0</v>
      </c>
      <c r="AK214" s="34" t="n">
        <f aca="false">AJ214*$AD$5/12</f>
        <v>0</v>
      </c>
      <c r="AL214" s="29" t="n">
        <f aca="false">MIN($AD$6,AJ214+AK214)</f>
        <v>0</v>
      </c>
      <c r="AM214" s="34" t="n">
        <f aca="false">AJ214+AK214-AL214</f>
        <v>0</v>
      </c>
      <c r="AN214" s="34" t="n">
        <f aca="false">AS213</f>
        <v>0</v>
      </c>
      <c r="AO214" s="34" t="n">
        <f aca="false">AN214*$AN$5/12</f>
        <v>0</v>
      </c>
      <c r="AP214" s="29" t="n">
        <f aca="false">MIN($AN$6,AN214+AO214)</f>
        <v>0</v>
      </c>
      <c r="AQ214" s="30" t="n">
        <f aca="false">MAX(0,MIN(AH214,AN214+AO214-AP214))</f>
        <v>0</v>
      </c>
      <c r="AR214" s="29" t="n">
        <f aca="false">AH214-AQ214</f>
        <v>690</v>
      </c>
      <c r="AS214" s="34" t="n">
        <f aca="false">AN214+AO214-AP214-AQ214</f>
        <v>0</v>
      </c>
      <c r="AT214" s="34" t="n">
        <f aca="false">AW213</f>
        <v>0</v>
      </c>
      <c r="AU214" s="34" t="n">
        <f aca="false">AT214*$AN$5/12</f>
        <v>0</v>
      </c>
      <c r="AV214" s="29" t="n">
        <f aca="false">MIN($AN$6,AT214+AU214)</f>
        <v>0</v>
      </c>
      <c r="AW214" s="34" t="n">
        <f aca="false">AT214+AU214-AV214</f>
        <v>0</v>
      </c>
      <c r="AX214" s="30" t="n">
        <f aca="false">BC213</f>
        <v>0</v>
      </c>
      <c r="AY214" s="30" t="n">
        <f aca="false">AX214*$AX$5/12</f>
        <v>0</v>
      </c>
      <c r="AZ214" s="30" t="n">
        <f aca="false">MIN($AX$6,AX214+AY214)</f>
        <v>0</v>
      </c>
      <c r="BA214" s="30" t="n">
        <f aca="false">MAX(0,MIN(AR214,AX214+AY214-AZ214))</f>
        <v>0</v>
      </c>
      <c r="BB214" s="29" t="n">
        <f aca="false">AR214-BA214</f>
        <v>690</v>
      </c>
      <c r="BC214" s="30" t="n">
        <f aca="false">AX214+AY214-AZ214-BA214</f>
        <v>0</v>
      </c>
      <c r="BD214" s="30" t="n">
        <f aca="false">BG213</f>
        <v>0</v>
      </c>
      <c r="BE214" s="30" t="n">
        <f aca="false">BD214*$AX$5/12</f>
        <v>0</v>
      </c>
      <c r="BF214" s="30" t="n">
        <f aca="false">MIN($AX$6,BD214+BE214)</f>
        <v>0</v>
      </c>
      <c r="BG214" s="30" t="n">
        <f aca="false">BD214+BE214-BF214</f>
        <v>0</v>
      </c>
      <c r="BH214" s="30" t="n">
        <f aca="false">BM213</f>
        <v>0</v>
      </c>
      <c r="BI214" s="30" t="n">
        <f aca="false">BH214*$BH$5/12</f>
        <v>0</v>
      </c>
      <c r="BJ214" s="30" t="n">
        <f aca="false">MIN($BH$6,BH214+BI214)</f>
        <v>0</v>
      </c>
      <c r="BK214" s="30" t="n">
        <f aca="false">MAX(0,MIN(BB214,BH214+BI214-BJ214))</f>
        <v>0</v>
      </c>
      <c r="BL214" s="29" t="n">
        <f aca="false">BB214-BK214</f>
        <v>690</v>
      </c>
      <c r="BM214" s="30" t="n">
        <f aca="false">BH214+BI214-BJ214-BK214</f>
        <v>0</v>
      </c>
      <c r="BN214" s="30" t="n">
        <f aca="false">BQ213</f>
        <v>0</v>
      </c>
      <c r="BO214" s="30" t="n">
        <f aca="false">BN214*$BH$5/12</f>
        <v>0</v>
      </c>
      <c r="BP214" s="30" t="n">
        <f aca="false">MIN($BH$6,BN214+BO214)</f>
        <v>0</v>
      </c>
      <c r="BQ214" s="30" t="n">
        <f aca="false">BN214+BO214-BP214</f>
        <v>0</v>
      </c>
      <c r="BR214" s="30" t="n">
        <f aca="false">BW213</f>
        <v>0</v>
      </c>
      <c r="BS214" s="30" t="n">
        <f aca="false">BR214*$BR$5/12</f>
        <v>0</v>
      </c>
      <c r="BT214" s="30" t="n">
        <f aca="false">MIN($BR$6,BR214+BS214)</f>
        <v>0</v>
      </c>
      <c r="BU214" s="30" t="n">
        <f aca="false">MAX(0,MIN(BL214,BR214+BS214-BT214))</f>
        <v>0</v>
      </c>
      <c r="BV214" s="29" t="n">
        <f aca="false">BL214-BU214</f>
        <v>690</v>
      </c>
      <c r="BW214" s="30" t="n">
        <f aca="false">BR214+BS214-BT214-BU214</f>
        <v>0</v>
      </c>
      <c r="BX214" s="30" t="n">
        <f aca="false">CA213</f>
        <v>0</v>
      </c>
      <c r="BY214" s="30" t="n">
        <f aca="false">BX214*$BR$5/12</f>
        <v>0</v>
      </c>
      <c r="BZ214" s="30" t="n">
        <f aca="false">MIN($BR$6,BX214+BY214)</f>
        <v>0</v>
      </c>
      <c r="CA214" s="30" t="n">
        <f aca="false">BX214+BY214-BZ214</f>
        <v>0</v>
      </c>
      <c r="CB214" s="30" t="n">
        <f aca="false">CG213</f>
        <v>0</v>
      </c>
      <c r="CC214" s="30" t="n">
        <f aca="false">CB214*$CB$5/12</f>
        <v>0</v>
      </c>
      <c r="CD214" s="30" t="n">
        <f aca="false">MIN($CB$6,CB214+CC214)</f>
        <v>0</v>
      </c>
      <c r="CE214" s="30" t="n">
        <f aca="false">MAX(0,MIN(BV214,CB214+CC214-CD214))</f>
        <v>0</v>
      </c>
      <c r="CF214" s="29" t="n">
        <f aca="false">BV214-CE214</f>
        <v>690</v>
      </c>
      <c r="CG214" s="30" t="n">
        <f aca="false">CB214+CC214-CD214-CE214</f>
        <v>0</v>
      </c>
      <c r="CH214" s="30" t="n">
        <f aca="false">CK213</f>
        <v>0</v>
      </c>
      <c r="CI214" s="30" t="n">
        <f aca="false">CH214*$CB$5/12</f>
        <v>0</v>
      </c>
      <c r="CJ214" s="30" t="n">
        <f aca="false">MIN($CB$6,CH214+CI214)</f>
        <v>0</v>
      </c>
      <c r="CK214" s="30" t="n">
        <f aca="false">CH214+CI214-CJ214</f>
        <v>0</v>
      </c>
    </row>
    <row r="215" customFormat="false" ht="15" hidden="false" customHeight="false" outlineLevel="0" collapsed="false">
      <c r="A215" s="0" t="n">
        <v>207</v>
      </c>
      <c r="B215" s="29" t="n">
        <f aca="false">'1 Your debts'!$B$16-(L215+V215+AF215+AP215+AZ215+BJ215+BT215+CD215)</f>
        <v>690</v>
      </c>
      <c r="C215" s="34" t="n">
        <f aca="false">O215+Y215+AI215+AS215+BC215+BM215+BW215+CG215</f>
        <v>0</v>
      </c>
      <c r="D215" s="34" t="n">
        <f aca="false">K215+U215+AE215+AO215+AY215+BI215+BS215+CC215</f>
        <v>0</v>
      </c>
      <c r="F215" s="34" t="n">
        <f aca="false">S215+AC215+AM215+AW215+BG215+BQ215+CA215+CK215</f>
        <v>0</v>
      </c>
      <c r="G215" s="34" t="n">
        <f aca="false">Q215+AA215+AK215+AU215+BE215+BO215+BY215+CI215</f>
        <v>0</v>
      </c>
      <c r="J215" s="34" t="n">
        <f aca="false">O214</f>
        <v>0</v>
      </c>
      <c r="K215" s="34" t="n">
        <f aca="false">J215*$J$5/12</f>
        <v>0</v>
      </c>
      <c r="L215" s="29" t="n">
        <f aca="false">MIN($J$6,J215+K215)</f>
        <v>0</v>
      </c>
      <c r="M215" s="30" t="n">
        <f aca="false">MAX(0,MIN($B215,J215+K215-L215))</f>
        <v>0</v>
      </c>
      <c r="N215" s="29" t="n">
        <f aca="false">$B215-M215</f>
        <v>690</v>
      </c>
      <c r="O215" s="34" t="n">
        <f aca="false">J215+K215-L215-M215</f>
        <v>0</v>
      </c>
      <c r="P215" s="34" t="n">
        <f aca="false">S214</f>
        <v>0</v>
      </c>
      <c r="Q215" s="34" t="n">
        <f aca="false">P215*$J$5/12</f>
        <v>0</v>
      </c>
      <c r="R215" s="29" t="n">
        <f aca="false">MIN($J$6,P215+Q215)</f>
        <v>0</v>
      </c>
      <c r="S215" s="34" t="n">
        <f aca="false">P215+Q215-R215</f>
        <v>0</v>
      </c>
      <c r="T215" s="34" t="n">
        <f aca="false">Y214</f>
        <v>0</v>
      </c>
      <c r="U215" s="34" t="n">
        <f aca="false">T215*$T$5/12</f>
        <v>0</v>
      </c>
      <c r="V215" s="29" t="n">
        <f aca="false">MIN($T$6,T215+U215)</f>
        <v>0</v>
      </c>
      <c r="W215" s="30" t="n">
        <f aca="false">MAX(0,MIN(N215,T215+U215-V215))</f>
        <v>0</v>
      </c>
      <c r="X215" s="29" t="n">
        <f aca="false">N215-W215</f>
        <v>690</v>
      </c>
      <c r="Y215" s="34" t="n">
        <f aca="false">T215+U215-V215-W215</f>
        <v>0</v>
      </c>
      <c r="Z215" s="34" t="n">
        <f aca="false">AC214</f>
        <v>0</v>
      </c>
      <c r="AA215" s="34" t="n">
        <f aca="false">Z215*$T$5/12</f>
        <v>0</v>
      </c>
      <c r="AB215" s="29" t="n">
        <f aca="false">MIN($T$6,Z215+AA215)</f>
        <v>0</v>
      </c>
      <c r="AC215" s="34" t="n">
        <f aca="false">Z215+AA215-AB215</f>
        <v>0</v>
      </c>
      <c r="AD215" s="34" t="n">
        <f aca="false">AI214</f>
        <v>0</v>
      </c>
      <c r="AE215" s="34" t="n">
        <f aca="false">AD215*$AD$5/12</f>
        <v>0</v>
      </c>
      <c r="AF215" s="29" t="n">
        <f aca="false">MIN($AD$6,AD215+AE215)</f>
        <v>0</v>
      </c>
      <c r="AG215" s="30" t="n">
        <f aca="false">MAX(0,MIN(X215,AD215+AE215-AF215))</f>
        <v>0</v>
      </c>
      <c r="AH215" s="29" t="n">
        <f aca="false">X215-AG215</f>
        <v>690</v>
      </c>
      <c r="AI215" s="34" t="n">
        <f aca="false">AD215+AE215-AF215-AG215</f>
        <v>0</v>
      </c>
      <c r="AJ215" s="34" t="n">
        <f aca="false">AM214</f>
        <v>0</v>
      </c>
      <c r="AK215" s="34" t="n">
        <f aca="false">AJ215*$AD$5/12</f>
        <v>0</v>
      </c>
      <c r="AL215" s="29" t="n">
        <f aca="false">MIN($AD$6,AJ215+AK215)</f>
        <v>0</v>
      </c>
      <c r="AM215" s="34" t="n">
        <f aca="false">AJ215+AK215-AL215</f>
        <v>0</v>
      </c>
      <c r="AN215" s="34" t="n">
        <f aca="false">AS214</f>
        <v>0</v>
      </c>
      <c r="AO215" s="34" t="n">
        <f aca="false">AN215*$AN$5/12</f>
        <v>0</v>
      </c>
      <c r="AP215" s="29" t="n">
        <f aca="false">MIN($AN$6,AN215+AO215)</f>
        <v>0</v>
      </c>
      <c r="AQ215" s="30" t="n">
        <f aca="false">MAX(0,MIN(AH215,AN215+AO215-AP215))</f>
        <v>0</v>
      </c>
      <c r="AR215" s="29" t="n">
        <f aca="false">AH215-AQ215</f>
        <v>690</v>
      </c>
      <c r="AS215" s="34" t="n">
        <f aca="false">AN215+AO215-AP215-AQ215</f>
        <v>0</v>
      </c>
      <c r="AT215" s="34" t="n">
        <f aca="false">AW214</f>
        <v>0</v>
      </c>
      <c r="AU215" s="34" t="n">
        <f aca="false">AT215*$AN$5/12</f>
        <v>0</v>
      </c>
      <c r="AV215" s="29" t="n">
        <f aca="false">MIN($AN$6,AT215+AU215)</f>
        <v>0</v>
      </c>
      <c r="AW215" s="34" t="n">
        <f aca="false">AT215+AU215-AV215</f>
        <v>0</v>
      </c>
      <c r="AX215" s="30" t="n">
        <f aca="false">BC214</f>
        <v>0</v>
      </c>
      <c r="AY215" s="30" t="n">
        <f aca="false">AX215*$AX$5/12</f>
        <v>0</v>
      </c>
      <c r="AZ215" s="30" t="n">
        <f aca="false">MIN($AX$6,AX215+AY215)</f>
        <v>0</v>
      </c>
      <c r="BA215" s="30" t="n">
        <f aca="false">MAX(0,MIN(AR215,AX215+AY215-AZ215))</f>
        <v>0</v>
      </c>
      <c r="BB215" s="29" t="n">
        <f aca="false">AR215-BA215</f>
        <v>690</v>
      </c>
      <c r="BC215" s="30" t="n">
        <f aca="false">AX215+AY215-AZ215-BA215</f>
        <v>0</v>
      </c>
      <c r="BD215" s="30" t="n">
        <f aca="false">BG214</f>
        <v>0</v>
      </c>
      <c r="BE215" s="30" t="n">
        <f aca="false">BD215*$AX$5/12</f>
        <v>0</v>
      </c>
      <c r="BF215" s="30" t="n">
        <f aca="false">MIN($AX$6,BD215+BE215)</f>
        <v>0</v>
      </c>
      <c r="BG215" s="30" t="n">
        <f aca="false">BD215+BE215-BF215</f>
        <v>0</v>
      </c>
      <c r="BH215" s="30" t="n">
        <f aca="false">BM214</f>
        <v>0</v>
      </c>
      <c r="BI215" s="30" t="n">
        <f aca="false">BH215*$BH$5/12</f>
        <v>0</v>
      </c>
      <c r="BJ215" s="30" t="n">
        <f aca="false">MIN($BH$6,BH215+BI215)</f>
        <v>0</v>
      </c>
      <c r="BK215" s="30" t="n">
        <f aca="false">MAX(0,MIN(BB215,BH215+BI215-BJ215))</f>
        <v>0</v>
      </c>
      <c r="BL215" s="29" t="n">
        <f aca="false">BB215-BK215</f>
        <v>690</v>
      </c>
      <c r="BM215" s="30" t="n">
        <f aca="false">BH215+BI215-BJ215-BK215</f>
        <v>0</v>
      </c>
      <c r="BN215" s="30" t="n">
        <f aca="false">BQ214</f>
        <v>0</v>
      </c>
      <c r="BO215" s="30" t="n">
        <f aca="false">BN215*$BH$5/12</f>
        <v>0</v>
      </c>
      <c r="BP215" s="30" t="n">
        <f aca="false">MIN($BH$6,BN215+BO215)</f>
        <v>0</v>
      </c>
      <c r="BQ215" s="30" t="n">
        <f aca="false">BN215+BO215-BP215</f>
        <v>0</v>
      </c>
      <c r="BR215" s="30" t="n">
        <f aca="false">BW214</f>
        <v>0</v>
      </c>
      <c r="BS215" s="30" t="n">
        <f aca="false">BR215*$BR$5/12</f>
        <v>0</v>
      </c>
      <c r="BT215" s="30" t="n">
        <f aca="false">MIN($BR$6,BR215+BS215)</f>
        <v>0</v>
      </c>
      <c r="BU215" s="30" t="n">
        <f aca="false">MAX(0,MIN(BL215,BR215+BS215-BT215))</f>
        <v>0</v>
      </c>
      <c r="BV215" s="29" t="n">
        <f aca="false">BL215-BU215</f>
        <v>690</v>
      </c>
      <c r="BW215" s="30" t="n">
        <f aca="false">BR215+BS215-BT215-BU215</f>
        <v>0</v>
      </c>
      <c r="BX215" s="30" t="n">
        <f aca="false">CA214</f>
        <v>0</v>
      </c>
      <c r="BY215" s="30" t="n">
        <f aca="false">BX215*$BR$5/12</f>
        <v>0</v>
      </c>
      <c r="BZ215" s="30" t="n">
        <f aca="false">MIN($BR$6,BX215+BY215)</f>
        <v>0</v>
      </c>
      <c r="CA215" s="30" t="n">
        <f aca="false">BX215+BY215-BZ215</f>
        <v>0</v>
      </c>
      <c r="CB215" s="30" t="n">
        <f aca="false">CG214</f>
        <v>0</v>
      </c>
      <c r="CC215" s="30" t="n">
        <f aca="false">CB215*$CB$5/12</f>
        <v>0</v>
      </c>
      <c r="CD215" s="30" t="n">
        <f aca="false">MIN($CB$6,CB215+CC215)</f>
        <v>0</v>
      </c>
      <c r="CE215" s="30" t="n">
        <f aca="false">MAX(0,MIN(BV215,CB215+CC215-CD215))</f>
        <v>0</v>
      </c>
      <c r="CF215" s="29" t="n">
        <f aca="false">BV215-CE215</f>
        <v>690</v>
      </c>
      <c r="CG215" s="30" t="n">
        <f aca="false">CB215+CC215-CD215-CE215</f>
        <v>0</v>
      </c>
      <c r="CH215" s="30" t="n">
        <f aca="false">CK214</f>
        <v>0</v>
      </c>
      <c r="CI215" s="30" t="n">
        <f aca="false">CH215*$CB$5/12</f>
        <v>0</v>
      </c>
      <c r="CJ215" s="30" t="n">
        <f aca="false">MIN($CB$6,CH215+CI215)</f>
        <v>0</v>
      </c>
      <c r="CK215" s="30" t="n">
        <f aca="false">CH215+CI215-CJ215</f>
        <v>0</v>
      </c>
    </row>
    <row r="216" customFormat="false" ht="15" hidden="false" customHeight="false" outlineLevel="0" collapsed="false">
      <c r="A216" s="0" t="n">
        <v>208</v>
      </c>
      <c r="B216" s="29" t="n">
        <f aca="false">'1 Your debts'!$B$16-(L216+V216+AF216+AP216+AZ216+BJ216+BT216+CD216)</f>
        <v>690</v>
      </c>
      <c r="C216" s="34" t="n">
        <f aca="false">O216+Y216+AI216+AS216+BC216+BM216+BW216+CG216</f>
        <v>0</v>
      </c>
      <c r="D216" s="34" t="n">
        <f aca="false">K216+U216+AE216+AO216+AY216+BI216+BS216+CC216</f>
        <v>0</v>
      </c>
      <c r="F216" s="34" t="n">
        <f aca="false">S216+AC216+AM216+AW216+BG216+BQ216+CA216+CK216</f>
        <v>0</v>
      </c>
      <c r="G216" s="34" t="n">
        <f aca="false">Q216+AA216+AK216+AU216+BE216+BO216+BY216+CI216</f>
        <v>0</v>
      </c>
      <c r="J216" s="34" t="n">
        <f aca="false">O215</f>
        <v>0</v>
      </c>
      <c r="K216" s="34" t="n">
        <f aca="false">J216*$J$5/12</f>
        <v>0</v>
      </c>
      <c r="L216" s="29" t="n">
        <f aca="false">MIN($J$6,J216+K216)</f>
        <v>0</v>
      </c>
      <c r="M216" s="30" t="n">
        <f aca="false">MAX(0,MIN($B216,J216+K216-L216))</f>
        <v>0</v>
      </c>
      <c r="N216" s="29" t="n">
        <f aca="false">$B216-M216</f>
        <v>690</v>
      </c>
      <c r="O216" s="34" t="n">
        <f aca="false">J216+K216-L216-M216</f>
        <v>0</v>
      </c>
      <c r="P216" s="34" t="n">
        <f aca="false">S215</f>
        <v>0</v>
      </c>
      <c r="Q216" s="34" t="n">
        <f aca="false">P216*$J$5/12</f>
        <v>0</v>
      </c>
      <c r="R216" s="29" t="n">
        <f aca="false">MIN($J$6,P216+Q216)</f>
        <v>0</v>
      </c>
      <c r="S216" s="34" t="n">
        <f aca="false">P216+Q216-R216</f>
        <v>0</v>
      </c>
      <c r="T216" s="34" t="n">
        <f aca="false">Y215</f>
        <v>0</v>
      </c>
      <c r="U216" s="34" t="n">
        <f aca="false">T216*$T$5/12</f>
        <v>0</v>
      </c>
      <c r="V216" s="29" t="n">
        <f aca="false">MIN($T$6,T216+U216)</f>
        <v>0</v>
      </c>
      <c r="W216" s="30" t="n">
        <f aca="false">MAX(0,MIN(N216,T216+U216-V216))</f>
        <v>0</v>
      </c>
      <c r="X216" s="29" t="n">
        <f aca="false">N216-W216</f>
        <v>690</v>
      </c>
      <c r="Y216" s="34" t="n">
        <f aca="false">T216+U216-V216-W216</f>
        <v>0</v>
      </c>
      <c r="Z216" s="34" t="n">
        <f aca="false">AC215</f>
        <v>0</v>
      </c>
      <c r="AA216" s="34" t="n">
        <f aca="false">Z216*$T$5/12</f>
        <v>0</v>
      </c>
      <c r="AB216" s="29" t="n">
        <f aca="false">MIN($T$6,Z216+AA216)</f>
        <v>0</v>
      </c>
      <c r="AC216" s="34" t="n">
        <f aca="false">Z216+AA216-AB216</f>
        <v>0</v>
      </c>
      <c r="AD216" s="34" t="n">
        <f aca="false">AI215</f>
        <v>0</v>
      </c>
      <c r="AE216" s="34" t="n">
        <f aca="false">AD216*$AD$5/12</f>
        <v>0</v>
      </c>
      <c r="AF216" s="29" t="n">
        <f aca="false">MIN($AD$6,AD216+AE216)</f>
        <v>0</v>
      </c>
      <c r="AG216" s="30" t="n">
        <f aca="false">MAX(0,MIN(X216,AD216+AE216-AF216))</f>
        <v>0</v>
      </c>
      <c r="AH216" s="29" t="n">
        <f aca="false">X216-AG216</f>
        <v>690</v>
      </c>
      <c r="AI216" s="34" t="n">
        <f aca="false">AD216+AE216-AF216-AG216</f>
        <v>0</v>
      </c>
      <c r="AJ216" s="34" t="n">
        <f aca="false">AM215</f>
        <v>0</v>
      </c>
      <c r="AK216" s="34" t="n">
        <f aca="false">AJ216*$AD$5/12</f>
        <v>0</v>
      </c>
      <c r="AL216" s="29" t="n">
        <f aca="false">MIN($AD$6,AJ216+AK216)</f>
        <v>0</v>
      </c>
      <c r="AM216" s="34" t="n">
        <f aca="false">AJ216+AK216-AL216</f>
        <v>0</v>
      </c>
      <c r="AN216" s="34" t="n">
        <f aca="false">AS215</f>
        <v>0</v>
      </c>
      <c r="AO216" s="34" t="n">
        <f aca="false">AN216*$AN$5/12</f>
        <v>0</v>
      </c>
      <c r="AP216" s="29" t="n">
        <f aca="false">MIN($AN$6,AN216+AO216)</f>
        <v>0</v>
      </c>
      <c r="AQ216" s="30" t="n">
        <f aca="false">MAX(0,MIN(AH216,AN216+AO216-AP216))</f>
        <v>0</v>
      </c>
      <c r="AR216" s="29" t="n">
        <f aca="false">AH216-AQ216</f>
        <v>690</v>
      </c>
      <c r="AS216" s="34" t="n">
        <f aca="false">AN216+AO216-AP216-AQ216</f>
        <v>0</v>
      </c>
      <c r="AT216" s="34" t="n">
        <f aca="false">AW215</f>
        <v>0</v>
      </c>
      <c r="AU216" s="34" t="n">
        <f aca="false">AT216*$AN$5/12</f>
        <v>0</v>
      </c>
      <c r="AV216" s="29" t="n">
        <f aca="false">MIN($AN$6,AT216+AU216)</f>
        <v>0</v>
      </c>
      <c r="AW216" s="34" t="n">
        <f aca="false">AT216+AU216-AV216</f>
        <v>0</v>
      </c>
      <c r="AX216" s="30" t="n">
        <f aca="false">BC215</f>
        <v>0</v>
      </c>
      <c r="AY216" s="30" t="n">
        <f aca="false">AX216*$AX$5/12</f>
        <v>0</v>
      </c>
      <c r="AZ216" s="30" t="n">
        <f aca="false">MIN($AX$6,AX216+AY216)</f>
        <v>0</v>
      </c>
      <c r="BA216" s="30" t="n">
        <f aca="false">MAX(0,MIN(AR216,AX216+AY216-AZ216))</f>
        <v>0</v>
      </c>
      <c r="BB216" s="29" t="n">
        <f aca="false">AR216-BA216</f>
        <v>690</v>
      </c>
      <c r="BC216" s="30" t="n">
        <f aca="false">AX216+AY216-AZ216-BA216</f>
        <v>0</v>
      </c>
      <c r="BD216" s="30" t="n">
        <f aca="false">BG215</f>
        <v>0</v>
      </c>
      <c r="BE216" s="30" t="n">
        <f aca="false">BD216*$AX$5/12</f>
        <v>0</v>
      </c>
      <c r="BF216" s="30" t="n">
        <f aca="false">MIN($AX$6,BD216+BE216)</f>
        <v>0</v>
      </c>
      <c r="BG216" s="30" t="n">
        <f aca="false">BD216+BE216-BF216</f>
        <v>0</v>
      </c>
      <c r="BH216" s="30" t="n">
        <f aca="false">BM215</f>
        <v>0</v>
      </c>
      <c r="BI216" s="30" t="n">
        <f aca="false">BH216*$BH$5/12</f>
        <v>0</v>
      </c>
      <c r="BJ216" s="30" t="n">
        <f aca="false">MIN($BH$6,BH216+BI216)</f>
        <v>0</v>
      </c>
      <c r="BK216" s="30" t="n">
        <f aca="false">MAX(0,MIN(BB216,BH216+BI216-BJ216))</f>
        <v>0</v>
      </c>
      <c r="BL216" s="29" t="n">
        <f aca="false">BB216-BK216</f>
        <v>690</v>
      </c>
      <c r="BM216" s="30" t="n">
        <f aca="false">BH216+BI216-BJ216-BK216</f>
        <v>0</v>
      </c>
      <c r="BN216" s="30" t="n">
        <f aca="false">BQ215</f>
        <v>0</v>
      </c>
      <c r="BO216" s="30" t="n">
        <f aca="false">BN216*$BH$5/12</f>
        <v>0</v>
      </c>
      <c r="BP216" s="30" t="n">
        <f aca="false">MIN($BH$6,BN216+BO216)</f>
        <v>0</v>
      </c>
      <c r="BQ216" s="30" t="n">
        <f aca="false">BN216+BO216-BP216</f>
        <v>0</v>
      </c>
      <c r="BR216" s="30" t="n">
        <f aca="false">BW215</f>
        <v>0</v>
      </c>
      <c r="BS216" s="30" t="n">
        <f aca="false">BR216*$BR$5/12</f>
        <v>0</v>
      </c>
      <c r="BT216" s="30" t="n">
        <f aca="false">MIN($BR$6,BR216+BS216)</f>
        <v>0</v>
      </c>
      <c r="BU216" s="30" t="n">
        <f aca="false">MAX(0,MIN(BL216,BR216+BS216-BT216))</f>
        <v>0</v>
      </c>
      <c r="BV216" s="29" t="n">
        <f aca="false">BL216-BU216</f>
        <v>690</v>
      </c>
      <c r="BW216" s="30" t="n">
        <f aca="false">BR216+BS216-BT216-BU216</f>
        <v>0</v>
      </c>
      <c r="BX216" s="30" t="n">
        <f aca="false">CA215</f>
        <v>0</v>
      </c>
      <c r="BY216" s="30" t="n">
        <f aca="false">BX216*$BR$5/12</f>
        <v>0</v>
      </c>
      <c r="BZ216" s="30" t="n">
        <f aca="false">MIN($BR$6,BX216+BY216)</f>
        <v>0</v>
      </c>
      <c r="CA216" s="30" t="n">
        <f aca="false">BX216+BY216-BZ216</f>
        <v>0</v>
      </c>
      <c r="CB216" s="30" t="n">
        <f aca="false">CG215</f>
        <v>0</v>
      </c>
      <c r="CC216" s="30" t="n">
        <f aca="false">CB216*$CB$5/12</f>
        <v>0</v>
      </c>
      <c r="CD216" s="30" t="n">
        <f aca="false">MIN($CB$6,CB216+CC216)</f>
        <v>0</v>
      </c>
      <c r="CE216" s="30" t="n">
        <f aca="false">MAX(0,MIN(BV216,CB216+CC216-CD216))</f>
        <v>0</v>
      </c>
      <c r="CF216" s="29" t="n">
        <f aca="false">BV216-CE216</f>
        <v>690</v>
      </c>
      <c r="CG216" s="30" t="n">
        <f aca="false">CB216+CC216-CD216-CE216</f>
        <v>0</v>
      </c>
      <c r="CH216" s="30" t="n">
        <f aca="false">CK215</f>
        <v>0</v>
      </c>
      <c r="CI216" s="30" t="n">
        <f aca="false">CH216*$CB$5/12</f>
        <v>0</v>
      </c>
      <c r="CJ216" s="30" t="n">
        <f aca="false">MIN($CB$6,CH216+CI216)</f>
        <v>0</v>
      </c>
      <c r="CK216" s="30" t="n">
        <f aca="false">CH216+CI216-CJ216</f>
        <v>0</v>
      </c>
    </row>
    <row r="217" customFormat="false" ht="15" hidden="false" customHeight="false" outlineLevel="0" collapsed="false">
      <c r="A217" s="0" t="n">
        <v>209</v>
      </c>
      <c r="B217" s="29" t="n">
        <f aca="false">'1 Your debts'!$B$16-(L217+V217+AF217+AP217+AZ217+BJ217+BT217+CD217)</f>
        <v>690</v>
      </c>
      <c r="C217" s="34" t="n">
        <f aca="false">O217+Y217+AI217+AS217+BC217+BM217+BW217+CG217</f>
        <v>0</v>
      </c>
      <c r="D217" s="34" t="n">
        <f aca="false">K217+U217+AE217+AO217+AY217+BI217+BS217+CC217</f>
        <v>0</v>
      </c>
      <c r="F217" s="34" t="n">
        <f aca="false">S217+AC217+AM217+AW217+BG217+BQ217+CA217+CK217</f>
        <v>0</v>
      </c>
      <c r="G217" s="34" t="n">
        <f aca="false">Q217+AA217+AK217+AU217+BE217+BO217+BY217+CI217</f>
        <v>0</v>
      </c>
      <c r="J217" s="34" t="n">
        <f aca="false">O216</f>
        <v>0</v>
      </c>
      <c r="K217" s="34" t="n">
        <f aca="false">J217*$J$5/12</f>
        <v>0</v>
      </c>
      <c r="L217" s="29" t="n">
        <f aca="false">MIN($J$6,J217+K217)</f>
        <v>0</v>
      </c>
      <c r="M217" s="30" t="n">
        <f aca="false">MAX(0,MIN($B217,J217+K217-L217))</f>
        <v>0</v>
      </c>
      <c r="N217" s="29" t="n">
        <f aca="false">$B217-M217</f>
        <v>690</v>
      </c>
      <c r="O217" s="34" t="n">
        <f aca="false">J217+K217-L217-M217</f>
        <v>0</v>
      </c>
      <c r="P217" s="34" t="n">
        <f aca="false">S216</f>
        <v>0</v>
      </c>
      <c r="Q217" s="34" t="n">
        <f aca="false">P217*$J$5/12</f>
        <v>0</v>
      </c>
      <c r="R217" s="29" t="n">
        <f aca="false">MIN($J$6,P217+Q217)</f>
        <v>0</v>
      </c>
      <c r="S217" s="34" t="n">
        <f aca="false">P217+Q217-R217</f>
        <v>0</v>
      </c>
      <c r="T217" s="34" t="n">
        <f aca="false">Y216</f>
        <v>0</v>
      </c>
      <c r="U217" s="34" t="n">
        <f aca="false">T217*$T$5/12</f>
        <v>0</v>
      </c>
      <c r="V217" s="29" t="n">
        <f aca="false">MIN($T$6,T217+U217)</f>
        <v>0</v>
      </c>
      <c r="W217" s="30" t="n">
        <f aca="false">MAX(0,MIN(N217,T217+U217-V217))</f>
        <v>0</v>
      </c>
      <c r="X217" s="29" t="n">
        <f aca="false">N217-W217</f>
        <v>690</v>
      </c>
      <c r="Y217" s="34" t="n">
        <f aca="false">T217+U217-V217-W217</f>
        <v>0</v>
      </c>
      <c r="Z217" s="34" t="n">
        <f aca="false">AC216</f>
        <v>0</v>
      </c>
      <c r="AA217" s="34" t="n">
        <f aca="false">Z217*$T$5/12</f>
        <v>0</v>
      </c>
      <c r="AB217" s="29" t="n">
        <f aca="false">MIN($T$6,Z217+AA217)</f>
        <v>0</v>
      </c>
      <c r="AC217" s="34" t="n">
        <f aca="false">Z217+AA217-AB217</f>
        <v>0</v>
      </c>
      <c r="AD217" s="34" t="n">
        <f aca="false">AI216</f>
        <v>0</v>
      </c>
      <c r="AE217" s="34" t="n">
        <f aca="false">AD217*$AD$5/12</f>
        <v>0</v>
      </c>
      <c r="AF217" s="29" t="n">
        <f aca="false">MIN($AD$6,AD217+AE217)</f>
        <v>0</v>
      </c>
      <c r="AG217" s="30" t="n">
        <f aca="false">MAX(0,MIN(X217,AD217+AE217-AF217))</f>
        <v>0</v>
      </c>
      <c r="AH217" s="29" t="n">
        <f aca="false">X217-AG217</f>
        <v>690</v>
      </c>
      <c r="AI217" s="34" t="n">
        <f aca="false">AD217+AE217-AF217-AG217</f>
        <v>0</v>
      </c>
      <c r="AJ217" s="34" t="n">
        <f aca="false">AM216</f>
        <v>0</v>
      </c>
      <c r="AK217" s="34" t="n">
        <f aca="false">AJ217*$AD$5/12</f>
        <v>0</v>
      </c>
      <c r="AL217" s="29" t="n">
        <f aca="false">MIN($AD$6,AJ217+AK217)</f>
        <v>0</v>
      </c>
      <c r="AM217" s="34" t="n">
        <f aca="false">AJ217+AK217-AL217</f>
        <v>0</v>
      </c>
      <c r="AN217" s="34" t="n">
        <f aca="false">AS216</f>
        <v>0</v>
      </c>
      <c r="AO217" s="34" t="n">
        <f aca="false">AN217*$AN$5/12</f>
        <v>0</v>
      </c>
      <c r="AP217" s="29" t="n">
        <f aca="false">MIN($AN$6,AN217+AO217)</f>
        <v>0</v>
      </c>
      <c r="AQ217" s="30" t="n">
        <f aca="false">MAX(0,MIN(AH217,AN217+AO217-AP217))</f>
        <v>0</v>
      </c>
      <c r="AR217" s="29" t="n">
        <f aca="false">AH217-AQ217</f>
        <v>690</v>
      </c>
      <c r="AS217" s="34" t="n">
        <f aca="false">AN217+AO217-AP217-AQ217</f>
        <v>0</v>
      </c>
      <c r="AT217" s="34" t="n">
        <f aca="false">AW216</f>
        <v>0</v>
      </c>
      <c r="AU217" s="34" t="n">
        <f aca="false">AT217*$AN$5/12</f>
        <v>0</v>
      </c>
      <c r="AV217" s="29" t="n">
        <f aca="false">MIN($AN$6,AT217+AU217)</f>
        <v>0</v>
      </c>
      <c r="AW217" s="34" t="n">
        <f aca="false">AT217+AU217-AV217</f>
        <v>0</v>
      </c>
      <c r="AX217" s="30" t="n">
        <f aca="false">BC216</f>
        <v>0</v>
      </c>
      <c r="AY217" s="30" t="n">
        <f aca="false">AX217*$AX$5/12</f>
        <v>0</v>
      </c>
      <c r="AZ217" s="30" t="n">
        <f aca="false">MIN($AX$6,AX217+AY217)</f>
        <v>0</v>
      </c>
      <c r="BA217" s="30" t="n">
        <f aca="false">MAX(0,MIN(AR217,AX217+AY217-AZ217))</f>
        <v>0</v>
      </c>
      <c r="BB217" s="29" t="n">
        <f aca="false">AR217-BA217</f>
        <v>690</v>
      </c>
      <c r="BC217" s="30" t="n">
        <f aca="false">AX217+AY217-AZ217-BA217</f>
        <v>0</v>
      </c>
      <c r="BD217" s="30" t="n">
        <f aca="false">BG216</f>
        <v>0</v>
      </c>
      <c r="BE217" s="30" t="n">
        <f aca="false">BD217*$AX$5/12</f>
        <v>0</v>
      </c>
      <c r="BF217" s="30" t="n">
        <f aca="false">MIN($AX$6,BD217+BE217)</f>
        <v>0</v>
      </c>
      <c r="BG217" s="30" t="n">
        <f aca="false">BD217+BE217-BF217</f>
        <v>0</v>
      </c>
      <c r="BH217" s="30" t="n">
        <f aca="false">BM216</f>
        <v>0</v>
      </c>
      <c r="BI217" s="30" t="n">
        <f aca="false">BH217*$BH$5/12</f>
        <v>0</v>
      </c>
      <c r="BJ217" s="30" t="n">
        <f aca="false">MIN($BH$6,BH217+BI217)</f>
        <v>0</v>
      </c>
      <c r="BK217" s="30" t="n">
        <f aca="false">MAX(0,MIN(BB217,BH217+BI217-BJ217))</f>
        <v>0</v>
      </c>
      <c r="BL217" s="29" t="n">
        <f aca="false">BB217-BK217</f>
        <v>690</v>
      </c>
      <c r="BM217" s="30" t="n">
        <f aca="false">BH217+BI217-BJ217-BK217</f>
        <v>0</v>
      </c>
      <c r="BN217" s="30" t="n">
        <f aca="false">BQ216</f>
        <v>0</v>
      </c>
      <c r="BO217" s="30" t="n">
        <f aca="false">BN217*$BH$5/12</f>
        <v>0</v>
      </c>
      <c r="BP217" s="30" t="n">
        <f aca="false">MIN($BH$6,BN217+BO217)</f>
        <v>0</v>
      </c>
      <c r="BQ217" s="30" t="n">
        <f aca="false">BN217+BO217-BP217</f>
        <v>0</v>
      </c>
      <c r="BR217" s="30" t="n">
        <f aca="false">BW216</f>
        <v>0</v>
      </c>
      <c r="BS217" s="30" t="n">
        <f aca="false">BR217*$BR$5/12</f>
        <v>0</v>
      </c>
      <c r="BT217" s="30" t="n">
        <f aca="false">MIN($BR$6,BR217+BS217)</f>
        <v>0</v>
      </c>
      <c r="BU217" s="30" t="n">
        <f aca="false">MAX(0,MIN(BL217,BR217+BS217-BT217))</f>
        <v>0</v>
      </c>
      <c r="BV217" s="29" t="n">
        <f aca="false">BL217-BU217</f>
        <v>690</v>
      </c>
      <c r="BW217" s="30" t="n">
        <f aca="false">BR217+BS217-BT217-BU217</f>
        <v>0</v>
      </c>
      <c r="BX217" s="30" t="n">
        <f aca="false">CA216</f>
        <v>0</v>
      </c>
      <c r="BY217" s="30" t="n">
        <f aca="false">BX217*$BR$5/12</f>
        <v>0</v>
      </c>
      <c r="BZ217" s="30" t="n">
        <f aca="false">MIN($BR$6,BX217+BY217)</f>
        <v>0</v>
      </c>
      <c r="CA217" s="30" t="n">
        <f aca="false">BX217+BY217-BZ217</f>
        <v>0</v>
      </c>
      <c r="CB217" s="30" t="n">
        <f aca="false">CG216</f>
        <v>0</v>
      </c>
      <c r="CC217" s="30" t="n">
        <f aca="false">CB217*$CB$5/12</f>
        <v>0</v>
      </c>
      <c r="CD217" s="30" t="n">
        <f aca="false">MIN($CB$6,CB217+CC217)</f>
        <v>0</v>
      </c>
      <c r="CE217" s="30" t="n">
        <f aca="false">MAX(0,MIN(BV217,CB217+CC217-CD217))</f>
        <v>0</v>
      </c>
      <c r="CF217" s="29" t="n">
        <f aca="false">BV217-CE217</f>
        <v>690</v>
      </c>
      <c r="CG217" s="30" t="n">
        <f aca="false">CB217+CC217-CD217-CE217</f>
        <v>0</v>
      </c>
      <c r="CH217" s="30" t="n">
        <f aca="false">CK216</f>
        <v>0</v>
      </c>
      <c r="CI217" s="30" t="n">
        <f aca="false">CH217*$CB$5/12</f>
        <v>0</v>
      </c>
      <c r="CJ217" s="30" t="n">
        <f aca="false">MIN($CB$6,CH217+CI217)</f>
        <v>0</v>
      </c>
      <c r="CK217" s="30" t="n">
        <f aca="false">CH217+CI217-CJ217</f>
        <v>0</v>
      </c>
    </row>
    <row r="218" customFormat="false" ht="15" hidden="false" customHeight="false" outlineLevel="0" collapsed="false">
      <c r="A218" s="0" t="n">
        <v>210</v>
      </c>
      <c r="B218" s="29" t="n">
        <f aca="false">'1 Your debts'!$B$16-(L218+V218+AF218+AP218+AZ218+BJ218+BT218+CD218)</f>
        <v>690</v>
      </c>
      <c r="C218" s="34" t="n">
        <f aca="false">O218+Y218+AI218+AS218+BC218+BM218+BW218+CG218</f>
        <v>0</v>
      </c>
      <c r="D218" s="34" t="n">
        <f aca="false">K218+U218+AE218+AO218+AY218+BI218+BS218+CC218</f>
        <v>0</v>
      </c>
      <c r="F218" s="34" t="n">
        <f aca="false">S218+AC218+AM218+AW218+BG218+BQ218+CA218+CK218</f>
        <v>0</v>
      </c>
      <c r="G218" s="34" t="n">
        <f aca="false">Q218+AA218+AK218+AU218+BE218+BO218+BY218+CI218</f>
        <v>0</v>
      </c>
      <c r="J218" s="34" t="n">
        <f aca="false">O217</f>
        <v>0</v>
      </c>
      <c r="K218" s="34" t="n">
        <f aca="false">J218*$J$5/12</f>
        <v>0</v>
      </c>
      <c r="L218" s="29" t="n">
        <f aca="false">MIN($J$6,J218+K218)</f>
        <v>0</v>
      </c>
      <c r="M218" s="30" t="n">
        <f aca="false">MAX(0,MIN($B218,J218+K218-L218))</f>
        <v>0</v>
      </c>
      <c r="N218" s="29" t="n">
        <f aca="false">$B218-M218</f>
        <v>690</v>
      </c>
      <c r="O218" s="34" t="n">
        <f aca="false">J218+K218-L218-M218</f>
        <v>0</v>
      </c>
      <c r="P218" s="34" t="n">
        <f aca="false">S217</f>
        <v>0</v>
      </c>
      <c r="Q218" s="34" t="n">
        <f aca="false">P218*$J$5/12</f>
        <v>0</v>
      </c>
      <c r="R218" s="29" t="n">
        <f aca="false">MIN($J$6,P218+Q218)</f>
        <v>0</v>
      </c>
      <c r="S218" s="34" t="n">
        <f aca="false">P218+Q218-R218</f>
        <v>0</v>
      </c>
      <c r="T218" s="34" t="n">
        <f aca="false">Y217</f>
        <v>0</v>
      </c>
      <c r="U218" s="34" t="n">
        <f aca="false">T218*$T$5/12</f>
        <v>0</v>
      </c>
      <c r="V218" s="29" t="n">
        <f aca="false">MIN($T$6,T218+U218)</f>
        <v>0</v>
      </c>
      <c r="W218" s="30" t="n">
        <f aca="false">MAX(0,MIN(N218,T218+U218-V218))</f>
        <v>0</v>
      </c>
      <c r="X218" s="29" t="n">
        <f aca="false">N218-W218</f>
        <v>690</v>
      </c>
      <c r="Y218" s="34" t="n">
        <f aca="false">T218+U218-V218-W218</f>
        <v>0</v>
      </c>
      <c r="Z218" s="34" t="n">
        <f aca="false">AC217</f>
        <v>0</v>
      </c>
      <c r="AA218" s="34" t="n">
        <f aca="false">Z218*$T$5/12</f>
        <v>0</v>
      </c>
      <c r="AB218" s="29" t="n">
        <f aca="false">MIN($T$6,Z218+AA218)</f>
        <v>0</v>
      </c>
      <c r="AC218" s="34" t="n">
        <f aca="false">Z218+AA218-AB218</f>
        <v>0</v>
      </c>
      <c r="AD218" s="34" t="n">
        <f aca="false">AI217</f>
        <v>0</v>
      </c>
      <c r="AE218" s="34" t="n">
        <f aca="false">AD218*$AD$5/12</f>
        <v>0</v>
      </c>
      <c r="AF218" s="29" t="n">
        <f aca="false">MIN($AD$6,AD218+AE218)</f>
        <v>0</v>
      </c>
      <c r="AG218" s="30" t="n">
        <f aca="false">MAX(0,MIN(X218,AD218+AE218-AF218))</f>
        <v>0</v>
      </c>
      <c r="AH218" s="29" t="n">
        <f aca="false">X218-AG218</f>
        <v>690</v>
      </c>
      <c r="AI218" s="34" t="n">
        <f aca="false">AD218+AE218-AF218-AG218</f>
        <v>0</v>
      </c>
      <c r="AJ218" s="34" t="n">
        <f aca="false">AM217</f>
        <v>0</v>
      </c>
      <c r="AK218" s="34" t="n">
        <f aca="false">AJ218*$AD$5/12</f>
        <v>0</v>
      </c>
      <c r="AL218" s="29" t="n">
        <f aca="false">MIN($AD$6,AJ218+AK218)</f>
        <v>0</v>
      </c>
      <c r="AM218" s="34" t="n">
        <f aca="false">AJ218+AK218-AL218</f>
        <v>0</v>
      </c>
      <c r="AN218" s="34" t="n">
        <f aca="false">AS217</f>
        <v>0</v>
      </c>
      <c r="AO218" s="34" t="n">
        <f aca="false">AN218*$AN$5/12</f>
        <v>0</v>
      </c>
      <c r="AP218" s="29" t="n">
        <f aca="false">MIN($AN$6,AN218+AO218)</f>
        <v>0</v>
      </c>
      <c r="AQ218" s="30" t="n">
        <f aca="false">MAX(0,MIN(AH218,AN218+AO218-AP218))</f>
        <v>0</v>
      </c>
      <c r="AR218" s="29" t="n">
        <f aca="false">AH218-AQ218</f>
        <v>690</v>
      </c>
      <c r="AS218" s="34" t="n">
        <f aca="false">AN218+AO218-AP218-AQ218</f>
        <v>0</v>
      </c>
      <c r="AT218" s="34" t="n">
        <f aca="false">AW217</f>
        <v>0</v>
      </c>
      <c r="AU218" s="34" t="n">
        <f aca="false">AT218*$AN$5/12</f>
        <v>0</v>
      </c>
      <c r="AV218" s="29" t="n">
        <f aca="false">MIN($AN$6,AT218+AU218)</f>
        <v>0</v>
      </c>
      <c r="AW218" s="34" t="n">
        <f aca="false">AT218+AU218-AV218</f>
        <v>0</v>
      </c>
      <c r="AX218" s="30" t="n">
        <f aca="false">BC217</f>
        <v>0</v>
      </c>
      <c r="AY218" s="30" t="n">
        <f aca="false">AX218*$AX$5/12</f>
        <v>0</v>
      </c>
      <c r="AZ218" s="30" t="n">
        <f aca="false">MIN($AX$6,AX218+AY218)</f>
        <v>0</v>
      </c>
      <c r="BA218" s="30" t="n">
        <f aca="false">MAX(0,MIN(AR218,AX218+AY218-AZ218))</f>
        <v>0</v>
      </c>
      <c r="BB218" s="29" t="n">
        <f aca="false">AR218-BA218</f>
        <v>690</v>
      </c>
      <c r="BC218" s="30" t="n">
        <f aca="false">AX218+AY218-AZ218-BA218</f>
        <v>0</v>
      </c>
      <c r="BD218" s="30" t="n">
        <f aca="false">BG217</f>
        <v>0</v>
      </c>
      <c r="BE218" s="30" t="n">
        <f aca="false">BD218*$AX$5/12</f>
        <v>0</v>
      </c>
      <c r="BF218" s="30" t="n">
        <f aca="false">MIN($AX$6,BD218+BE218)</f>
        <v>0</v>
      </c>
      <c r="BG218" s="30" t="n">
        <f aca="false">BD218+BE218-BF218</f>
        <v>0</v>
      </c>
      <c r="BH218" s="30" t="n">
        <f aca="false">BM217</f>
        <v>0</v>
      </c>
      <c r="BI218" s="30" t="n">
        <f aca="false">BH218*$BH$5/12</f>
        <v>0</v>
      </c>
      <c r="BJ218" s="30" t="n">
        <f aca="false">MIN($BH$6,BH218+BI218)</f>
        <v>0</v>
      </c>
      <c r="BK218" s="30" t="n">
        <f aca="false">MAX(0,MIN(BB218,BH218+BI218-BJ218))</f>
        <v>0</v>
      </c>
      <c r="BL218" s="29" t="n">
        <f aca="false">BB218-BK218</f>
        <v>690</v>
      </c>
      <c r="BM218" s="30" t="n">
        <f aca="false">BH218+BI218-BJ218-BK218</f>
        <v>0</v>
      </c>
      <c r="BN218" s="30" t="n">
        <f aca="false">BQ217</f>
        <v>0</v>
      </c>
      <c r="BO218" s="30" t="n">
        <f aca="false">BN218*$BH$5/12</f>
        <v>0</v>
      </c>
      <c r="BP218" s="30" t="n">
        <f aca="false">MIN($BH$6,BN218+BO218)</f>
        <v>0</v>
      </c>
      <c r="BQ218" s="30" t="n">
        <f aca="false">BN218+BO218-BP218</f>
        <v>0</v>
      </c>
      <c r="BR218" s="30" t="n">
        <f aca="false">BW217</f>
        <v>0</v>
      </c>
      <c r="BS218" s="30" t="n">
        <f aca="false">BR218*$BR$5/12</f>
        <v>0</v>
      </c>
      <c r="BT218" s="30" t="n">
        <f aca="false">MIN($BR$6,BR218+BS218)</f>
        <v>0</v>
      </c>
      <c r="BU218" s="30" t="n">
        <f aca="false">MAX(0,MIN(BL218,BR218+BS218-BT218))</f>
        <v>0</v>
      </c>
      <c r="BV218" s="29" t="n">
        <f aca="false">BL218-BU218</f>
        <v>690</v>
      </c>
      <c r="BW218" s="30" t="n">
        <f aca="false">BR218+BS218-BT218-BU218</f>
        <v>0</v>
      </c>
      <c r="BX218" s="30" t="n">
        <f aca="false">CA217</f>
        <v>0</v>
      </c>
      <c r="BY218" s="30" t="n">
        <f aca="false">BX218*$BR$5/12</f>
        <v>0</v>
      </c>
      <c r="BZ218" s="30" t="n">
        <f aca="false">MIN($BR$6,BX218+BY218)</f>
        <v>0</v>
      </c>
      <c r="CA218" s="30" t="n">
        <f aca="false">BX218+BY218-BZ218</f>
        <v>0</v>
      </c>
      <c r="CB218" s="30" t="n">
        <f aca="false">CG217</f>
        <v>0</v>
      </c>
      <c r="CC218" s="30" t="n">
        <f aca="false">CB218*$CB$5/12</f>
        <v>0</v>
      </c>
      <c r="CD218" s="30" t="n">
        <f aca="false">MIN($CB$6,CB218+CC218)</f>
        <v>0</v>
      </c>
      <c r="CE218" s="30" t="n">
        <f aca="false">MAX(0,MIN(BV218,CB218+CC218-CD218))</f>
        <v>0</v>
      </c>
      <c r="CF218" s="29" t="n">
        <f aca="false">BV218-CE218</f>
        <v>690</v>
      </c>
      <c r="CG218" s="30" t="n">
        <f aca="false">CB218+CC218-CD218-CE218</f>
        <v>0</v>
      </c>
      <c r="CH218" s="30" t="n">
        <f aca="false">CK217</f>
        <v>0</v>
      </c>
      <c r="CI218" s="30" t="n">
        <f aca="false">CH218*$CB$5/12</f>
        <v>0</v>
      </c>
      <c r="CJ218" s="30" t="n">
        <f aca="false">MIN($CB$6,CH218+CI218)</f>
        <v>0</v>
      </c>
      <c r="CK218" s="30" t="n">
        <f aca="false">CH218+CI218-CJ218</f>
        <v>0</v>
      </c>
    </row>
    <row r="219" customFormat="false" ht="15" hidden="false" customHeight="false" outlineLevel="0" collapsed="false">
      <c r="A219" s="0" t="n">
        <v>211</v>
      </c>
      <c r="B219" s="29" t="n">
        <f aca="false">'1 Your debts'!$B$16-(L219+V219+AF219+AP219+AZ219+BJ219+BT219+CD219)</f>
        <v>690</v>
      </c>
      <c r="C219" s="34" t="n">
        <f aca="false">O219+Y219+AI219+AS219+BC219+BM219+BW219+CG219</f>
        <v>0</v>
      </c>
      <c r="D219" s="34" t="n">
        <f aca="false">K219+U219+AE219+AO219+AY219+BI219+BS219+CC219</f>
        <v>0</v>
      </c>
      <c r="F219" s="34" t="n">
        <f aca="false">S219+AC219+AM219+AW219+BG219+BQ219+CA219+CK219</f>
        <v>0</v>
      </c>
      <c r="G219" s="34" t="n">
        <f aca="false">Q219+AA219+AK219+AU219+BE219+BO219+BY219+CI219</f>
        <v>0</v>
      </c>
      <c r="J219" s="34" t="n">
        <f aca="false">O218</f>
        <v>0</v>
      </c>
      <c r="K219" s="34" t="n">
        <f aca="false">J219*$J$5/12</f>
        <v>0</v>
      </c>
      <c r="L219" s="29" t="n">
        <f aca="false">MIN($J$6,J219+K219)</f>
        <v>0</v>
      </c>
      <c r="M219" s="30" t="n">
        <f aca="false">MAX(0,MIN($B219,J219+K219-L219))</f>
        <v>0</v>
      </c>
      <c r="N219" s="29" t="n">
        <f aca="false">$B219-M219</f>
        <v>690</v>
      </c>
      <c r="O219" s="34" t="n">
        <f aca="false">J219+K219-L219-M219</f>
        <v>0</v>
      </c>
      <c r="P219" s="34" t="n">
        <f aca="false">S218</f>
        <v>0</v>
      </c>
      <c r="Q219" s="34" t="n">
        <f aca="false">P219*$J$5/12</f>
        <v>0</v>
      </c>
      <c r="R219" s="29" t="n">
        <f aca="false">MIN($J$6,P219+Q219)</f>
        <v>0</v>
      </c>
      <c r="S219" s="34" t="n">
        <f aca="false">P219+Q219-R219</f>
        <v>0</v>
      </c>
      <c r="T219" s="34" t="n">
        <f aca="false">Y218</f>
        <v>0</v>
      </c>
      <c r="U219" s="34" t="n">
        <f aca="false">T219*$T$5/12</f>
        <v>0</v>
      </c>
      <c r="V219" s="29" t="n">
        <f aca="false">MIN($T$6,T219+U219)</f>
        <v>0</v>
      </c>
      <c r="W219" s="30" t="n">
        <f aca="false">MAX(0,MIN(N219,T219+U219-V219))</f>
        <v>0</v>
      </c>
      <c r="X219" s="29" t="n">
        <f aca="false">N219-W219</f>
        <v>690</v>
      </c>
      <c r="Y219" s="34" t="n">
        <f aca="false">T219+U219-V219-W219</f>
        <v>0</v>
      </c>
      <c r="Z219" s="34" t="n">
        <f aca="false">AC218</f>
        <v>0</v>
      </c>
      <c r="AA219" s="34" t="n">
        <f aca="false">Z219*$T$5/12</f>
        <v>0</v>
      </c>
      <c r="AB219" s="29" t="n">
        <f aca="false">MIN($T$6,Z219+AA219)</f>
        <v>0</v>
      </c>
      <c r="AC219" s="34" t="n">
        <f aca="false">Z219+AA219-AB219</f>
        <v>0</v>
      </c>
      <c r="AD219" s="34" t="n">
        <f aca="false">AI218</f>
        <v>0</v>
      </c>
      <c r="AE219" s="34" t="n">
        <f aca="false">AD219*$AD$5/12</f>
        <v>0</v>
      </c>
      <c r="AF219" s="29" t="n">
        <f aca="false">MIN($AD$6,AD219+AE219)</f>
        <v>0</v>
      </c>
      <c r="AG219" s="30" t="n">
        <f aca="false">MAX(0,MIN(X219,AD219+AE219-AF219))</f>
        <v>0</v>
      </c>
      <c r="AH219" s="29" t="n">
        <f aca="false">X219-AG219</f>
        <v>690</v>
      </c>
      <c r="AI219" s="34" t="n">
        <f aca="false">AD219+AE219-AF219-AG219</f>
        <v>0</v>
      </c>
      <c r="AJ219" s="34" t="n">
        <f aca="false">AM218</f>
        <v>0</v>
      </c>
      <c r="AK219" s="34" t="n">
        <f aca="false">AJ219*$AD$5/12</f>
        <v>0</v>
      </c>
      <c r="AL219" s="29" t="n">
        <f aca="false">MIN($AD$6,AJ219+AK219)</f>
        <v>0</v>
      </c>
      <c r="AM219" s="34" t="n">
        <f aca="false">AJ219+AK219-AL219</f>
        <v>0</v>
      </c>
      <c r="AN219" s="34" t="n">
        <f aca="false">AS218</f>
        <v>0</v>
      </c>
      <c r="AO219" s="34" t="n">
        <f aca="false">AN219*$AN$5/12</f>
        <v>0</v>
      </c>
      <c r="AP219" s="29" t="n">
        <f aca="false">MIN($AN$6,AN219+AO219)</f>
        <v>0</v>
      </c>
      <c r="AQ219" s="30" t="n">
        <f aca="false">MAX(0,MIN(AH219,AN219+AO219-AP219))</f>
        <v>0</v>
      </c>
      <c r="AR219" s="29" t="n">
        <f aca="false">AH219-AQ219</f>
        <v>690</v>
      </c>
      <c r="AS219" s="34" t="n">
        <f aca="false">AN219+AO219-AP219-AQ219</f>
        <v>0</v>
      </c>
      <c r="AT219" s="34" t="n">
        <f aca="false">AW218</f>
        <v>0</v>
      </c>
      <c r="AU219" s="34" t="n">
        <f aca="false">AT219*$AN$5/12</f>
        <v>0</v>
      </c>
      <c r="AV219" s="29" t="n">
        <f aca="false">MIN($AN$6,AT219+AU219)</f>
        <v>0</v>
      </c>
      <c r="AW219" s="34" t="n">
        <f aca="false">AT219+AU219-AV219</f>
        <v>0</v>
      </c>
      <c r="AX219" s="30" t="n">
        <f aca="false">BC218</f>
        <v>0</v>
      </c>
      <c r="AY219" s="30" t="n">
        <f aca="false">AX219*$AX$5/12</f>
        <v>0</v>
      </c>
      <c r="AZ219" s="30" t="n">
        <f aca="false">MIN($AX$6,AX219+AY219)</f>
        <v>0</v>
      </c>
      <c r="BA219" s="30" t="n">
        <f aca="false">MAX(0,MIN(AR219,AX219+AY219-AZ219))</f>
        <v>0</v>
      </c>
      <c r="BB219" s="29" t="n">
        <f aca="false">AR219-BA219</f>
        <v>690</v>
      </c>
      <c r="BC219" s="30" t="n">
        <f aca="false">AX219+AY219-AZ219-BA219</f>
        <v>0</v>
      </c>
      <c r="BD219" s="30" t="n">
        <f aca="false">BG218</f>
        <v>0</v>
      </c>
      <c r="BE219" s="30" t="n">
        <f aca="false">BD219*$AX$5/12</f>
        <v>0</v>
      </c>
      <c r="BF219" s="30" t="n">
        <f aca="false">MIN($AX$6,BD219+BE219)</f>
        <v>0</v>
      </c>
      <c r="BG219" s="30" t="n">
        <f aca="false">BD219+BE219-BF219</f>
        <v>0</v>
      </c>
      <c r="BH219" s="30" t="n">
        <f aca="false">BM218</f>
        <v>0</v>
      </c>
      <c r="BI219" s="30" t="n">
        <f aca="false">BH219*$BH$5/12</f>
        <v>0</v>
      </c>
      <c r="BJ219" s="30" t="n">
        <f aca="false">MIN($BH$6,BH219+BI219)</f>
        <v>0</v>
      </c>
      <c r="BK219" s="30" t="n">
        <f aca="false">MAX(0,MIN(BB219,BH219+BI219-BJ219))</f>
        <v>0</v>
      </c>
      <c r="BL219" s="29" t="n">
        <f aca="false">BB219-BK219</f>
        <v>690</v>
      </c>
      <c r="BM219" s="30" t="n">
        <f aca="false">BH219+BI219-BJ219-BK219</f>
        <v>0</v>
      </c>
      <c r="BN219" s="30" t="n">
        <f aca="false">BQ218</f>
        <v>0</v>
      </c>
      <c r="BO219" s="30" t="n">
        <f aca="false">BN219*$BH$5/12</f>
        <v>0</v>
      </c>
      <c r="BP219" s="30" t="n">
        <f aca="false">MIN($BH$6,BN219+BO219)</f>
        <v>0</v>
      </c>
      <c r="BQ219" s="30" t="n">
        <f aca="false">BN219+BO219-BP219</f>
        <v>0</v>
      </c>
      <c r="BR219" s="30" t="n">
        <f aca="false">BW218</f>
        <v>0</v>
      </c>
      <c r="BS219" s="30" t="n">
        <f aca="false">BR219*$BR$5/12</f>
        <v>0</v>
      </c>
      <c r="BT219" s="30" t="n">
        <f aca="false">MIN($BR$6,BR219+BS219)</f>
        <v>0</v>
      </c>
      <c r="BU219" s="30" t="n">
        <f aca="false">MAX(0,MIN(BL219,BR219+BS219-BT219))</f>
        <v>0</v>
      </c>
      <c r="BV219" s="29" t="n">
        <f aca="false">BL219-BU219</f>
        <v>690</v>
      </c>
      <c r="BW219" s="30" t="n">
        <f aca="false">BR219+BS219-BT219-BU219</f>
        <v>0</v>
      </c>
      <c r="BX219" s="30" t="n">
        <f aca="false">CA218</f>
        <v>0</v>
      </c>
      <c r="BY219" s="30" t="n">
        <f aca="false">BX219*$BR$5/12</f>
        <v>0</v>
      </c>
      <c r="BZ219" s="30" t="n">
        <f aca="false">MIN($BR$6,BX219+BY219)</f>
        <v>0</v>
      </c>
      <c r="CA219" s="30" t="n">
        <f aca="false">BX219+BY219-BZ219</f>
        <v>0</v>
      </c>
      <c r="CB219" s="30" t="n">
        <f aca="false">CG218</f>
        <v>0</v>
      </c>
      <c r="CC219" s="30" t="n">
        <f aca="false">CB219*$CB$5/12</f>
        <v>0</v>
      </c>
      <c r="CD219" s="30" t="n">
        <f aca="false">MIN($CB$6,CB219+CC219)</f>
        <v>0</v>
      </c>
      <c r="CE219" s="30" t="n">
        <f aca="false">MAX(0,MIN(BV219,CB219+CC219-CD219))</f>
        <v>0</v>
      </c>
      <c r="CF219" s="29" t="n">
        <f aca="false">BV219-CE219</f>
        <v>690</v>
      </c>
      <c r="CG219" s="30" t="n">
        <f aca="false">CB219+CC219-CD219-CE219</f>
        <v>0</v>
      </c>
      <c r="CH219" s="30" t="n">
        <f aca="false">CK218</f>
        <v>0</v>
      </c>
      <c r="CI219" s="30" t="n">
        <f aca="false">CH219*$CB$5/12</f>
        <v>0</v>
      </c>
      <c r="CJ219" s="30" t="n">
        <f aca="false">MIN($CB$6,CH219+CI219)</f>
        <v>0</v>
      </c>
      <c r="CK219" s="30" t="n">
        <f aca="false">CH219+CI219-CJ219</f>
        <v>0</v>
      </c>
    </row>
    <row r="220" customFormat="false" ht="15" hidden="false" customHeight="false" outlineLevel="0" collapsed="false">
      <c r="A220" s="0" t="n">
        <v>212</v>
      </c>
      <c r="B220" s="29" t="n">
        <f aca="false">'1 Your debts'!$B$16-(L220+V220+AF220+AP220+AZ220+BJ220+BT220+CD220)</f>
        <v>690</v>
      </c>
      <c r="C220" s="34" t="n">
        <f aca="false">O220+Y220+AI220+AS220+BC220+BM220+BW220+CG220</f>
        <v>0</v>
      </c>
      <c r="D220" s="34" t="n">
        <f aca="false">K220+U220+AE220+AO220+AY220+BI220+BS220+CC220</f>
        <v>0</v>
      </c>
      <c r="F220" s="34" t="n">
        <f aca="false">S220+AC220+AM220+AW220+BG220+BQ220+CA220+CK220</f>
        <v>0</v>
      </c>
      <c r="G220" s="34" t="n">
        <f aca="false">Q220+AA220+AK220+AU220+BE220+BO220+BY220+CI220</f>
        <v>0</v>
      </c>
      <c r="J220" s="34" t="n">
        <f aca="false">O219</f>
        <v>0</v>
      </c>
      <c r="K220" s="34" t="n">
        <f aca="false">J220*$J$5/12</f>
        <v>0</v>
      </c>
      <c r="L220" s="29" t="n">
        <f aca="false">MIN($J$6,J220+K220)</f>
        <v>0</v>
      </c>
      <c r="M220" s="30" t="n">
        <f aca="false">MAX(0,MIN($B220,J220+K220-L220))</f>
        <v>0</v>
      </c>
      <c r="N220" s="29" t="n">
        <f aca="false">$B220-M220</f>
        <v>690</v>
      </c>
      <c r="O220" s="34" t="n">
        <f aca="false">J220+K220-L220-M220</f>
        <v>0</v>
      </c>
      <c r="P220" s="34" t="n">
        <f aca="false">S219</f>
        <v>0</v>
      </c>
      <c r="Q220" s="34" t="n">
        <f aca="false">P220*$J$5/12</f>
        <v>0</v>
      </c>
      <c r="R220" s="29" t="n">
        <f aca="false">MIN($J$6,P220+Q220)</f>
        <v>0</v>
      </c>
      <c r="S220" s="34" t="n">
        <f aca="false">P220+Q220-R220</f>
        <v>0</v>
      </c>
      <c r="T220" s="34" t="n">
        <f aca="false">Y219</f>
        <v>0</v>
      </c>
      <c r="U220" s="34" t="n">
        <f aca="false">T220*$T$5/12</f>
        <v>0</v>
      </c>
      <c r="V220" s="29" t="n">
        <f aca="false">MIN($T$6,T220+U220)</f>
        <v>0</v>
      </c>
      <c r="W220" s="30" t="n">
        <f aca="false">MAX(0,MIN(N220,T220+U220-V220))</f>
        <v>0</v>
      </c>
      <c r="X220" s="29" t="n">
        <f aca="false">N220-W220</f>
        <v>690</v>
      </c>
      <c r="Y220" s="34" t="n">
        <f aca="false">T220+U220-V220-W220</f>
        <v>0</v>
      </c>
      <c r="Z220" s="34" t="n">
        <f aca="false">AC219</f>
        <v>0</v>
      </c>
      <c r="AA220" s="34" t="n">
        <f aca="false">Z220*$T$5/12</f>
        <v>0</v>
      </c>
      <c r="AB220" s="29" t="n">
        <f aca="false">MIN($T$6,Z220+AA220)</f>
        <v>0</v>
      </c>
      <c r="AC220" s="34" t="n">
        <f aca="false">Z220+AA220-AB220</f>
        <v>0</v>
      </c>
      <c r="AD220" s="34" t="n">
        <f aca="false">AI219</f>
        <v>0</v>
      </c>
      <c r="AE220" s="34" t="n">
        <f aca="false">AD220*$AD$5/12</f>
        <v>0</v>
      </c>
      <c r="AF220" s="29" t="n">
        <f aca="false">MIN($AD$6,AD220+AE220)</f>
        <v>0</v>
      </c>
      <c r="AG220" s="30" t="n">
        <f aca="false">MAX(0,MIN(X220,AD220+AE220-AF220))</f>
        <v>0</v>
      </c>
      <c r="AH220" s="29" t="n">
        <f aca="false">X220-AG220</f>
        <v>690</v>
      </c>
      <c r="AI220" s="34" t="n">
        <f aca="false">AD220+AE220-AF220-AG220</f>
        <v>0</v>
      </c>
      <c r="AJ220" s="34" t="n">
        <f aca="false">AM219</f>
        <v>0</v>
      </c>
      <c r="AK220" s="34" t="n">
        <f aca="false">AJ220*$AD$5/12</f>
        <v>0</v>
      </c>
      <c r="AL220" s="29" t="n">
        <f aca="false">MIN($AD$6,AJ220+AK220)</f>
        <v>0</v>
      </c>
      <c r="AM220" s="34" t="n">
        <f aca="false">AJ220+AK220-AL220</f>
        <v>0</v>
      </c>
      <c r="AN220" s="34" t="n">
        <f aca="false">AS219</f>
        <v>0</v>
      </c>
      <c r="AO220" s="34" t="n">
        <f aca="false">AN220*$AN$5/12</f>
        <v>0</v>
      </c>
      <c r="AP220" s="29" t="n">
        <f aca="false">MIN($AN$6,AN220+AO220)</f>
        <v>0</v>
      </c>
      <c r="AQ220" s="30" t="n">
        <f aca="false">MAX(0,MIN(AH220,AN220+AO220-AP220))</f>
        <v>0</v>
      </c>
      <c r="AR220" s="29" t="n">
        <f aca="false">AH220-AQ220</f>
        <v>690</v>
      </c>
      <c r="AS220" s="34" t="n">
        <f aca="false">AN220+AO220-AP220-AQ220</f>
        <v>0</v>
      </c>
      <c r="AT220" s="34" t="n">
        <f aca="false">AW219</f>
        <v>0</v>
      </c>
      <c r="AU220" s="34" t="n">
        <f aca="false">AT220*$AN$5/12</f>
        <v>0</v>
      </c>
      <c r="AV220" s="29" t="n">
        <f aca="false">MIN($AN$6,AT220+AU220)</f>
        <v>0</v>
      </c>
      <c r="AW220" s="34" t="n">
        <f aca="false">AT220+AU220-AV220</f>
        <v>0</v>
      </c>
      <c r="AX220" s="30" t="n">
        <f aca="false">BC219</f>
        <v>0</v>
      </c>
      <c r="AY220" s="30" t="n">
        <f aca="false">AX220*$AX$5/12</f>
        <v>0</v>
      </c>
      <c r="AZ220" s="30" t="n">
        <f aca="false">MIN($AX$6,AX220+AY220)</f>
        <v>0</v>
      </c>
      <c r="BA220" s="30" t="n">
        <f aca="false">MAX(0,MIN(AR220,AX220+AY220-AZ220))</f>
        <v>0</v>
      </c>
      <c r="BB220" s="29" t="n">
        <f aca="false">AR220-BA220</f>
        <v>690</v>
      </c>
      <c r="BC220" s="30" t="n">
        <f aca="false">AX220+AY220-AZ220-BA220</f>
        <v>0</v>
      </c>
      <c r="BD220" s="30" t="n">
        <f aca="false">BG219</f>
        <v>0</v>
      </c>
      <c r="BE220" s="30" t="n">
        <f aca="false">BD220*$AX$5/12</f>
        <v>0</v>
      </c>
      <c r="BF220" s="30" t="n">
        <f aca="false">MIN($AX$6,BD220+BE220)</f>
        <v>0</v>
      </c>
      <c r="BG220" s="30" t="n">
        <f aca="false">BD220+BE220-BF220</f>
        <v>0</v>
      </c>
      <c r="BH220" s="30" t="n">
        <f aca="false">BM219</f>
        <v>0</v>
      </c>
      <c r="BI220" s="30" t="n">
        <f aca="false">BH220*$BH$5/12</f>
        <v>0</v>
      </c>
      <c r="BJ220" s="30" t="n">
        <f aca="false">MIN($BH$6,BH220+BI220)</f>
        <v>0</v>
      </c>
      <c r="BK220" s="30" t="n">
        <f aca="false">MAX(0,MIN(BB220,BH220+BI220-BJ220))</f>
        <v>0</v>
      </c>
      <c r="BL220" s="29" t="n">
        <f aca="false">BB220-BK220</f>
        <v>690</v>
      </c>
      <c r="BM220" s="30" t="n">
        <f aca="false">BH220+BI220-BJ220-BK220</f>
        <v>0</v>
      </c>
      <c r="BN220" s="30" t="n">
        <f aca="false">BQ219</f>
        <v>0</v>
      </c>
      <c r="BO220" s="30" t="n">
        <f aca="false">BN220*$BH$5/12</f>
        <v>0</v>
      </c>
      <c r="BP220" s="30" t="n">
        <f aca="false">MIN($BH$6,BN220+BO220)</f>
        <v>0</v>
      </c>
      <c r="BQ220" s="30" t="n">
        <f aca="false">BN220+BO220-BP220</f>
        <v>0</v>
      </c>
      <c r="BR220" s="30" t="n">
        <f aca="false">BW219</f>
        <v>0</v>
      </c>
      <c r="BS220" s="30" t="n">
        <f aca="false">BR220*$BR$5/12</f>
        <v>0</v>
      </c>
      <c r="BT220" s="30" t="n">
        <f aca="false">MIN($BR$6,BR220+BS220)</f>
        <v>0</v>
      </c>
      <c r="BU220" s="30" t="n">
        <f aca="false">MAX(0,MIN(BL220,BR220+BS220-BT220))</f>
        <v>0</v>
      </c>
      <c r="BV220" s="29" t="n">
        <f aca="false">BL220-BU220</f>
        <v>690</v>
      </c>
      <c r="BW220" s="30" t="n">
        <f aca="false">BR220+BS220-BT220-BU220</f>
        <v>0</v>
      </c>
      <c r="BX220" s="30" t="n">
        <f aca="false">CA219</f>
        <v>0</v>
      </c>
      <c r="BY220" s="30" t="n">
        <f aca="false">BX220*$BR$5/12</f>
        <v>0</v>
      </c>
      <c r="BZ220" s="30" t="n">
        <f aca="false">MIN($BR$6,BX220+BY220)</f>
        <v>0</v>
      </c>
      <c r="CA220" s="30" t="n">
        <f aca="false">BX220+BY220-BZ220</f>
        <v>0</v>
      </c>
      <c r="CB220" s="30" t="n">
        <f aca="false">CG219</f>
        <v>0</v>
      </c>
      <c r="CC220" s="30" t="n">
        <f aca="false">CB220*$CB$5/12</f>
        <v>0</v>
      </c>
      <c r="CD220" s="30" t="n">
        <f aca="false">MIN($CB$6,CB220+CC220)</f>
        <v>0</v>
      </c>
      <c r="CE220" s="30" t="n">
        <f aca="false">MAX(0,MIN(BV220,CB220+CC220-CD220))</f>
        <v>0</v>
      </c>
      <c r="CF220" s="29" t="n">
        <f aca="false">BV220-CE220</f>
        <v>690</v>
      </c>
      <c r="CG220" s="30" t="n">
        <f aca="false">CB220+CC220-CD220-CE220</f>
        <v>0</v>
      </c>
      <c r="CH220" s="30" t="n">
        <f aca="false">CK219</f>
        <v>0</v>
      </c>
      <c r="CI220" s="30" t="n">
        <f aca="false">CH220*$CB$5/12</f>
        <v>0</v>
      </c>
      <c r="CJ220" s="30" t="n">
        <f aca="false">MIN($CB$6,CH220+CI220)</f>
        <v>0</v>
      </c>
      <c r="CK220" s="30" t="n">
        <f aca="false">CH220+CI220-CJ220</f>
        <v>0</v>
      </c>
    </row>
    <row r="221" customFormat="false" ht="15" hidden="false" customHeight="false" outlineLevel="0" collapsed="false">
      <c r="A221" s="0" t="n">
        <v>213</v>
      </c>
      <c r="B221" s="29" t="n">
        <f aca="false">'1 Your debts'!$B$16-(L221+V221+AF221+AP221+AZ221+BJ221+BT221+CD221)</f>
        <v>690</v>
      </c>
      <c r="C221" s="34" t="n">
        <f aca="false">O221+Y221+AI221+AS221+BC221+BM221+BW221+CG221</f>
        <v>0</v>
      </c>
      <c r="D221" s="34" t="n">
        <f aca="false">K221+U221+AE221+AO221+AY221+BI221+BS221+CC221</f>
        <v>0</v>
      </c>
      <c r="F221" s="34" t="n">
        <f aca="false">S221+AC221+AM221+AW221+BG221+BQ221+CA221+CK221</f>
        <v>0</v>
      </c>
      <c r="G221" s="34" t="n">
        <f aca="false">Q221+AA221+AK221+AU221+BE221+BO221+BY221+CI221</f>
        <v>0</v>
      </c>
      <c r="J221" s="34" t="n">
        <f aca="false">O220</f>
        <v>0</v>
      </c>
      <c r="K221" s="34" t="n">
        <f aca="false">J221*$J$5/12</f>
        <v>0</v>
      </c>
      <c r="L221" s="29" t="n">
        <f aca="false">MIN($J$6,J221+K221)</f>
        <v>0</v>
      </c>
      <c r="M221" s="30" t="n">
        <f aca="false">MAX(0,MIN($B221,J221+K221-L221))</f>
        <v>0</v>
      </c>
      <c r="N221" s="29" t="n">
        <f aca="false">$B221-M221</f>
        <v>690</v>
      </c>
      <c r="O221" s="34" t="n">
        <f aca="false">J221+K221-L221-M221</f>
        <v>0</v>
      </c>
      <c r="P221" s="34" t="n">
        <f aca="false">S220</f>
        <v>0</v>
      </c>
      <c r="Q221" s="34" t="n">
        <f aca="false">P221*$J$5/12</f>
        <v>0</v>
      </c>
      <c r="R221" s="29" t="n">
        <f aca="false">MIN($J$6,P221+Q221)</f>
        <v>0</v>
      </c>
      <c r="S221" s="34" t="n">
        <f aca="false">P221+Q221-R221</f>
        <v>0</v>
      </c>
      <c r="T221" s="34" t="n">
        <f aca="false">Y220</f>
        <v>0</v>
      </c>
      <c r="U221" s="34" t="n">
        <f aca="false">T221*$T$5/12</f>
        <v>0</v>
      </c>
      <c r="V221" s="29" t="n">
        <f aca="false">MIN($T$6,T221+U221)</f>
        <v>0</v>
      </c>
      <c r="W221" s="30" t="n">
        <f aca="false">MAX(0,MIN(N221,T221+U221-V221))</f>
        <v>0</v>
      </c>
      <c r="X221" s="29" t="n">
        <f aca="false">N221-W221</f>
        <v>690</v>
      </c>
      <c r="Y221" s="34" t="n">
        <f aca="false">T221+U221-V221-W221</f>
        <v>0</v>
      </c>
      <c r="Z221" s="34" t="n">
        <f aca="false">AC220</f>
        <v>0</v>
      </c>
      <c r="AA221" s="34" t="n">
        <f aca="false">Z221*$T$5/12</f>
        <v>0</v>
      </c>
      <c r="AB221" s="29" t="n">
        <f aca="false">MIN($T$6,Z221+AA221)</f>
        <v>0</v>
      </c>
      <c r="AC221" s="34" t="n">
        <f aca="false">Z221+AA221-AB221</f>
        <v>0</v>
      </c>
      <c r="AD221" s="34" t="n">
        <f aca="false">AI220</f>
        <v>0</v>
      </c>
      <c r="AE221" s="34" t="n">
        <f aca="false">AD221*$AD$5/12</f>
        <v>0</v>
      </c>
      <c r="AF221" s="29" t="n">
        <f aca="false">MIN($AD$6,AD221+AE221)</f>
        <v>0</v>
      </c>
      <c r="AG221" s="30" t="n">
        <f aca="false">MAX(0,MIN(X221,AD221+AE221-AF221))</f>
        <v>0</v>
      </c>
      <c r="AH221" s="29" t="n">
        <f aca="false">X221-AG221</f>
        <v>690</v>
      </c>
      <c r="AI221" s="34" t="n">
        <f aca="false">AD221+AE221-AF221-AG221</f>
        <v>0</v>
      </c>
      <c r="AJ221" s="34" t="n">
        <f aca="false">AM220</f>
        <v>0</v>
      </c>
      <c r="AK221" s="34" t="n">
        <f aca="false">AJ221*$AD$5/12</f>
        <v>0</v>
      </c>
      <c r="AL221" s="29" t="n">
        <f aca="false">MIN($AD$6,AJ221+AK221)</f>
        <v>0</v>
      </c>
      <c r="AM221" s="34" t="n">
        <f aca="false">AJ221+AK221-AL221</f>
        <v>0</v>
      </c>
      <c r="AN221" s="34" t="n">
        <f aca="false">AS220</f>
        <v>0</v>
      </c>
      <c r="AO221" s="34" t="n">
        <f aca="false">AN221*$AN$5/12</f>
        <v>0</v>
      </c>
      <c r="AP221" s="29" t="n">
        <f aca="false">MIN($AN$6,AN221+AO221)</f>
        <v>0</v>
      </c>
      <c r="AQ221" s="30" t="n">
        <f aca="false">MAX(0,MIN(AH221,AN221+AO221-AP221))</f>
        <v>0</v>
      </c>
      <c r="AR221" s="29" t="n">
        <f aca="false">AH221-AQ221</f>
        <v>690</v>
      </c>
      <c r="AS221" s="34" t="n">
        <f aca="false">AN221+AO221-AP221-AQ221</f>
        <v>0</v>
      </c>
      <c r="AT221" s="34" t="n">
        <f aca="false">AW220</f>
        <v>0</v>
      </c>
      <c r="AU221" s="34" t="n">
        <f aca="false">AT221*$AN$5/12</f>
        <v>0</v>
      </c>
      <c r="AV221" s="29" t="n">
        <f aca="false">MIN($AN$6,AT221+AU221)</f>
        <v>0</v>
      </c>
      <c r="AW221" s="34" t="n">
        <f aca="false">AT221+AU221-AV221</f>
        <v>0</v>
      </c>
      <c r="AX221" s="30" t="n">
        <f aca="false">BC220</f>
        <v>0</v>
      </c>
      <c r="AY221" s="30" t="n">
        <f aca="false">AX221*$AX$5/12</f>
        <v>0</v>
      </c>
      <c r="AZ221" s="30" t="n">
        <f aca="false">MIN($AX$6,AX221+AY221)</f>
        <v>0</v>
      </c>
      <c r="BA221" s="30" t="n">
        <f aca="false">MAX(0,MIN(AR221,AX221+AY221-AZ221))</f>
        <v>0</v>
      </c>
      <c r="BB221" s="29" t="n">
        <f aca="false">AR221-BA221</f>
        <v>690</v>
      </c>
      <c r="BC221" s="30" t="n">
        <f aca="false">AX221+AY221-AZ221-BA221</f>
        <v>0</v>
      </c>
      <c r="BD221" s="30" t="n">
        <f aca="false">BG220</f>
        <v>0</v>
      </c>
      <c r="BE221" s="30" t="n">
        <f aca="false">BD221*$AX$5/12</f>
        <v>0</v>
      </c>
      <c r="BF221" s="30" t="n">
        <f aca="false">MIN($AX$6,BD221+BE221)</f>
        <v>0</v>
      </c>
      <c r="BG221" s="30" t="n">
        <f aca="false">BD221+BE221-BF221</f>
        <v>0</v>
      </c>
      <c r="BH221" s="30" t="n">
        <f aca="false">BM220</f>
        <v>0</v>
      </c>
      <c r="BI221" s="30" t="n">
        <f aca="false">BH221*$BH$5/12</f>
        <v>0</v>
      </c>
      <c r="BJ221" s="30" t="n">
        <f aca="false">MIN($BH$6,BH221+BI221)</f>
        <v>0</v>
      </c>
      <c r="BK221" s="30" t="n">
        <f aca="false">MAX(0,MIN(BB221,BH221+BI221-BJ221))</f>
        <v>0</v>
      </c>
      <c r="BL221" s="29" t="n">
        <f aca="false">BB221-BK221</f>
        <v>690</v>
      </c>
      <c r="BM221" s="30" t="n">
        <f aca="false">BH221+BI221-BJ221-BK221</f>
        <v>0</v>
      </c>
      <c r="BN221" s="30" t="n">
        <f aca="false">BQ220</f>
        <v>0</v>
      </c>
      <c r="BO221" s="30" t="n">
        <f aca="false">BN221*$BH$5/12</f>
        <v>0</v>
      </c>
      <c r="BP221" s="30" t="n">
        <f aca="false">MIN($BH$6,BN221+BO221)</f>
        <v>0</v>
      </c>
      <c r="BQ221" s="30" t="n">
        <f aca="false">BN221+BO221-BP221</f>
        <v>0</v>
      </c>
      <c r="BR221" s="30" t="n">
        <f aca="false">BW220</f>
        <v>0</v>
      </c>
      <c r="BS221" s="30" t="n">
        <f aca="false">BR221*$BR$5/12</f>
        <v>0</v>
      </c>
      <c r="BT221" s="30" t="n">
        <f aca="false">MIN($BR$6,BR221+BS221)</f>
        <v>0</v>
      </c>
      <c r="BU221" s="30" t="n">
        <f aca="false">MAX(0,MIN(BL221,BR221+BS221-BT221))</f>
        <v>0</v>
      </c>
      <c r="BV221" s="29" t="n">
        <f aca="false">BL221-BU221</f>
        <v>690</v>
      </c>
      <c r="BW221" s="30" t="n">
        <f aca="false">BR221+BS221-BT221-BU221</f>
        <v>0</v>
      </c>
      <c r="BX221" s="30" t="n">
        <f aca="false">CA220</f>
        <v>0</v>
      </c>
      <c r="BY221" s="30" t="n">
        <f aca="false">BX221*$BR$5/12</f>
        <v>0</v>
      </c>
      <c r="BZ221" s="30" t="n">
        <f aca="false">MIN($BR$6,BX221+BY221)</f>
        <v>0</v>
      </c>
      <c r="CA221" s="30" t="n">
        <f aca="false">BX221+BY221-BZ221</f>
        <v>0</v>
      </c>
      <c r="CB221" s="30" t="n">
        <f aca="false">CG220</f>
        <v>0</v>
      </c>
      <c r="CC221" s="30" t="n">
        <f aca="false">CB221*$CB$5/12</f>
        <v>0</v>
      </c>
      <c r="CD221" s="30" t="n">
        <f aca="false">MIN($CB$6,CB221+CC221)</f>
        <v>0</v>
      </c>
      <c r="CE221" s="30" t="n">
        <f aca="false">MAX(0,MIN(BV221,CB221+CC221-CD221))</f>
        <v>0</v>
      </c>
      <c r="CF221" s="29" t="n">
        <f aca="false">BV221-CE221</f>
        <v>690</v>
      </c>
      <c r="CG221" s="30" t="n">
        <f aca="false">CB221+CC221-CD221-CE221</f>
        <v>0</v>
      </c>
      <c r="CH221" s="30" t="n">
        <f aca="false">CK220</f>
        <v>0</v>
      </c>
      <c r="CI221" s="30" t="n">
        <f aca="false">CH221*$CB$5/12</f>
        <v>0</v>
      </c>
      <c r="CJ221" s="30" t="n">
        <f aca="false">MIN($CB$6,CH221+CI221)</f>
        <v>0</v>
      </c>
      <c r="CK221" s="30" t="n">
        <f aca="false">CH221+CI221-CJ221</f>
        <v>0</v>
      </c>
    </row>
    <row r="222" customFormat="false" ht="15" hidden="false" customHeight="false" outlineLevel="0" collapsed="false">
      <c r="A222" s="0" t="n">
        <v>214</v>
      </c>
      <c r="B222" s="29" t="n">
        <f aca="false">'1 Your debts'!$B$16-(L222+V222+AF222+AP222+AZ222+BJ222+BT222+CD222)</f>
        <v>690</v>
      </c>
      <c r="C222" s="34" t="n">
        <f aca="false">O222+Y222+AI222+AS222+BC222+BM222+BW222+CG222</f>
        <v>0</v>
      </c>
      <c r="D222" s="34" t="n">
        <f aca="false">K222+U222+AE222+AO222+AY222+BI222+BS222+CC222</f>
        <v>0</v>
      </c>
      <c r="F222" s="34" t="n">
        <f aca="false">S222+AC222+AM222+AW222+BG222+BQ222+CA222+CK222</f>
        <v>0</v>
      </c>
      <c r="G222" s="34" t="n">
        <f aca="false">Q222+AA222+AK222+AU222+BE222+BO222+BY222+CI222</f>
        <v>0</v>
      </c>
      <c r="J222" s="34" t="n">
        <f aca="false">O221</f>
        <v>0</v>
      </c>
      <c r="K222" s="34" t="n">
        <f aca="false">J222*$J$5/12</f>
        <v>0</v>
      </c>
      <c r="L222" s="29" t="n">
        <f aca="false">MIN($J$6,J222+K222)</f>
        <v>0</v>
      </c>
      <c r="M222" s="30" t="n">
        <f aca="false">MAX(0,MIN($B222,J222+K222-L222))</f>
        <v>0</v>
      </c>
      <c r="N222" s="29" t="n">
        <f aca="false">$B222-M222</f>
        <v>690</v>
      </c>
      <c r="O222" s="34" t="n">
        <f aca="false">J222+K222-L222-M222</f>
        <v>0</v>
      </c>
      <c r="P222" s="34" t="n">
        <f aca="false">S221</f>
        <v>0</v>
      </c>
      <c r="Q222" s="34" t="n">
        <f aca="false">P222*$J$5/12</f>
        <v>0</v>
      </c>
      <c r="R222" s="29" t="n">
        <f aca="false">MIN($J$6,P222+Q222)</f>
        <v>0</v>
      </c>
      <c r="S222" s="34" t="n">
        <f aca="false">P222+Q222-R222</f>
        <v>0</v>
      </c>
      <c r="T222" s="34" t="n">
        <f aca="false">Y221</f>
        <v>0</v>
      </c>
      <c r="U222" s="34" t="n">
        <f aca="false">T222*$T$5/12</f>
        <v>0</v>
      </c>
      <c r="V222" s="29" t="n">
        <f aca="false">MIN($T$6,T222+U222)</f>
        <v>0</v>
      </c>
      <c r="W222" s="30" t="n">
        <f aca="false">MAX(0,MIN(N222,T222+U222-V222))</f>
        <v>0</v>
      </c>
      <c r="X222" s="29" t="n">
        <f aca="false">N222-W222</f>
        <v>690</v>
      </c>
      <c r="Y222" s="34" t="n">
        <f aca="false">T222+U222-V222-W222</f>
        <v>0</v>
      </c>
      <c r="Z222" s="34" t="n">
        <f aca="false">AC221</f>
        <v>0</v>
      </c>
      <c r="AA222" s="34" t="n">
        <f aca="false">Z222*$T$5/12</f>
        <v>0</v>
      </c>
      <c r="AB222" s="29" t="n">
        <f aca="false">MIN($T$6,Z222+AA222)</f>
        <v>0</v>
      </c>
      <c r="AC222" s="34" t="n">
        <f aca="false">Z222+AA222-AB222</f>
        <v>0</v>
      </c>
      <c r="AD222" s="34" t="n">
        <f aca="false">AI221</f>
        <v>0</v>
      </c>
      <c r="AE222" s="34" t="n">
        <f aca="false">AD222*$AD$5/12</f>
        <v>0</v>
      </c>
      <c r="AF222" s="29" t="n">
        <f aca="false">MIN($AD$6,AD222+AE222)</f>
        <v>0</v>
      </c>
      <c r="AG222" s="30" t="n">
        <f aca="false">MAX(0,MIN(X222,AD222+AE222-AF222))</f>
        <v>0</v>
      </c>
      <c r="AH222" s="29" t="n">
        <f aca="false">X222-AG222</f>
        <v>690</v>
      </c>
      <c r="AI222" s="34" t="n">
        <f aca="false">AD222+AE222-AF222-AG222</f>
        <v>0</v>
      </c>
      <c r="AJ222" s="34" t="n">
        <f aca="false">AM221</f>
        <v>0</v>
      </c>
      <c r="AK222" s="34" t="n">
        <f aca="false">AJ222*$AD$5/12</f>
        <v>0</v>
      </c>
      <c r="AL222" s="29" t="n">
        <f aca="false">MIN($AD$6,AJ222+AK222)</f>
        <v>0</v>
      </c>
      <c r="AM222" s="34" t="n">
        <f aca="false">AJ222+AK222-AL222</f>
        <v>0</v>
      </c>
      <c r="AN222" s="34" t="n">
        <f aca="false">AS221</f>
        <v>0</v>
      </c>
      <c r="AO222" s="34" t="n">
        <f aca="false">AN222*$AN$5/12</f>
        <v>0</v>
      </c>
      <c r="AP222" s="29" t="n">
        <f aca="false">MIN($AN$6,AN222+AO222)</f>
        <v>0</v>
      </c>
      <c r="AQ222" s="30" t="n">
        <f aca="false">MAX(0,MIN(AH222,AN222+AO222-AP222))</f>
        <v>0</v>
      </c>
      <c r="AR222" s="29" t="n">
        <f aca="false">AH222-AQ222</f>
        <v>690</v>
      </c>
      <c r="AS222" s="34" t="n">
        <f aca="false">AN222+AO222-AP222-AQ222</f>
        <v>0</v>
      </c>
      <c r="AT222" s="34" t="n">
        <f aca="false">AW221</f>
        <v>0</v>
      </c>
      <c r="AU222" s="34" t="n">
        <f aca="false">AT222*$AN$5/12</f>
        <v>0</v>
      </c>
      <c r="AV222" s="29" t="n">
        <f aca="false">MIN($AN$6,AT222+AU222)</f>
        <v>0</v>
      </c>
      <c r="AW222" s="34" t="n">
        <f aca="false">AT222+AU222-AV222</f>
        <v>0</v>
      </c>
      <c r="AX222" s="30" t="n">
        <f aca="false">BC221</f>
        <v>0</v>
      </c>
      <c r="AY222" s="30" t="n">
        <f aca="false">AX222*$AX$5/12</f>
        <v>0</v>
      </c>
      <c r="AZ222" s="30" t="n">
        <f aca="false">MIN($AX$6,AX222+AY222)</f>
        <v>0</v>
      </c>
      <c r="BA222" s="30" t="n">
        <f aca="false">MAX(0,MIN(AR222,AX222+AY222-AZ222))</f>
        <v>0</v>
      </c>
      <c r="BB222" s="29" t="n">
        <f aca="false">AR222-BA222</f>
        <v>690</v>
      </c>
      <c r="BC222" s="30" t="n">
        <f aca="false">AX222+AY222-AZ222-BA222</f>
        <v>0</v>
      </c>
      <c r="BD222" s="30" t="n">
        <f aca="false">BG221</f>
        <v>0</v>
      </c>
      <c r="BE222" s="30" t="n">
        <f aca="false">BD222*$AX$5/12</f>
        <v>0</v>
      </c>
      <c r="BF222" s="30" t="n">
        <f aca="false">MIN($AX$6,BD222+BE222)</f>
        <v>0</v>
      </c>
      <c r="BG222" s="30" t="n">
        <f aca="false">BD222+BE222-BF222</f>
        <v>0</v>
      </c>
      <c r="BH222" s="30" t="n">
        <f aca="false">BM221</f>
        <v>0</v>
      </c>
      <c r="BI222" s="30" t="n">
        <f aca="false">BH222*$BH$5/12</f>
        <v>0</v>
      </c>
      <c r="BJ222" s="30" t="n">
        <f aca="false">MIN($BH$6,BH222+BI222)</f>
        <v>0</v>
      </c>
      <c r="BK222" s="30" t="n">
        <f aca="false">MAX(0,MIN(BB222,BH222+BI222-BJ222))</f>
        <v>0</v>
      </c>
      <c r="BL222" s="29" t="n">
        <f aca="false">BB222-BK222</f>
        <v>690</v>
      </c>
      <c r="BM222" s="30" t="n">
        <f aca="false">BH222+BI222-BJ222-BK222</f>
        <v>0</v>
      </c>
      <c r="BN222" s="30" t="n">
        <f aca="false">BQ221</f>
        <v>0</v>
      </c>
      <c r="BO222" s="30" t="n">
        <f aca="false">BN222*$BH$5/12</f>
        <v>0</v>
      </c>
      <c r="BP222" s="30" t="n">
        <f aca="false">MIN($BH$6,BN222+BO222)</f>
        <v>0</v>
      </c>
      <c r="BQ222" s="30" t="n">
        <f aca="false">BN222+BO222-BP222</f>
        <v>0</v>
      </c>
      <c r="BR222" s="30" t="n">
        <f aca="false">BW221</f>
        <v>0</v>
      </c>
      <c r="BS222" s="30" t="n">
        <f aca="false">BR222*$BR$5/12</f>
        <v>0</v>
      </c>
      <c r="BT222" s="30" t="n">
        <f aca="false">MIN($BR$6,BR222+BS222)</f>
        <v>0</v>
      </c>
      <c r="BU222" s="30" t="n">
        <f aca="false">MAX(0,MIN(BL222,BR222+BS222-BT222))</f>
        <v>0</v>
      </c>
      <c r="BV222" s="29" t="n">
        <f aca="false">BL222-BU222</f>
        <v>690</v>
      </c>
      <c r="BW222" s="30" t="n">
        <f aca="false">BR222+BS222-BT222-BU222</f>
        <v>0</v>
      </c>
      <c r="BX222" s="30" t="n">
        <f aca="false">CA221</f>
        <v>0</v>
      </c>
      <c r="BY222" s="30" t="n">
        <f aca="false">BX222*$BR$5/12</f>
        <v>0</v>
      </c>
      <c r="BZ222" s="30" t="n">
        <f aca="false">MIN($BR$6,BX222+BY222)</f>
        <v>0</v>
      </c>
      <c r="CA222" s="30" t="n">
        <f aca="false">BX222+BY222-BZ222</f>
        <v>0</v>
      </c>
      <c r="CB222" s="30" t="n">
        <f aca="false">CG221</f>
        <v>0</v>
      </c>
      <c r="CC222" s="30" t="n">
        <f aca="false">CB222*$CB$5/12</f>
        <v>0</v>
      </c>
      <c r="CD222" s="30" t="n">
        <f aca="false">MIN($CB$6,CB222+CC222)</f>
        <v>0</v>
      </c>
      <c r="CE222" s="30" t="n">
        <f aca="false">MAX(0,MIN(BV222,CB222+CC222-CD222))</f>
        <v>0</v>
      </c>
      <c r="CF222" s="29" t="n">
        <f aca="false">BV222-CE222</f>
        <v>690</v>
      </c>
      <c r="CG222" s="30" t="n">
        <f aca="false">CB222+CC222-CD222-CE222</f>
        <v>0</v>
      </c>
      <c r="CH222" s="30" t="n">
        <f aca="false">CK221</f>
        <v>0</v>
      </c>
      <c r="CI222" s="30" t="n">
        <f aca="false">CH222*$CB$5/12</f>
        <v>0</v>
      </c>
      <c r="CJ222" s="30" t="n">
        <f aca="false">MIN($CB$6,CH222+CI222)</f>
        <v>0</v>
      </c>
      <c r="CK222" s="30" t="n">
        <f aca="false">CH222+CI222-CJ222</f>
        <v>0</v>
      </c>
    </row>
    <row r="223" customFormat="false" ht="15" hidden="false" customHeight="false" outlineLevel="0" collapsed="false">
      <c r="A223" s="0" t="n">
        <v>215</v>
      </c>
      <c r="B223" s="29" t="n">
        <f aca="false">'1 Your debts'!$B$16-(L223+V223+AF223+AP223+AZ223+BJ223+BT223+CD223)</f>
        <v>690</v>
      </c>
      <c r="C223" s="34" t="n">
        <f aca="false">O223+Y223+AI223+AS223+BC223+BM223+BW223+CG223</f>
        <v>0</v>
      </c>
      <c r="D223" s="34" t="n">
        <f aca="false">K223+U223+AE223+AO223+AY223+BI223+BS223+CC223</f>
        <v>0</v>
      </c>
      <c r="F223" s="34" t="n">
        <f aca="false">S223+AC223+AM223+AW223+BG223+BQ223+CA223+CK223</f>
        <v>0</v>
      </c>
      <c r="G223" s="34" t="n">
        <f aca="false">Q223+AA223+AK223+AU223+BE223+BO223+BY223+CI223</f>
        <v>0</v>
      </c>
      <c r="J223" s="34" t="n">
        <f aca="false">O222</f>
        <v>0</v>
      </c>
      <c r="K223" s="34" t="n">
        <f aca="false">J223*$J$5/12</f>
        <v>0</v>
      </c>
      <c r="L223" s="29" t="n">
        <f aca="false">MIN($J$6,J223+K223)</f>
        <v>0</v>
      </c>
      <c r="M223" s="30" t="n">
        <f aca="false">MAX(0,MIN($B223,J223+K223-L223))</f>
        <v>0</v>
      </c>
      <c r="N223" s="29" t="n">
        <f aca="false">$B223-M223</f>
        <v>690</v>
      </c>
      <c r="O223" s="34" t="n">
        <f aca="false">J223+K223-L223-M223</f>
        <v>0</v>
      </c>
      <c r="P223" s="34" t="n">
        <f aca="false">S222</f>
        <v>0</v>
      </c>
      <c r="Q223" s="34" t="n">
        <f aca="false">P223*$J$5/12</f>
        <v>0</v>
      </c>
      <c r="R223" s="29" t="n">
        <f aca="false">MIN($J$6,P223+Q223)</f>
        <v>0</v>
      </c>
      <c r="S223" s="34" t="n">
        <f aca="false">P223+Q223-R223</f>
        <v>0</v>
      </c>
      <c r="T223" s="34" t="n">
        <f aca="false">Y222</f>
        <v>0</v>
      </c>
      <c r="U223" s="34" t="n">
        <f aca="false">T223*$T$5/12</f>
        <v>0</v>
      </c>
      <c r="V223" s="29" t="n">
        <f aca="false">MIN($T$6,T223+U223)</f>
        <v>0</v>
      </c>
      <c r="W223" s="30" t="n">
        <f aca="false">MAX(0,MIN(N223,T223+U223-V223))</f>
        <v>0</v>
      </c>
      <c r="X223" s="29" t="n">
        <f aca="false">N223-W223</f>
        <v>690</v>
      </c>
      <c r="Y223" s="34" t="n">
        <f aca="false">T223+U223-V223-W223</f>
        <v>0</v>
      </c>
      <c r="Z223" s="34" t="n">
        <f aca="false">AC222</f>
        <v>0</v>
      </c>
      <c r="AA223" s="34" t="n">
        <f aca="false">Z223*$T$5/12</f>
        <v>0</v>
      </c>
      <c r="AB223" s="29" t="n">
        <f aca="false">MIN($T$6,Z223+AA223)</f>
        <v>0</v>
      </c>
      <c r="AC223" s="34" t="n">
        <f aca="false">Z223+AA223-AB223</f>
        <v>0</v>
      </c>
      <c r="AD223" s="34" t="n">
        <f aca="false">AI222</f>
        <v>0</v>
      </c>
      <c r="AE223" s="34" t="n">
        <f aca="false">AD223*$AD$5/12</f>
        <v>0</v>
      </c>
      <c r="AF223" s="29" t="n">
        <f aca="false">MIN($AD$6,AD223+AE223)</f>
        <v>0</v>
      </c>
      <c r="AG223" s="30" t="n">
        <f aca="false">MAX(0,MIN(X223,AD223+AE223-AF223))</f>
        <v>0</v>
      </c>
      <c r="AH223" s="29" t="n">
        <f aca="false">X223-AG223</f>
        <v>690</v>
      </c>
      <c r="AI223" s="34" t="n">
        <f aca="false">AD223+AE223-AF223-AG223</f>
        <v>0</v>
      </c>
      <c r="AJ223" s="34" t="n">
        <f aca="false">AM222</f>
        <v>0</v>
      </c>
      <c r="AK223" s="34" t="n">
        <f aca="false">AJ223*$AD$5/12</f>
        <v>0</v>
      </c>
      <c r="AL223" s="29" t="n">
        <f aca="false">MIN($AD$6,AJ223+AK223)</f>
        <v>0</v>
      </c>
      <c r="AM223" s="34" t="n">
        <f aca="false">AJ223+AK223-AL223</f>
        <v>0</v>
      </c>
      <c r="AN223" s="34" t="n">
        <f aca="false">AS222</f>
        <v>0</v>
      </c>
      <c r="AO223" s="34" t="n">
        <f aca="false">AN223*$AN$5/12</f>
        <v>0</v>
      </c>
      <c r="AP223" s="29" t="n">
        <f aca="false">MIN($AN$6,AN223+AO223)</f>
        <v>0</v>
      </c>
      <c r="AQ223" s="30" t="n">
        <f aca="false">MAX(0,MIN(AH223,AN223+AO223-AP223))</f>
        <v>0</v>
      </c>
      <c r="AR223" s="29" t="n">
        <f aca="false">AH223-AQ223</f>
        <v>690</v>
      </c>
      <c r="AS223" s="34" t="n">
        <f aca="false">AN223+AO223-AP223-AQ223</f>
        <v>0</v>
      </c>
      <c r="AT223" s="34" t="n">
        <f aca="false">AW222</f>
        <v>0</v>
      </c>
      <c r="AU223" s="34" t="n">
        <f aca="false">AT223*$AN$5/12</f>
        <v>0</v>
      </c>
      <c r="AV223" s="29" t="n">
        <f aca="false">MIN($AN$6,AT223+AU223)</f>
        <v>0</v>
      </c>
      <c r="AW223" s="34" t="n">
        <f aca="false">AT223+AU223-AV223</f>
        <v>0</v>
      </c>
      <c r="AX223" s="30" t="n">
        <f aca="false">BC222</f>
        <v>0</v>
      </c>
      <c r="AY223" s="30" t="n">
        <f aca="false">AX223*$AX$5/12</f>
        <v>0</v>
      </c>
      <c r="AZ223" s="30" t="n">
        <f aca="false">MIN($AX$6,AX223+AY223)</f>
        <v>0</v>
      </c>
      <c r="BA223" s="30" t="n">
        <f aca="false">MAX(0,MIN(AR223,AX223+AY223-AZ223))</f>
        <v>0</v>
      </c>
      <c r="BB223" s="29" t="n">
        <f aca="false">AR223-BA223</f>
        <v>690</v>
      </c>
      <c r="BC223" s="30" t="n">
        <f aca="false">AX223+AY223-AZ223-BA223</f>
        <v>0</v>
      </c>
      <c r="BD223" s="30" t="n">
        <f aca="false">BG222</f>
        <v>0</v>
      </c>
      <c r="BE223" s="30" t="n">
        <f aca="false">BD223*$AX$5/12</f>
        <v>0</v>
      </c>
      <c r="BF223" s="30" t="n">
        <f aca="false">MIN($AX$6,BD223+BE223)</f>
        <v>0</v>
      </c>
      <c r="BG223" s="30" t="n">
        <f aca="false">BD223+BE223-BF223</f>
        <v>0</v>
      </c>
      <c r="BH223" s="30" t="n">
        <f aca="false">BM222</f>
        <v>0</v>
      </c>
      <c r="BI223" s="30" t="n">
        <f aca="false">BH223*$BH$5/12</f>
        <v>0</v>
      </c>
      <c r="BJ223" s="30" t="n">
        <f aca="false">MIN($BH$6,BH223+BI223)</f>
        <v>0</v>
      </c>
      <c r="BK223" s="30" t="n">
        <f aca="false">MAX(0,MIN(BB223,BH223+BI223-BJ223))</f>
        <v>0</v>
      </c>
      <c r="BL223" s="29" t="n">
        <f aca="false">BB223-BK223</f>
        <v>690</v>
      </c>
      <c r="BM223" s="30" t="n">
        <f aca="false">BH223+BI223-BJ223-BK223</f>
        <v>0</v>
      </c>
      <c r="BN223" s="30" t="n">
        <f aca="false">BQ222</f>
        <v>0</v>
      </c>
      <c r="BO223" s="30" t="n">
        <f aca="false">BN223*$BH$5/12</f>
        <v>0</v>
      </c>
      <c r="BP223" s="30" t="n">
        <f aca="false">MIN($BH$6,BN223+BO223)</f>
        <v>0</v>
      </c>
      <c r="BQ223" s="30" t="n">
        <f aca="false">BN223+BO223-BP223</f>
        <v>0</v>
      </c>
      <c r="BR223" s="30" t="n">
        <f aca="false">BW222</f>
        <v>0</v>
      </c>
      <c r="BS223" s="30" t="n">
        <f aca="false">BR223*$BR$5/12</f>
        <v>0</v>
      </c>
      <c r="BT223" s="30" t="n">
        <f aca="false">MIN($BR$6,BR223+BS223)</f>
        <v>0</v>
      </c>
      <c r="BU223" s="30" t="n">
        <f aca="false">MAX(0,MIN(BL223,BR223+BS223-BT223))</f>
        <v>0</v>
      </c>
      <c r="BV223" s="29" t="n">
        <f aca="false">BL223-BU223</f>
        <v>690</v>
      </c>
      <c r="BW223" s="30" t="n">
        <f aca="false">BR223+BS223-BT223-BU223</f>
        <v>0</v>
      </c>
      <c r="BX223" s="30" t="n">
        <f aca="false">CA222</f>
        <v>0</v>
      </c>
      <c r="BY223" s="30" t="n">
        <f aca="false">BX223*$BR$5/12</f>
        <v>0</v>
      </c>
      <c r="BZ223" s="30" t="n">
        <f aca="false">MIN($BR$6,BX223+BY223)</f>
        <v>0</v>
      </c>
      <c r="CA223" s="30" t="n">
        <f aca="false">BX223+BY223-BZ223</f>
        <v>0</v>
      </c>
      <c r="CB223" s="30" t="n">
        <f aca="false">CG222</f>
        <v>0</v>
      </c>
      <c r="CC223" s="30" t="n">
        <f aca="false">CB223*$CB$5/12</f>
        <v>0</v>
      </c>
      <c r="CD223" s="30" t="n">
        <f aca="false">MIN($CB$6,CB223+CC223)</f>
        <v>0</v>
      </c>
      <c r="CE223" s="30" t="n">
        <f aca="false">MAX(0,MIN(BV223,CB223+CC223-CD223))</f>
        <v>0</v>
      </c>
      <c r="CF223" s="29" t="n">
        <f aca="false">BV223-CE223</f>
        <v>690</v>
      </c>
      <c r="CG223" s="30" t="n">
        <f aca="false">CB223+CC223-CD223-CE223</f>
        <v>0</v>
      </c>
      <c r="CH223" s="30" t="n">
        <f aca="false">CK222</f>
        <v>0</v>
      </c>
      <c r="CI223" s="30" t="n">
        <f aca="false">CH223*$CB$5/12</f>
        <v>0</v>
      </c>
      <c r="CJ223" s="30" t="n">
        <f aca="false">MIN($CB$6,CH223+CI223)</f>
        <v>0</v>
      </c>
      <c r="CK223" s="30" t="n">
        <f aca="false">CH223+CI223-CJ223</f>
        <v>0</v>
      </c>
    </row>
    <row r="224" customFormat="false" ht="15" hidden="false" customHeight="false" outlineLevel="0" collapsed="false">
      <c r="A224" s="0" t="n">
        <v>216</v>
      </c>
      <c r="B224" s="29" t="n">
        <f aca="false">'1 Your debts'!$B$16-(L224+V224+AF224+AP224+AZ224+BJ224+BT224+CD224)</f>
        <v>690</v>
      </c>
      <c r="C224" s="34" t="n">
        <f aca="false">O224+Y224+AI224+AS224+BC224+BM224+BW224+CG224</f>
        <v>0</v>
      </c>
      <c r="D224" s="34" t="n">
        <f aca="false">K224+U224+AE224+AO224+AY224+BI224+BS224+CC224</f>
        <v>0</v>
      </c>
      <c r="F224" s="34" t="n">
        <f aca="false">S224+AC224+AM224+AW224+BG224+BQ224+CA224+CK224</f>
        <v>0</v>
      </c>
      <c r="G224" s="34" t="n">
        <f aca="false">Q224+AA224+AK224+AU224+BE224+BO224+BY224+CI224</f>
        <v>0</v>
      </c>
      <c r="J224" s="34" t="n">
        <f aca="false">O223</f>
        <v>0</v>
      </c>
      <c r="K224" s="34" t="n">
        <f aca="false">J224*$J$5/12</f>
        <v>0</v>
      </c>
      <c r="L224" s="29" t="n">
        <f aca="false">MIN($J$6,J224+K224)</f>
        <v>0</v>
      </c>
      <c r="M224" s="30" t="n">
        <f aca="false">MAX(0,MIN($B224,J224+K224-L224))</f>
        <v>0</v>
      </c>
      <c r="N224" s="29" t="n">
        <f aca="false">$B224-M224</f>
        <v>690</v>
      </c>
      <c r="O224" s="34" t="n">
        <f aca="false">J224+K224-L224-M224</f>
        <v>0</v>
      </c>
      <c r="P224" s="34" t="n">
        <f aca="false">S223</f>
        <v>0</v>
      </c>
      <c r="Q224" s="34" t="n">
        <f aca="false">P224*$J$5/12</f>
        <v>0</v>
      </c>
      <c r="R224" s="29" t="n">
        <f aca="false">MIN($J$6,P224+Q224)</f>
        <v>0</v>
      </c>
      <c r="S224" s="34" t="n">
        <f aca="false">P224+Q224-R224</f>
        <v>0</v>
      </c>
      <c r="T224" s="34" t="n">
        <f aca="false">Y223</f>
        <v>0</v>
      </c>
      <c r="U224" s="34" t="n">
        <f aca="false">T224*$T$5/12</f>
        <v>0</v>
      </c>
      <c r="V224" s="29" t="n">
        <f aca="false">MIN($T$6,T224+U224)</f>
        <v>0</v>
      </c>
      <c r="W224" s="30" t="n">
        <f aca="false">MAX(0,MIN(N224,T224+U224-V224))</f>
        <v>0</v>
      </c>
      <c r="X224" s="29" t="n">
        <f aca="false">N224-W224</f>
        <v>690</v>
      </c>
      <c r="Y224" s="34" t="n">
        <f aca="false">T224+U224-V224-W224</f>
        <v>0</v>
      </c>
      <c r="Z224" s="34" t="n">
        <f aca="false">AC223</f>
        <v>0</v>
      </c>
      <c r="AA224" s="34" t="n">
        <f aca="false">Z224*$T$5/12</f>
        <v>0</v>
      </c>
      <c r="AB224" s="29" t="n">
        <f aca="false">MIN($T$6,Z224+AA224)</f>
        <v>0</v>
      </c>
      <c r="AC224" s="34" t="n">
        <f aca="false">Z224+AA224-AB224</f>
        <v>0</v>
      </c>
      <c r="AD224" s="34" t="n">
        <f aca="false">AI223</f>
        <v>0</v>
      </c>
      <c r="AE224" s="34" t="n">
        <f aca="false">AD224*$AD$5/12</f>
        <v>0</v>
      </c>
      <c r="AF224" s="29" t="n">
        <f aca="false">MIN($AD$6,AD224+AE224)</f>
        <v>0</v>
      </c>
      <c r="AG224" s="30" t="n">
        <f aca="false">MAX(0,MIN(X224,AD224+AE224-AF224))</f>
        <v>0</v>
      </c>
      <c r="AH224" s="29" t="n">
        <f aca="false">X224-AG224</f>
        <v>690</v>
      </c>
      <c r="AI224" s="34" t="n">
        <f aca="false">AD224+AE224-AF224-AG224</f>
        <v>0</v>
      </c>
      <c r="AJ224" s="34" t="n">
        <f aca="false">AM223</f>
        <v>0</v>
      </c>
      <c r="AK224" s="34" t="n">
        <f aca="false">AJ224*$AD$5/12</f>
        <v>0</v>
      </c>
      <c r="AL224" s="29" t="n">
        <f aca="false">MIN($AD$6,AJ224+AK224)</f>
        <v>0</v>
      </c>
      <c r="AM224" s="34" t="n">
        <f aca="false">AJ224+AK224-AL224</f>
        <v>0</v>
      </c>
      <c r="AN224" s="34" t="n">
        <f aca="false">AS223</f>
        <v>0</v>
      </c>
      <c r="AO224" s="34" t="n">
        <f aca="false">AN224*$AN$5/12</f>
        <v>0</v>
      </c>
      <c r="AP224" s="29" t="n">
        <f aca="false">MIN($AN$6,AN224+AO224)</f>
        <v>0</v>
      </c>
      <c r="AQ224" s="30" t="n">
        <f aca="false">MAX(0,MIN(AH224,AN224+AO224-AP224))</f>
        <v>0</v>
      </c>
      <c r="AR224" s="29" t="n">
        <f aca="false">AH224-AQ224</f>
        <v>690</v>
      </c>
      <c r="AS224" s="34" t="n">
        <f aca="false">AN224+AO224-AP224-AQ224</f>
        <v>0</v>
      </c>
      <c r="AT224" s="34" t="n">
        <f aca="false">AW223</f>
        <v>0</v>
      </c>
      <c r="AU224" s="34" t="n">
        <f aca="false">AT224*$AN$5/12</f>
        <v>0</v>
      </c>
      <c r="AV224" s="29" t="n">
        <f aca="false">MIN($AN$6,AT224+AU224)</f>
        <v>0</v>
      </c>
      <c r="AW224" s="34" t="n">
        <f aca="false">AT224+AU224-AV224</f>
        <v>0</v>
      </c>
      <c r="AX224" s="30" t="n">
        <f aca="false">BC223</f>
        <v>0</v>
      </c>
      <c r="AY224" s="30" t="n">
        <f aca="false">AX224*$AX$5/12</f>
        <v>0</v>
      </c>
      <c r="AZ224" s="30" t="n">
        <f aca="false">MIN($AX$6,AX224+AY224)</f>
        <v>0</v>
      </c>
      <c r="BA224" s="30" t="n">
        <f aca="false">MAX(0,MIN(AR224,AX224+AY224-AZ224))</f>
        <v>0</v>
      </c>
      <c r="BB224" s="29" t="n">
        <f aca="false">AR224-BA224</f>
        <v>690</v>
      </c>
      <c r="BC224" s="30" t="n">
        <f aca="false">AX224+AY224-AZ224-BA224</f>
        <v>0</v>
      </c>
      <c r="BD224" s="30" t="n">
        <f aca="false">BG223</f>
        <v>0</v>
      </c>
      <c r="BE224" s="30" t="n">
        <f aca="false">BD224*$AX$5/12</f>
        <v>0</v>
      </c>
      <c r="BF224" s="30" t="n">
        <f aca="false">MIN($AX$6,BD224+BE224)</f>
        <v>0</v>
      </c>
      <c r="BG224" s="30" t="n">
        <f aca="false">BD224+BE224-BF224</f>
        <v>0</v>
      </c>
      <c r="BH224" s="30" t="n">
        <f aca="false">BM223</f>
        <v>0</v>
      </c>
      <c r="BI224" s="30" t="n">
        <f aca="false">BH224*$BH$5/12</f>
        <v>0</v>
      </c>
      <c r="BJ224" s="30" t="n">
        <f aca="false">MIN($BH$6,BH224+BI224)</f>
        <v>0</v>
      </c>
      <c r="BK224" s="30" t="n">
        <f aca="false">MAX(0,MIN(BB224,BH224+BI224-BJ224))</f>
        <v>0</v>
      </c>
      <c r="BL224" s="29" t="n">
        <f aca="false">BB224-BK224</f>
        <v>690</v>
      </c>
      <c r="BM224" s="30" t="n">
        <f aca="false">BH224+BI224-BJ224-BK224</f>
        <v>0</v>
      </c>
      <c r="BN224" s="30" t="n">
        <f aca="false">BQ223</f>
        <v>0</v>
      </c>
      <c r="BO224" s="30" t="n">
        <f aca="false">BN224*$BH$5/12</f>
        <v>0</v>
      </c>
      <c r="BP224" s="30" t="n">
        <f aca="false">MIN($BH$6,BN224+BO224)</f>
        <v>0</v>
      </c>
      <c r="BQ224" s="30" t="n">
        <f aca="false">BN224+BO224-BP224</f>
        <v>0</v>
      </c>
      <c r="BR224" s="30" t="n">
        <f aca="false">BW223</f>
        <v>0</v>
      </c>
      <c r="BS224" s="30" t="n">
        <f aca="false">BR224*$BR$5/12</f>
        <v>0</v>
      </c>
      <c r="BT224" s="30" t="n">
        <f aca="false">MIN($BR$6,BR224+BS224)</f>
        <v>0</v>
      </c>
      <c r="BU224" s="30" t="n">
        <f aca="false">MAX(0,MIN(BL224,BR224+BS224-BT224))</f>
        <v>0</v>
      </c>
      <c r="BV224" s="29" t="n">
        <f aca="false">BL224-BU224</f>
        <v>690</v>
      </c>
      <c r="BW224" s="30" t="n">
        <f aca="false">BR224+BS224-BT224-BU224</f>
        <v>0</v>
      </c>
      <c r="BX224" s="30" t="n">
        <f aca="false">CA223</f>
        <v>0</v>
      </c>
      <c r="BY224" s="30" t="n">
        <f aca="false">BX224*$BR$5/12</f>
        <v>0</v>
      </c>
      <c r="BZ224" s="30" t="n">
        <f aca="false">MIN($BR$6,BX224+BY224)</f>
        <v>0</v>
      </c>
      <c r="CA224" s="30" t="n">
        <f aca="false">BX224+BY224-BZ224</f>
        <v>0</v>
      </c>
      <c r="CB224" s="30" t="n">
        <f aca="false">CG223</f>
        <v>0</v>
      </c>
      <c r="CC224" s="30" t="n">
        <f aca="false">CB224*$CB$5/12</f>
        <v>0</v>
      </c>
      <c r="CD224" s="30" t="n">
        <f aca="false">MIN($CB$6,CB224+CC224)</f>
        <v>0</v>
      </c>
      <c r="CE224" s="30" t="n">
        <f aca="false">MAX(0,MIN(BV224,CB224+CC224-CD224))</f>
        <v>0</v>
      </c>
      <c r="CF224" s="29" t="n">
        <f aca="false">BV224-CE224</f>
        <v>690</v>
      </c>
      <c r="CG224" s="30" t="n">
        <f aca="false">CB224+CC224-CD224-CE224</f>
        <v>0</v>
      </c>
      <c r="CH224" s="30" t="n">
        <f aca="false">CK223</f>
        <v>0</v>
      </c>
      <c r="CI224" s="30" t="n">
        <f aca="false">CH224*$CB$5/12</f>
        <v>0</v>
      </c>
      <c r="CJ224" s="30" t="n">
        <f aca="false">MIN($CB$6,CH224+CI224)</f>
        <v>0</v>
      </c>
      <c r="CK224" s="30" t="n">
        <f aca="false">CH224+CI224-CJ224</f>
        <v>0</v>
      </c>
    </row>
    <row r="225" customFormat="false" ht="15" hidden="false" customHeight="false" outlineLevel="0" collapsed="false">
      <c r="A225" s="0" t="n">
        <v>217</v>
      </c>
      <c r="B225" s="29" t="n">
        <f aca="false">'1 Your debts'!$B$16-(L225+V225+AF225+AP225+AZ225+BJ225+BT225+CD225)</f>
        <v>690</v>
      </c>
      <c r="C225" s="34" t="n">
        <f aca="false">O225+Y225+AI225+AS225+BC225+BM225+BW225+CG225</f>
        <v>0</v>
      </c>
      <c r="D225" s="34" t="n">
        <f aca="false">K225+U225+AE225+AO225+AY225+BI225+BS225+CC225</f>
        <v>0</v>
      </c>
      <c r="F225" s="34" t="n">
        <f aca="false">S225+AC225+AM225+AW225+BG225+BQ225+CA225+CK225</f>
        <v>0</v>
      </c>
      <c r="G225" s="34" t="n">
        <f aca="false">Q225+AA225+AK225+AU225+BE225+BO225+BY225+CI225</f>
        <v>0</v>
      </c>
      <c r="J225" s="34" t="n">
        <f aca="false">O224</f>
        <v>0</v>
      </c>
      <c r="K225" s="34" t="n">
        <f aca="false">J225*$J$5/12</f>
        <v>0</v>
      </c>
      <c r="L225" s="29" t="n">
        <f aca="false">MIN($J$6,J225+K225)</f>
        <v>0</v>
      </c>
      <c r="M225" s="30" t="n">
        <f aca="false">MAX(0,MIN($B225,J225+K225-L225))</f>
        <v>0</v>
      </c>
      <c r="N225" s="29" t="n">
        <f aca="false">$B225-M225</f>
        <v>690</v>
      </c>
      <c r="O225" s="34" t="n">
        <f aca="false">J225+K225-L225-M225</f>
        <v>0</v>
      </c>
      <c r="P225" s="34" t="n">
        <f aca="false">S224</f>
        <v>0</v>
      </c>
      <c r="Q225" s="34" t="n">
        <f aca="false">P225*$J$5/12</f>
        <v>0</v>
      </c>
      <c r="R225" s="29" t="n">
        <f aca="false">MIN($J$6,P225+Q225)</f>
        <v>0</v>
      </c>
      <c r="S225" s="34" t="n">
        <f aca="false">P225+Q225-R225</f>
        <v>0</v>
      </c>
      <c r="T225" s="34" t="n">
        <f aca="false">Y224</f>
        <v>0</v>
      </c>
      <c r="U225" s="34" t="n">
        <f aca="false">T225*$T$5/12</f>
        <v>0</v>
      </c>
      <c r="V225" s="29" t="n">
        <f aca="false">MIN($T$6,T225+U225)</f>
        <v>0</v>
      </c>
      <c r="W225" s="30" t="n">
        <f aca="false">MAX(0,MIN(N225,T225+U225-V225))</f>
        <v>0</v>
      </c>
      <c r="X225" s="29" t="n">
        <f aca="false">N225-W225</f>
        <v>690</v>
      </c>
      <c r="Y225" s="34" t="n">
        <f aca="false">T225+U225-V225-W225</f>
        <v>0</v>
      </c>
      <c r="Z225" s="34" t="n">
        <f aca="false">AC224</f>
        <v>0</v>
      </c>
      <c r="AA225" s="34" t="n">
        <f aca="false">Z225*$T$5/12</f>
        <v>0</v>
      </c>
      <c r="AB225" s="29" t="n">
        <f aca="false">MIN($T$6,Z225+AA225)</f>
        <v>0</v>
      </c>
      <c r="AC225" s="34" t="n">
        <f aca="false">Z225+AA225-AB225</f>
        <v>0</v>
      </c>
      <c r="AD225" s="34" t="n">
        <f aca="false">AI224</f>
        <v>0</v>
      </c>
      <c r="AE225" s="34" t="n">
        <f aca="false">AD225*$AD$5/12</f>
        <v>0</v>
      </c>
      <c r="AF225" s="29" t="n">
        <f aca="false">MIN($AD$6,AD225+AE225)</f>
        <v>0</v>
      </c>
      <c r="AG225" s="30" t="n">
        <f aca="false">MAX(0,MIN(X225,AD225+AE225-AF225))</f>
        <v>0</v>
      </c>
      <c r="AH225" s="29" t="n">
        <f aca="false">X225-AG225</f>
        <v>690</v>
      </c>
      <c r="AI225" s="34" t="n">
        <f aca="false">AD225+AE225-AF225-AG225</f>
        <v>0</v>
      </c>
      <c r="AJ225" s="34" t="n">
        <f aca="false">AM224</f>
        <v>0</v>
      </c>
      <c r="AK225" s="34" t="n">
        <f aca="false">AJ225*$AD$5/12</f>
        <v>0</v>
      </c>
      <c r="AL225" s="29" t="n">
        <f aca="false">MIN($AD$6,AJ225+AK225)</f>
        <v>0</v>
      </c>
      <c r="AM225" s="34" t="n">
        <f aca="false">AJ225+AK225-AL225</f>
        <v>0</v>
      </c>
      <c r="AN225" s="34" t="n">
        <f aca="false">AS224</f>
        <v>0</v>
      </c>
      <c r="AO225" s="34" t="n">
        <f aca="false">AN225*$AN$5/12</f>
        <v>0</v>
      </c>
      <c r="AP225" s="29" t="n">
        <f aca="false">MIN($AN$6,AN225+AO225)</f>
        <v>0</v>
      </c>
      <c r="AQ225" s="30" t="n">
        <f aca="false">MAX(0,MIN(AH225,AN225+AO225-AP225))</f>
        <v>0</v>
      </c>
      <c r="AR225" s="29" t="n">
        <f aca="false">AH225-AQ225</f>
        <v>690</v>
      </c>
      <c r="AS225" s="34" t="n">
        <f aca="false">AN225+AO225-AP225-AQ225</f>
        <v>0</v>
      </c>
      <c r="AT225" s="34" t="n">
        <f aca="false">AW224</f>
        <v>0</v>
      </c>
      <c r="AU225" s="34" t="n">
        <f aca="false">AT225*$AN$5/12</f>
        <v>0</v>
      </c>
      <c r="AV225" s="29" t="n">
        <f aca="false">MIN($AN$6,AT225+AU225)</f>
        <v>0</v>
      </c>
      <c r="AW225" s="34" t="n">
        <f aca="false">AT225+AU225-AV225</f>
        <v>0</v>
      </c>
      <c r="AX225" s="30" t="n">
        <f aca="false">BC224</f>
        <v>0</v>
      </c>
      <c r="AY225" s="30" t="n">
        <f aca="false">AX225*$AX$5/12</f>
        <v>0</v>
      </c>
      <c r="AZ225" s="30" t="n">
        <f aca="false">MIN($AX$6,AX225+AY225)</f>
        <v>0</v>
      </c>
      <c r="BA225" s="30" t="n">
        <f aca="false">MAX(0,MIN(AR225,AX225+AY225-AZ225))</f>
        <v>0</v>
      </c>
      <c r="BB225" s="29" t="n">
        <f aca="false">AR225-BA225</f>
        <v>690</v>
      </c>
      <c r="BC225" s="30" t="n">
        <f aca="false">AX225+AY225-AZ225-BA225</f>
        <v>0</v>
      </c>
      <c r="BD225" s="30" t="n">
        <f aca="false">BG224</f>
        <v>0</v>
      </c>
      <c r="BE225" s="30" t="n">
        <f aca="false">BD225*$AX$5/12</f>
        <v>0</v>
      </c>
      <c r="BF225" s="30" t="n">
        <f aca="false">MIN($AX$6,BD225+BE225)</f>
        <v>0</v>
      </c>
      <c r="BG225" s="30" t="n">
        <f aca="false">BD225+BE225-BF225</f>
        <v>0</v>
      </c>
      <c r="BH225" s="30" t="n">
        <f aca="false">BM224</f>
        <v>0</v>
      </c>
      <c r="BI225" s="30" t="n">
        <f aca="false">BH225*$BH$5/12</f>
        <v>0</v>
      </c>
      <c r="BJ225" s="30" t="n">
        <f aca="false">MIN($BH$6,BH225+BI225)</f>
        <v>0</v>
      </c>
      <c r="BK225" s="30" t="n">
        <f aca="false">MAX(0,MIN(BB225,BH225+BI225-BJ225))</f>
        <v>0</v>
      </c>
      <c r="BL225" s="29" t="n">
        <f aca="false">BB225-BK225</f>
        <v>690</v>
      </c>
      <c r="BM225" s="30" t="n">
        <f aca="false">BH225+BI225-BJ225-BK225</f>
        <v>0</v>
      </c>
      <c r="BN225" s="30" t="n">
        <f aca="false">BQ224</f>
        <v>0</v>
      </c>
      <c r="BO225" s="30" t="n">
        <f aca="false">BN225*$BH$5/12</f>
        <v>0</v>
      </c>
      <c r="BP225" s="30" t="n">
        <f aca="false">MIN($BH$6,BN225+BO225)</f>
        <v>0</v>
      </c>
      <c r="BQ225" s="30" t="n">
        <f aca="false">BN225+BO225-BP225</f>
        <v>0</v>
      </c>
      <c r="BR225" s="30" t="n">
        <f aca="false">BW224</f>
        <v>0</v>
      </c>
      <c r="BS225" s="30" t="n">
        <f aca="false">BR225*$BR$5/12</f>
        <v>0</v>
      </c>
      <c r="BT225" s="30" t="n">
        <f aca="false">MIN($BR$6,BR225+BS225)</f>
        <v>0</v>
      </c>
      <c r="BU225" s="30" t="n">
        <f aca="false">MAX(0,MIN(BL225,BR225+BS225-BT225))</f>
        <v>0</v>
      </c>
      <c r="BV225" s="29" t="n">
        <f aca="false">BL225-BU225</f>
        <v>690</v>
      </c>
      <c r="BW225" s="30" t="n">
        <f aca="false">BR225+BS225-BT225-BU225</f>
        <v>0</v>
      </c>
      <c r="BX225" s="30" t="n">
        <f aca="false">CA224</f>
        <v>0</v>
      </c>
      <c r="BY225" s="30" t="n">
        <f aca="false">BX225*$BR$5/12</f>
        <v>0</v>
      </c>
      <c r="BZ225" s="30" t="n">
        <f aca="false">MIN($BR$6,BX225+BY225)</f>
        <v>0</v>
      </c>
      <c r="CA225" s="30" t="n">
        <f aca="false">BX225+BY225-BZ225</f>
        <v>0</v>
      </c>
      <c r="CB225" s="30" t="n">
        <f aca="false">CG224</f>
        <v>0</v>
      </c>
      <c r="CC225" s="30" t="n">
        <f aca="false">CB225*$CB$5/12</f>
        <v>0</v>
      </c>
      <c r="CD225" s="30" t="n">
        <f aca="false">MIN($CB$6,CB225+CC225)</f>
        <v>0</v>
      </c>
      <c r="CE225" s="30" t="n">
        <f aca="false">MAX(0,MIN(BV225,CB225+CC225-CD225))</f>
        <v>0</v>
      </c>
      <c r="CF225" s="29" t="n">
        <f aca="false">BV225-CE225</f>
        <v>690</v>
      </c>
      <c r="CG225" s="30" t="n">
        <f aca="false">CB225+CC225-CD225-CE225</f>
        <v>0</v>
      </c>
      <c r="CH225" s="30" t="n">
        <f aca="false">CK224</f>
        <v>0</v>
      </c>
      <c r="CI225" s="30" t="n">
        <f aca="false">CH225*$CB$5/12</f>
        <v>0</v>
      </c>
      <c r="CJ225" s="30" t="n">
        <f aca="false">MIN($CB$6,CH225+CI225)</f>
        <v>0</v>
      </c>
      <c r="CK225" s="30" t="n">
        <f aca="false">CH225+CI225-CJ225</f>
        <v>0</v>
      </c>
    </row>
    <row r="226" customFormat="false" ht="15" hidden="false" customHeight="false" outlineLevel="0" collapsed="false">
      <c r="A226" s="0" t="n">
        <v>218</v>
      </c>
      <c r="B226" s="29" t="n">
        <f aca="false">'1 Your debts'!$B$16-(L226+V226+AF226+AP226+AZ226+BJ226+BT226+CD226)</f>
        <v>690</v>
      </c>
      <c r="C226" s="34" t="n">
        <f aca="false">O226+Y226+AI226+AS226+BC226+BM226+BW226+CG226</f>
        <v>0</v>
      </c>
      <c r="D226" s="34" t="n">
        <f aca="false">K226+U226+AE226+AO226+AY226+BI226+BS226+CC226</f>
        <v>0</v>
      </c>
      <c r="F226" s="34" t="n">
        <f aca="false">S226+AC226+AM226+AW226+BG226+BQ226+CA226+CK226</f>
        <v>0</v>
      </c>
      <c r="G226" s="34" t="n">
        <f aca="false">Q226+AA226+AK226+AU226+BE226+BO226+BY226+CI226</f>
        <v>0</v>
      </c>
      <c r="J226" s="34" t="n">
        <f aca="false">O225</f>
        <v>0</v>
      </c>
      <c r="K226" s="34" t="n">
        <f aca="false">J226*$J$5/12</f>
        <v>0</v>
      </c>
      <c r="L226" s="29" t="n">
        <f aca="false">MIN($J$6,J226+K226)</f>
        <v>0</v>
      </c>
      <c r="M226" s="30" t="n">
        <f aca="false">MAX(0,MIN($B226,J226+K226-L226))</f>
        <v>0</v>
      </c>
      <c r="N226" s="29" t="n">
        <f aca="false">$B226-M226</f>
        <v>690</v>
      </c>
      <c r="O226" s="34" t="n">
        <f aca="false">J226+K226-L226-M226</f>
        <v>0</v>
      </c>
      <c r="P226" s="34" t="n">
        <f aca="false">S225</f>
        <v>0</v>
      </c>
      <c r="Q226" s="34" t="n">
        <f aca="false">P226*$J$5/12</f>
        <v>0</v>
      </c>
      <c r="R226" s="29" t="n">
        <f aca="false">MIN($J$6,P226+Q226)</f>
        <v>0</v>
      </c>
      <c r="S226" s="34" t="n">
        <f aca="false">P226+Q226-R226</f>
        <v>0</v>
      </c>
      <c r="T226" s="34" t="n">
        <f aca="false">Y225</f>
        <v>0</v>
      </c>
      <c r="U226" s="34" t="n">
        <f aca="false">T226*$T$5/12</f>
        <v>0</v>
      </c>
      <c r="V226" s="29" t="n">
        <f aca="false">MIN($T$6,T226+U226)</f>
        <v>0</v>
      </c>
      <c r="W226" s="30" t="n">
        <f aca="false">MAX(0,MIN(N226,T226+U226-V226))</f>
        <v>0</v>
      </c>
      <c r="X226" s="29" t="n">
        <f aca="false">N226-W226</f>
        <v>690</v>
      </c>
      <c r="Y226" s="34" t="n">
        <f aca="false">T226+U226-V226-W226</f>
        <v>0</v>
      </c>
      <c r="Z226" s="34" t="n">
        <f aca="false">AC225</f>
        <v>0</v>
      </c>
      <c r="AA226" s="34" t="n">
        <f aca="false">Z226*$T$5/12</f>
        <v>0</v>
      </c>
      <c r="AB226" s="29" t="n">
        <f aca="false">MIN($T$6,Z226+AA226)</f>
        <v>0</v>
      </c>
      <c r="AC226" s="34" t="n">
        <f aca="false">Z226+AA226-AB226</f>
        <v>0</v>
      </c>
      <c r="AD226" s="34" t="n">
        <f aca="false">AI225</f>
        <v>0</v>
      </c>
      <c r="AE226" s="34" t="n">
        <f aca="false">AD226*$AD$5/12</f>
        <v>0</v>
      </c>
      <c r="AF226" s="29" t="n">
        <f aca="false">MIN($AD$6,AD226+AE226)</f>
        <v>0</v>
      </c>
      <c r="AG226" s="30" t="n">
        <f aca="false">MAX(0,MIN(X226,AD226+AE226-AF226))</f>
        <v>0</v>
      </c>
      <c r="AH226" s="29" t="n">
        <f aca="false">X226-AG226</f>
        <v>690</v>
      </c>
      <c r="AI226" s="34" t="n">
        <f aca="false">AD226+AE226-AF226-AG226</f>
        <v>0</v>
      </c>
      <c r="AJ226" s="34" t="n">
        <f aca="false">AM225</f>
        <v>0</v>
      </c>
      <c r="AK226" s="34" t="n">
        <f aca="false">AJ226*$AD$5/12</f>
        <v>0</v>
      </c>
      <c r="AL226" s="29" t="n">
        <f aca="false">MIN($AD$6,AJ226+AK226)</f>
        <v>0</v>
      </c>
      <c r="AM226" s="34" t="n">
        <f aca="false">AJ226+AK226-AL226</f>
        <v>0</v>
      </c>
      <c r="AN226" s="34" t="n">
        <f aca="false">AS225</f>
        <v>0</v>
      </c>
      <c r="AO226" s="34" t="n">
        <f aca="false">AN226*$AN$5/12</f>
        <v>0</v>
      </c>
      <c r="AP226" s="29" t="n">
        <f aca="false">MIN($AN$6,AN226+AO226)</f>
        <v>0</v>
      </c>
      <c r="AQ226" s="30" t="n">
        <f aca="false">MAX(0,MIN(AH226,AN226+AO226-AP226))</f>
        <v>0</v>
      </c>
      <c r="AR226" s="29" t="n">
        <f aca="false">AH226-AQ226</f>
        <v>690</v>
      </c>
      <c r="AS226" s="34" t="n">
        <f aca="false">AN226+AO226-AP226-AQ226</f>
        <v>0</v>
      </c>
      <c r="AT226" s="34" t="n">
        <f aca="false">AW225</f>
        <v>0</v>
      </c>
      <c r="AU226" s="34" t="n">
        <f aca="false">AT226*$AN$5/12</f>
        <v>0</v>
      </c>
      <c r="AV226" s="29" t="n">
        <f aca="false">MIN($AN$6,AT226+AU226)</f>
        <v>0</v>
      </c>
      <c r="AW226" s="34" t="n">
        <f aca="false">AT226+AU226-AV226</f>
        <v>0</v>
      </c>
      <c r="AX226" s="30" t="n">
        <f aca="false">BC225</f>
        <v>0</v>
      </c>
      <c r="AY226" s="30" t="n">
        <f aca="false">AX226*$AX$5/12</f>
        <v>0</v>
      </c>
      <c r="AZ226" s="30" t="n">
        <f aca="false">MIN($AX$6,AX226+AY226)</f>
        <v>0</v>
      </c>
      <c r="BA226" s="30" t="n">
        <f aca="false">MAX(0,MIN(AR226,AX226+AY226-AZ226))</f>
        <v>0</v>
      </c>
      <c r="BB226" s="29" t="n">
        <f aca="false">AR226-BA226</f>
        <v>690</v>
      </c>
      <c r="BC226" s="30" t="n">
        <f aca="false">AX226+AY226-AZ226-BA226</f>
        <v>0</v>
      </c>
      <c r="BD226" s="30" t="n">
        <f aca="false">BG225</f>
        <v>0</v>
      </c>
      <c r="BE226" s="30" t="n">
        <f aca="false">BD226*$AX$5/12</f>
        <v>0</v>
      </c>
      <c r="BF226" s="30" t="n">
        <f aca="false">MIN($AX$6,BD226+BE226)</f>
        <v>0</v>
      </c>
      <c r="BG226" s="30" t="n">
        <f aca="false">BD226+BE226-BF226</f>
        <v>0</v>
      </c>
      <c r="BH226" s="30" t="n">
        <f aca="false">BM225</f>
        <v>0</v>
      </c>
      <c r="BI226" s="30" t="n">
        <f aca="false">BH226*$BH$5/12</f>
        <v>0</v>
      </c>
      <c r="BJ226" s="30" t="n">
        <f aca="false">MIN($BH$6,BH226+BI226)</f>
        <v>0</v>
      </c>
      <c r="BK226" s="30" t="n">
        <f aca="false">MAX(0,MIN(BB226,BH226+BI226-BJ226))</f>
        <v>0</v>
      </c>
      <c r="BL226" s="29" t="n">
        <f aca="false">BB226-BK226</f>
        <v>690</v>
      </c>
      <c r="BM226" s="30" t="n">
        <f aca="false">BH226+BI226-BJ226-BK226</f>
        <v>0</v>
      </c>
      <c r="BN226" s="30" t="n">
        <f aca="false">BQ225</f>
        <v>0</v>
      </c>
      <c r="BO226" s="30" t="n">
        <f aca="false">BN226*$BH$5/12</f>
        <v>0</v>
      </c>
      <c r="BP226" s="30" t="n">
        <f aca="false">MIN($BH$6,BN226+BO226)</f>
        <v>0</v>
      </c>
      <c r="BQ226" s="30" t="n">
        <f aca="false">BN226+BO226-BP226</f>
        <v>0</v>
      </c>
      <c r="BR226" s="30" t="n">
        <f aca="false">BW225</f>
        <v>0</v>
      </c>
      <c r="BS226" s="30" t="n">
        <f aca="false">BR226*$BR$5/12</f>
        <v>0</v>
      </c>
      <c r="BT226" s="30" t="n">
        <f aca="false">MIN($BR$6,BR226+BS226)</f>
        <v>0</v>
      </c>
      <c r="BU226" s="30" t="n">
        <f aca="false">MAX(0,MIN(BL226,BR226+BS226-BT226))</f>
        <v>0</v>
      </c>
      <c r="BV226" s="29" t="n">
        <f aca="false">BL226-BU226</f>
        <v>690</v>
      </c>
      <c r="BW226" s="30" t="n">
        <f aca="false">BR226+BS226-BT226-BU226</f>
        <v>0</v>
      </c>
      <c r="BX226" s="30" t="n">
        <f aca="false">CA225</f>
        <v>0</v>
      </c>
      <c r="BY226" s="30" t="n">
        <f aca="false">BX226*$BR$5/12</f>
        <v>0</v>
      </c>
      <c r="BZ226" s="30" t="n">
        <f aca="false">MIN($BR$6,BX226+BY226)</f>
        <v>0</v>
      </c>
      <c r="CA226" s="30" t="n">
        <f aca="false">BX226+BY226-BZ226</f>
        <v>0</v>
      </c>
      <c r="CB226" s="30" t="n">
        <f aca="false">CG225</f>
        <v>0</v>
      </c>
      <c r="CC226" s="30" t="n">
        <f aca="false">CB226*$CB$5/12</f>
        <v>0</v>
      </c>
      <c r="CD226" s="30" t="n">
        <f aca="false">MIN($CB$6,CB226+CC226)</f>
        <v>0</v>
      </c>
      <c r="CE226" s="30" t="n">
        <f aca="false">MAX(0,MIN(BV226,CB226+CC226-CD226))</f>
        <v>0</v>
      </c>
      <c r="CF226" s="29" t="n">
        <f aca="false">BV226-CE226</f>
        <v>690</v>
      </c>
      <c r="CG226" s="30" t="n">
        <f aca="false">CB226+CC226-CD226-CE226</f>
        <v>0</v>
      </c>
      <c r="CH226" s="30" t="n">
        <f aca="false">CK225</f>
        <v>0</v>
      </c>
      <c r="CI226" s="30" t="n">
        <f aca="false">CH226*$CB$5/12</f>
        <v>0</v>
      </c>
      <c r="CJ226" s="30" t="n">
        <f aca="false">MIN($CB$6,CH226+CI226)</f>
        <v>0</v>
      </c>
      <c r="CK226" s="30" t="n">
        <f aca="false">CH226+CI226-CJ226</f>
        <v>0</v>
      </c>
    </row>
    <row r="227" customFormat="false" ht="15" hidden="false" customHeight="false" outlineLevel="0" collapsed="false">
      <c r="A227" s="0" t="n">
        <v>219</v>
      </c>
      <c r="B227" s="29" t="n">
        <f aca="false">'1 Your debts'!$B$16-(L227+V227+AF227+AP227+AZ227+BJ227+BT227+CD227)</f>
        <v>690</v>
      </c>
      <c r="C227" s="34" t="n">
        <f aca="false">O227+Y227+AI227+AS227+BC227+BM227+BW227+CG227</f>
        <v>0</v>
      </c>
      <c r="D227" s="34" t="n">
        <f aca="false">K227+U227+AE227+AO227+AY227+BI227+BS227+CC227</f>
        <v>0</v>
      </c>
      <c r="F227" s="34" t="n">
        <f aca="false">S227+AC227+AM227+AW227+BG227+BQ227+CA227+CK227</f>
        <v>0</v>
      </c>
      <c r="G227" s="34" t="n">
        <f aca="false">Q227+AA227+AK227+AU227+BE227+BO227+BY227+CI227</f>
        <v>0</v>
      </c>
      <c r="J227" s="34" t="n">
        <f aca="false">O226</f>
        <v>0</v>
      </c>
      <c r="K227" s="34" t="n">
        <f aca="false">J227*$J$5/12</f>
        <v>0</v>
      </c>
      <c r="L227" s="29" t="n">
        <f aca="false">MIN($J$6,J227+K227)</f>
        <v>0</v>
      </c>
      <c r="M227" s="30" t="n">
        <f aca="false">MAX(0,MIN($B227,J227+K227-L227))</f>
        <v>0</v>
      </c>
      <c r="N227" s="29" t="n">
        <f aca="false">$B227-M227</f>
        <v>690</v>
      </c>
      <c r="O227" s="34" t="n">
        <f aca="false">J227+K227-L227-M227</f>
        <v>0</v>
      </c>
      <c r="P227" s="34" t="n">
        <f aca="false">S226</f>
        <v>0</v>
      </c>
      <c r="Q227" s="34" t="n">
        <f aca="false">P227*$J$5/12</f>
        <v>0</v>
      </c>
      <c r="R227" s="29" t="n">
        <f aca="false">MIN($J$6,P227+Q227)</f>
        <v>0</v>
      </c>
      <c r="S227" s="34" t="n">
        <f aca="false">P227+Q227-R227</f>
        <v>0</v>
      </c>
      <c r="T227" s="34" t="n">
        <f aca="false">Y226</f>
        <v>0</v>
      </c>
      <c r="U227" s="34" t="n">
        <f aca="false">T227*$T$5/12</f>
        <v>0</v>
      </c>
      <c r="V227" s="29" t="n">
        <f aca="false">MIN($T$6,T227+U227)</f>
        <v>0</v>
      </c>
      <c r="W227" s="30" t="n">
        <f aca="false">MAX(0,MIN(N227,T227+U227-V227))</f>
        <v>0</v>
      </c>
      <c r="X227" s="29" t="n">
        <f aca="false">N227-W227</f>
        <v>690</v>
      </c>
      <c r="Y227" s="34" t="n">
        <f aca="false">T227+U227-V227-W227</f>
        <v>0</v>
      </c>
      <c r="Z227" s="34" t="n">
        <f aca="false">AC226</f>
        <v>0</v>
      </c>
      <c r="AA227" s="34" t="n">
        <f aca="false">Z227*$T$5/12</f>
        <v>0</v>
      </c>
      <c r="AB227" s="29" t="n">
        <f aca="false">MIN($T$6,Z227+AA227)</f>
        <v>0</v>
      </c>
      <c r="AC227" s="34" t="n">
        <f aca="false">Z227+AA227-AB227</f>
        <v>0</v>
      </c>
      <c r="AD227" s="34" t="n">
        <f aca="false">AI226</f>
        <v>0</v>
      </c>
      <c r="AE227" s="34" t="n">
        <f aca="false">AD227*$AD$5/12</f>
        <v>0</v>
      </c>
      <c r="AF227" s="29" t="n">
        <f aca="false">MIN($AD$6,AD227+AE227)</f>
        <v>0</v>
      </c>
      <c r="AG227" s="30" t="n">
        <f aca="false">MAX(0,MIN(X227,AD227+AE227-AF227))</f>
        <v>0</v>
      </c>
      <c r="AH227" s="29" t="n">
        <f aca="false">X227-AG227</f>
        <v>690</v>
      </c>
      <c r="AI227" s="34" t="n">
        <f aca="false">AD227+AE227-AF227-AG227</f>
        <v>0</v>
      </c>
      <c r="AJ227" s="34" t="n">
        <f aca="false">AM226</f>
        <v>0</v>
      </c>
      <c r="AK227" s="34" t="n">
        <f aca="false">AJ227*$AD$5/12</f>
        <v>0</v>
      </c>
      <c r="AL227" s="29" t="n">
        <f aca="false">MIN($AD$6,AJ227+AK227)</f>
        <v>0</v>
      </c>
      <c r="AM227" s="34" t="n">
        <f aca="false">AJ227+AK227-AL227</f>
        <v>0</v>
      </c>
      <c r="AN227" s="34" t="n">
        <f aca="false">AS226</f>
        <v>0</v>
      </c>
      <c r="AO227" s="34" t="n">
        <f aca="false">AN227*$AN$5/12</f>
        <v>0</v>
      </c>
      <c r="AP227" s="29" t="n">
        <f aca="false">MIN($AN$6,AN227+AO227)</f>
        <v>0</v>
      </c>
      <c r="AQ227" s="30" t="n">
        <f aca="false">MAX(0,MIN(AH227,AN227+AO227-AP227))</f>
        <v>0</v>
      </c>
      <c r="AR227" s="29" t="n">
        <f aca="false">AH227-AQ227</f>
        <v>690</v>
      </c>
      <c r="AS227" s="34" t="n">
        <f aca="false">AN227+AO227-AP227-AQ227</f>
        <v>0</v>
      </c>
      <c r="AT227" s="34" t="n">
        <f aca="false">AW226</f>
        <v>0</v>
      </c>
      <c r="AU227" s="34" t="n">
        <f aca="false">AT227*$AN$5/12</f>
        <v>0</v>
      </c>
      <c r="AV227" s="29" t="n">
        <f aca="false">MIN($AN$6,AT227+AU227)</f>
        <v>0</v>
      </c>
      <c r="AW227" s="34" t="n">
        <f aca="false">AT227+AU227-AV227</f>
        <v>0</v>
      </c>
      <c r="AX227" s="30" t="n">
        <f aca="false">BC226</f>
        <v>0</v>
      </c>
      <c r="AY227" s="30" t="n">
        <f aca="false">AX227*$AX$5/12</f>
        <v>0</v>
      </c>
      <c r="AZ227" s="30" t="n">
        <f aca="false">MIN($AX$6,AX227+AY227)</f>
        <v>0</v>
      </c>
      <c r="BA227" s="30" t="n">
        <f aca="false">MAX(0,MIN(AR227,AX227+AY227-AZ227))</f>
        <v>0</v>
      </c>
      <c r="BB227" s="29" t="n">
        <f aca="false">AR227-BA227</f>
        <v>690</v>
      </c>
      <c r="BC227" s="30" t="n">
        <f aca="false">AX227+AY227-AZ227-BA227</f>
        <v>0</v>
      </c>
      <c r="BD227" s="30" t="n">
        <f aca="false">BG226</f>
        <v>0</v>
      </c>
      <c r="BE227" s="30" t="n">
        <f aca="false">BD227*$AX$5/12</f>
        <v>0</v>
      </c>
      <c r="BF227" s="30" t="n">
        <f aca="false">MIN($AX$6,BD227+BE227)</f>
        <v>0</v>
      </c>
      <c r="BG227" s="30" t="n">
        <f aca="false">BD227+BE227-BF227</f>
        <v>0</v>
      </c>
      <c r="BH227" s="30" t="n">
        <f aca="false">BM226</f>
        <v>0</v>
      </c>
      <c r="BI227" s="30" t="n">
        <f aca="false">BH227*$BH$5/12</f>
        <v>0</v>
      </c>
      <c r="BJ227" s="30" t="n">
        <f aca="false">MIN($BH$6,BH227+BI227)</f>
        <v>0</v>
      </c>
      <c r="BK227" s="30" t="n">
        <f aca="false">MAX(0,MIN(BB227,BH227+BI227-BJ227))</f>
        <v>0</v>
      </c>
      <c r="BL227" s="29" t="n">
        <f aca="false">BB227-BK227</f>
        <v>690</v>
      </c>
      <c r="BM227" s="30" t="n">
        <f aca="false">BH227+BI227-BJ227-BK227</f>
        <v>0</v>
      </c>
      <c r="BN227" s="30" t="n">
        <f aca="false">BQ226</f>
        <v>0</v>
      </c>
      <c r="BO227" s="30" t="n">
        <f aca="false">BN227*$BH$5/12</f>
        <v>0</v>
      </c>
      <c r="BP227" s="30" t="n">
        <f aca="false">MIN($BH$6,BN227+BO227)</f>
        <v>0</v>
      </c>
      <c r="BQ227" s="30" t="n">
        <f aca="false">BN227+BO227-BP227</f>
        <v>0</v>
      </c>
      <c r="BR227" s="30" t="n">
        <f aca="false">BW226</f>
        <v>0</v>
      </c>
      <c r="BS227" s="30" t="n">
        <f aca="false">BR227*$BR$5/12</f>
        <v>0</v>
      </c>
      <c r="BT227" s="30" t="n">
        <f aca="false">MIN($BR$6,BR227+BS227)</f>
        <v>0</v>
      </c>
      <c r="BU227" s="30" t="n">
        <f aca="false">MAX(0,MIN(BL227,BR227+BS227-BT227))</f>
        <v>0</v>
      </c>
      <c r="BV227" s="29" t="n">
        <f aca="false">BL227-BU227</f>
        <v>690</v>
      </c>
      <c r="BW227" s="30" t="n">
        <f aca="false">BR227+BS227-BT227-BU227</f>
        <v>0</v>
      </c>
      <c r="BX227" s="30" t="n">
        <f aca="false">CA226</f>
        <v>0</v>
      </c>
      <c r="BY227" s="30" t="n">
        <f aca="false">BX227*$BR$5/12</f>
        <v>0</v>
      </c>
      <c r="BZ227" s="30" t="n">
        <f aca="false">MIN($BR$6,BX227+BY227)</f>
        <v>0</v>
      </c>
      <c r="CA227" s="30" t="n">
        <f aca="false">BX227+BY227-BZ227</f>
        <v>0</v>
      </c>
      <c r="CB227" s="30" t="n">
        <f aca="false">CG226</f>
        <v>0</v>
      </c>
      <c r="CC227" s="30" t="n">
        <f aca="false">CB227*$CB$5/12</f>
        <v>0</v>
      </c>
      <c r="CD227" s="30" t="n">
        <f aca="false">MIN($CB$6,CB227+CC227)</f>
        <v>0</v>
      </c>
      <c r="CE227" s="30" t="n">
        <f aca="false">MAX(0,MIN(BV227,CB227+CC227-CD227))</f>
        <v>0</v>
      </c>
      <c r="CF227" s="29" t="n">
        <f aca="false">BV227-CE227</f>
        <v>690</v>
      </c>
      <c r="CG227" s="30" t="n">
        <f aca="false">CB227+CC227-CD227-CE227</f>
        <v>0</v>
      </c>
      <c r="CH227" s="30" t="n">
        <f aca="false">CK226</f>
        <v>0</v>
      </c>
      <c r="CI227" s="30" t="n">
        <f aca="false">CH227*$CB$5/12</f>
        <v>0</v>
      </c>
      <c r="CJ227" s="30" t="n">
        <f aca="false">MIN($CB$6,CH227+CI227)</f>
        <v>0</v>
      </c>
      <c r="CK227" s="30" t="n">
        <f aca="false">CH227+CI227-CJ227</f>
        <v>0</v>
      </c>
    </row>
    <row r="228" customFormat="false" ht="15" hidden="false" customHeight="false" outlineLevel="0" collapsed="false">
      <c r="A228" s="0" t="n">
        <v>220</v>
      </c>
      <c r="B228" s="29" t="n">
        <f aca="false">'1 Your debts'!$B$16-(L228+V228+AF228+AP228+AZ228+BJ228+BT228+CD228)</f>
        <v>690</v>
      </c>
      <c r="C228" s="34" t="n">
        <f aca="false">O228+Y228+AI228+AS228+BC228+BM228+BW228+CG228</f>
        <v>0</v>
      </c>
      <c r="D228" s="34" t="n">
        <f aca="false">K228+U228+AE228+AO228+AY228+BI228+BS228+CC228</f>
        <v>0</v>
      </c>
      <c r="F228" s="34" t="n">
        <f aca="false">S228+AC228+AM228+AW228+BG228+BQ228+CA228+CK228</f>
        <v>0</v>
      </c>
      <c r="G228" s="34" t="n">
        <f aca="false">Q228+AA228+AK228+AU228+BE228+BO228+BY228+CI228</f>
        <v>0</v>
      </c>
      <c r="J228" s="34" t="n">
        <f aca="false">O227</f>
        <v>0</v>
      </c>
      <c r="K228" s="34" t="n">
        <f aca="false">J228*$J$5/12</f>
        <v>0</v>
      </c>
      <c r="L228" s="29" t="n">
        <f aca="false">MIN($J$6,J228+K228)</f>
        <v>0</v>
      </c>
      <c r="M228" s="30" t="n">
        <f aca="false">MAX(0,MIN($B228,J228+K228-L228))</f>
        <v>0</v>
      </c>
      <c r="N228" s="29" t="n">
        <f aca="false">$B228-M228</f>
        <v>690</v>
      </c>
      <c r="O228" s="34" t="n">
        <f aca="false">J228+K228-L228-M228</f>
        <v>0</v>
      </c>
      <c r="P228" s="34" t="n">
        <f aca="false">S227</f>
        <v>0</v>
      </c>
      <c r="Q228" s="34" t="n">
        <f aca="false">P228*$J$5/12</f>
        <v>0</v>
      </c>
      <c r="R228" s="29" t="n">
        <f aca="false">MIN($J$6,P228+Q228)</f>
        <v>0</v>
      </c>
      <c r="S228" s="34" t="n">
        <f aca="false">P228+Q228-R228</f>
        <v>0</v>
      </c>
      <c r="T228" s="34" t="n">
        <f aca="false">Y227</f>
        <v>0</v>
      </c>
      <c r="U228" s="34" t="n">
        <f aca="false">T228*$T$5/12</f>
        <v>0</v>
      </c>
      <c r="V228" s="29" t="n">
        <f aca="false">MIN($T$6,T228+U228)</f>
        <v>0</v>
      </c>
      <c r="W228" s="30" t="n">
        <f aca="false">MAX(0,MIN(N228,T228+U228-V228))</f>
        <v>0</v>
      </c>
      <c r="X228" s="29" t="n">
        <f aca="false">N228-W228</f>
        <v>690</v>
      </c>
      <c r="Y228" s="34" t="n">
        <f aca="false">T228+U228-V228-W228</f>
        <v>0</v>
      </c>
      <c r="Z228" s="34" t="n">
        <f aca="false">AC227</f>
        <v>0</v>
      </c>
      <c r="AA228" s="34" t="n">
        <f aca="false">Z228*$T$5/12</f>
        <v>0</v>
      </c>
      <c r="AB228" s="29" t="n">
        <f aca="false">MIN($T$6,Z228+AA228)</f>
        <v>0</v>
      </c>
      <c r="AC228" s="34" t="n">
        <f aca="false">Z228+AA228-AB228</f>
        <v>0</v>
      </c>
      <c r="AD228" s="34" t="n">
        <f aca="false">AI227</f>
        <v>0</v>
      </c>
      <c r="AE228" s="34" t="n">
        <f aca="false">AD228*$AD$5/12</f>
        <v>0</v>
      </c>
      <c r="AF228" s="29" t="n">
        <f aca="false">MIN($AD$6,AD228+AE228)</f>
        <v>0</v>
      </c>
      <c r="AG228" s="30" t="n">
        <f aca="false">MAX(0,MIN(X228,AD228+AE228-AF228))</f>
        <v>0</v>
      </c>
      <c r="AH228" s="29" t="n">
        <f aca="false">X228-AG228</f>
        <v>690</v>
      </c>
      <c r="AI228" s="34" t="n">
        <f aca="false">AD228+AE228-AF228-AG228</f>
        <v>0</v>
      </c>
      <c r="AJ228" s="34" t="n">
        <f aca="false">AM227</f>
        <v>0</v>
      </c>
      <c r="AK228" s="34" t="n">
        <f aca="false">AJ228*$AD$5/12</f>
        <v>0</v>
      </c>
      <c r="AL228" s="29" t="n">
        <f aca="false">MIN($AD$6,AJ228+AK228)</f>
        <v>0</v>
      </c>
      <c r="AM228" s="34" t="n">
        <f aca="false">AJ228+AK228-AL228</f>
        <v>0</v>
      </c>
      <c r="AN228" s="34" t="n">
        <f aca="false">AS227</f>
        <v>0</v>
      </c>
      <c r="AO228" s="34" t="n">
        <f aca="false">AN228*$AN$5/12</f>
        <v>0</v>
      </c>
      <c r="AP228" s="29" t="n">
        <f aca="false">MIN($AN$6,AN228+AO228)</f>
        <v>0</v>
      </c>
      <c r="AQ228" s="30" t="n">
        <f aca="false">MAX(0,MIN(AH228,AN228+AO228-AP228))</f>
        <v>0</v>
      </c>
      <c r="AR228" s="29" t="n">
        <f aca="false">AH228-AQ228</f>
        <v>690</v>
      </c>
      <c r="AS228" s="34" t="n">
        <f aca="false">AN228+AO228-AP228-AQ228</f>
        <v>0</v>
      </c>
      <c r="AT228" s="34" t="n">
        <f aca="false">AW227</f>
        <v>0</v>
      </c>
      <c r="AU228" s="34" t="n">
        <f aca="false">AT228*$AN$5/12</f>
        <v>0</v>
      </c>
      <c r="AV228" s="29" t="n">
        <f aca="false">MIN($AN$6,AT228+AU228)</f>
        <v>0</v>
      </c>
      <c r="AW228" s="34" t="n">
        <f aca="false">AT228+AU228-AV228</f>
        <v>0</v>
      </c>
      <c r="AX228" s="30" t="n">
        <f aca="false">BC227</f>
        <v>0</v>
      </c>
      <c r="AY228" s="30" t="n">
        <f aca="false">AX228*$AX$5/12</f>
        <v>0</v>
      </c>
      <c r="AZ228" s="30" t="n">
        <f aca="false">MIN($AX$6,AX228+AY228)</f>
        <v>0</v>
      </c>
      <c r="BA228" s="30" t="n">
        <f aca="false">MAX(0,MIN(AR228,AX228+AY228-AZ228))</f>
        <v>0</v>
      </c>
      <c r="BB228" s="29" t="n">
        <f aca="false">AR228-BA228</f>
        <v>690</v>
      </c>
      <c r="BC228" s="30" t="n">
        <f aca="false">AX228+AY228-AZ228-BA228</f>
        <v>0</v>
      </c>
      <c r="BD228" s="30" t="n">
        <f aca="false">BG227</f>
        <v>0</v>
      </c>
      <c r="BE228" s="30" t="n">
        <f aca="false">BD228*$AX$5/12</f>
        <v>0</v>
      </c>
      <c r="BF228" s="30" t="n">
        <f aca="false">MIN($AX$6,BD228+BE228)</f>
        <v>0</v>
      </c>
      <c r="BG228" s="30" t="n">
        <f aca="false">BD228+BE228-BF228</f>
        <v>0</v>
      </c>
      <c r="BH228" s="30" t="n">
        <f aca="false">BM227</f>
        <v>0</v>
      </c>
      <c r="BI228" s="30" t="n">
        <f aca="false">BH228*$BH$5/12</f>
        <v>0</v>
      </c>
      <c r="BJ228" s="30" t="n">
        <f aca="false">MIN($BH$6,BH228+BI228)</f>
        <v>0</v>
      </c>
      <c r="BK228" s="30" t="n">
        <f aca="false">MAX(0,MIN(BB228,BH228+BI228-BJ228))</f>
        <v>0</v>
      </c>
      <c r="BL228" s="29" t="n">
        <f aca="false">BB228-BK228</f>
        <v>690</v>
      </c>
      <c r="BM228" s="30" t="n">
        <f aca="false">BH228+BI228-BJ228-BK228</f>
        <v>0</v>
      </c>
      <c r="BN228" s="30" t="n">
        <f aca="false">BQ227</f>
        <v>0</v>
      </c>
      <c r="BO228" s="30" t="n">
        <f aca="false">BN228*$BH$5/12</f>
        <v>0</v>
      </c>
      <c r="BP228" s="30" t="n">
        <f aca="false">MIN($BH$6,BN228+BO228)</f>
        <v>0</v>
      </c>
      <c r="BQ228" s="30" t="n">
        <f aca="false">BN228+BO228-BP228</f>
        <v>0</v>
      </c>
      <c r="BR228" s="30" t="n">
        <f aca="false">BW227</f>
        <v>0</v>
      </c>
      <c r="BS228" s="30" t="n">
        <f aca="false">BR228*$BR$5/12</f>
        <v>0</v>
      </c>
      <c r="BT228" s="30" t="n">
        <f aca="false">MIN($BR$6,BR228+BS228)</f>
        <v>0</v>
      </c>
      <c r="BU228" s="30" t="n">
        <f aca="false">MAX(0,MIN(BL228,BR228+BS228-BT228))</f>
        <v>0</v>
      </c>
      <c r="BV228" s="29" t="n">
        <f aca="false">BL228-BU228</f>
        <v>690</v>
      </c>
      <c r="BW228" s="30" t="n">
        <f aca="false">BR228+BS228-BT228-BU228</f>
        <v>0</v>
      </c>
      <c r="BX228" s="30" t="n">
        <f aca="false">CA227</f>
        <v>0</v>
      </c>
      <c r="BY228" s="30" t="n">
        <f aca="false">BX228*$BR$5/12</f>
        <v>0</v>
      </c>
      <c r="BZ228" s="30" t="n">
        <f aca="false">MIN($BR$6,BX228+BY228)</f>
        <v>0</v>
      </c>
      <c r="CA228" s="30" t="n">
        <f aca="false">BX228+BY228-BZ228</f>
        <v>0</v>
      </c>
      <c r="CB228" s="30" t="n">
        <f aca="false">CG227</f>
        <v>0</v>
      </c>
      <c r="CC228" s="30" t="n">
        <f aca="false">CB228*$CB$5/12</f>
        <v>0</v>
      </c>
      <c r="CD228" s="30" t="n">
        <f aca="false">MIN($CB$6,CB228+CC228)</f>
        <v>0</v>
      </c>
      <c r="CE228" s="30" t="n">
        <f aca="false">MAX(0,MIN(BV228,CB228+CC228-CD228))</f>
        <v>0</v>
      </c>
      <c r="CF228" s="29" t="n">
        <f aca="false">BV228-CE228</f>
        <v>690</v>
      </c>
      <c r="CG228" s="30" t="n">
        <f aca="false">CB228+CC228-CD228-CE228</f>
        <v>0</v>
      </c>
      <c r="CH228" s="30" t="n">
        <f aca="false">CK227</f>
        <v>0</v>
      </c>
      <c r="CI228" s="30" t="n">
        <f aca="false">CH228*$CB$5/12</f>
        <v>0</v>
      </c>
      <c r="CJ228" s="30" t="n">
        <f aca="false">MIN($CB$6,CH228+CI228)</f>
        <v>0</v>
      </c>
      <c r="CK228" s="30" t="n">
        <f aca="false">CH228+CI228-CJ228</f>
        <v>0</v>
      </c>
    </row>
    <row r="229" customFormat="false" ht="15" hidden="false" customHeight="false" outlineLevel="0" collapsed="false">
      <c r="A229" s="0" t="n">
        <v>221</v>
      </c>
      <c r="B229" s="29" t="n">
        <f aca="false">'1 Your debts'!$B$16-(L229+V229+AF229+AP229+AZ229+BJ229+BT229+CD229)</f>
        <v>690</v>
      </c>
      <c r="C229" s="34" t="n">
        <f aca="false">O229+Y229+AI229+AS229+BC229+BM229+BW229+CG229</f>
        <v>0</v>
      </c>
      <c r="D229" s="34" t="n">
        <f aca="false">K229+U229+AE229+AO229+AY229+BI229+BS229+CC229</f>
        <v>0</v>
      </c>
      <c r="F229" s="34" t="n">
        <f aca="false">S229+AC229+AM229+AW229+BG229+BQ229+CA229+CK229</f>
        <v>0</v>
      </c>
      <c r="G229" s="34" t="n">
        <f aca="false">Q229+AA229+AK229+AU229+BE229+BO229+BY229+CI229</f>
        <v>0</v>
      </c>
      <c r="J229" s="34" t="n">
        <f aca="false">O228</f>
        <v>0</v>
      </c>
      <c r="K229" s="34" t="n">
        <f aca="false">J229*$J$5/12</f>
        <v>0</v>
      </c>
      <c r="L229" s="29" t="n">
        <f aca="false">MIN($J$6,J229+K229)</f>
        <v>0</v>
      </c>
      <c r="M229" s="30" t="n">
        <f aca="false">MAX(0,MIN($B229,J229+K229-L229))</f>
        <v>0</v>
      </c>
      <c r="N229" s="29" t="n">
        <f aca="false">$B229-M229</f>
        <v>690</v>
      </c>
      <c r="O229" s="34" t="n">
        <f aca="false">J229+K229-L229-M229</f>
        <v>0</v>
      </c>
      <c r="P229" s="34" t="n">
        <f aca="false">S228</f>
        <v>0</v>
      </c>
      <c r="Q229" s="34" t="n">
        <f aca="false">P229*$J$5/12</f>
        <v>0</v>
      </c>
      <c r="R229" s="29" t="n">
        <f aca="false">MIN($J$6,P229+Q229)</f>
        <v>0</v>
      </c>
      <c r="S229" s="34" t="n">
        <f aca="false">P229+Q229-R229</f>
        <v>0</v>
      </c>
      <c r="T229" s="34" t="n">
        <f aca="false">Y228</f>
        <v>0</v>
      </c>
      <c r="U229" s="34" t="n">
        <f aca="false">T229*$T$5/12</f>
        <v>0</v>
      </c>
      <c r="V229" s="29" t="n">
        <f aca="false">MIN($T$6,T229+U229)</f>
        <v>0</v>
      </c>
      <c r="W229" s="30" t="n">
        <f aca="false">MAX(0,MIN(N229,T229+U229-V229))</f>
        <v>0</v>
      </c>
      <c r="X229" s="29" t="n">
        <f aca="false">N229-W229</f>
        <v>690</v>
      </c>
      <c r="Y229" s="34" t="n">
        <f aca="false">T229+U229-V229-W229</f>
        <v>0</v>
      </c>
      <c r="Z229" s="34" t="n">
        <f aca="false">AC228</f>
        <v>0</v>
      </c>
      <c r="AA229" s="34" t="n">
        <f aca="false">Z229*$T$5/12</f>
        <v>0</v>
      </c>
      <c r="AB229" s="29" t="n">
        <f aca="false">MIN($T$6,Z229+AA229)</f>
        <v>0</v>
      </c>
      <c r="AC229" s="34" t="n">
        <f aca="false">Z229+AA229-AB229</f>
        <v>0</v>
      </c>
      <c r="AD229" s="34" t="n">
        <f aca="false">AI228</f>
        <v>0</v>
      </c>
      <c r="AE229" s="34" t="n">
        <f aca="false">AD229*$AD$5/12</f>
        <v>0</v>
      </c>
      <c r="AF229" s="29" t="n">
        <f aca="false">MIN($AD$6,AD229+AE229)</f>
        <v>0</v>
      </c>
      <c r="AG229" s="30" t="n">
        <f aca="false">MAX(0,MIN(X229,AD229+AE229-AF229))</f>
        <v>0</v>
      </c>
      <c r="AH229" s="29" t="n">
        <f aca="false">X229-AG229</f>
        <v>690</v>
      </c>
      <c r="AI229" s="34" t="n">
        <f aca="false">AD229+AE229-AF229-AG229</f>
        <v>0</v>
      </c>
      <c r="AJ229" s="34" t="n">
        <f aca="false">AM228</f>
        <v>0</v>
      </c>
      <c r="AK229" s="34" t="n">
        <f aca="false">AJ229*$AD$5/12</f>
        <v>0</v>
      </c>
      <c r="AL229" s="29" t="n">
        <f aca="false">MIN($AD$6,AJ229+AK229)</f>
        <v>0</v>
      </c>
      <c r="AM229" s="34" t="n">
        <f aca="false">AJ229+AK229-AL229</f>
        <v>0</v>
      </c>
      <c r="AN229" s="34" t="n">
        <f aca="false">AS228</f>
        <v>0</v>
      </c>
      <c r="AO229" s="34" t="n">
        <f aca="false">AN229*$AN$5/12</f>
        <v>0</v>
      </c>
      <c r="AP229" s="29" t="n">
        <f aca="false">MIN($AN$6,AN229+AO229)</f>
        <v>0</v>
      </c>
      <c r="AQ229" s="30" t="n">
        <f aca="false">MAX(0,MIN(AH229,AN229+AO229-AP229))</f>
        <v>0</v>
      </c>
      <c r="AR229" s="29" t="n">
        <f aca="false">AH229-AQ229</f>
        <v>690</v>
      </c>
      <c r="AS229" s="34" t="n">
        <f aca="false">AN229+AO229-AP229-AQ229</f>
        <v>0</v>
      </c>
      <c r="AT229" s="34" t="n">
        <f aca="false">AW228</f>
        <v>0</v>
      </c>
      <c r="AU229" s="34" t="n">
        <f aca="false">AT229*$AN$5/12</f>
        <v>0</v>
      </c>
      <c r="AV229" s="29" t="n">
        <f aca="false">MIN($AN$6,AT229+AU229)</f>
        <v>0</v>
      </c>
      <c r="AW229" s="34" t="n">
        <f aca="false">AT229+AU229-AV229</f>
        <v>0</v>
      </c>
      <c r="AX229" s="30" t="n">
        <f aca="false">BC228</f>
        <v>0</v>
      </c>
      <c r="AY229" s="30" t="n">
        <f aca="false">AX229*$AX$5/12</f>
        <v>0</v>
      </c>
      <c r="AZ229" s="30" t="n">
        <f aca="false">MIN($AX$6,AX229+AY229)</f>
        <v>0</v>
      </c>
      <c r="BA229" s="30" t="n">
        <f aca="false">MAX(0,MIN(AR229,AX229+AY229-AZ229))</f>
        <v>0</v>
      </c>
      <c r="BB229" s="29" t="n">
        <f aca="false">AR229-BA229</f>
        <v>690</v>
      </c>
      <c r="BC229" s="30" t="n">
        <f aca="false">AX229+AY229-AZ229-BA229</f>
        <v>0</v>
      </c>
      <c r="BD229" s="30" t="n">
        <f aca="false">BG228</f>
        <v>0</v>
      </c>
      <c r="BE229" s="30" t="n">
        <f aca="false">BD229*$AX$5/12</f>
        <v>0</v>
      </c>
      <c r="BF229" s="30" t="n">
        <f aca="false">MIN($AX$6,BD229+BE229)</f>
        <v>0</v>
      </c>
      <c r="BG229" s="30" t="n">
        <f aca="false">BD229+BE229-BF229</f>
        <v>0</v>
      </c>
      <c r="BH229" s="30" t="n">
        <f aca="false">BM228</f>
        <v>0</v>
      </c>
      <c r="BI229" s="30" t="n">
        <f aca="false">BH229*$BH$5/12</f>
        <v>0</v>
      </c>
      <c r="BJ229" s="30" t="n">
        <f aca="false">MIN($BH$6,BH229+BI229)</f>
        <v>0</v>
      </c>
      <c r="BK229" s="30" t="n">
        <f aca="false">MAX(0,MIN(BB229,BH229+BI229-BJ229))</f>
        <v>0</v>
      </c>
      <c r="BL229" s="29" t="n">
        <f aca="false">BB229-BK229</f>
        <v>690</v>
      </c>
      <c r="BM229" s="30" t="n">
        <f aca="false">BH229+BI229-BJ229-BK229</f>
        <v>0</v>
      </c>
      <c r="BN229" s="30" t="n">
        <f aca="false">BQ228</f>
        <v>0</v>
      </c>
      <c r="BO229" s="30" t="n">
        <f aca="false">BN229*$BH$5/12</f>
        <v>0</v>
      </c>
      <c r="BP229" s="30" t="n">
        <f aca="false">MIN($BH$6,BN229+BO229)</f>
        <v>0</v>
      </c>
      <c r="BQ229" s="30" t="n">
        <f aca="false">BN229+BO229-BP229</f>
        <v>0</v>
      </c>
      <c r="BR229" s="30" t="n">
        <f aca="false">BW228</f>
        <v>0</v>
      </c>
      <c r="BS229" s="30" t="n">
        <f aca="false">BR229*$BR$5/12</f>
        <v>0</v>
      </c>
      <c r="BT229" s="30" t="n">
        <f aca="false">MIN($BR$6,BR229+BS229)</f>
        <v>0</v>
      </c>
      <c r="BU229" s="30" t="n">
        <f aca="false">MAX(0,MIN(BL229,BR229+BS229-BT229))</f>
        <v>0</v>
      </c>
      <c r="BV229" s="29" t="n">
        <f aca="false">BL229-BU229</f>
        <v>690</v>
      </c>
      <c r="BW229" s="30" t="n">
        <f aca="false">BR229+BS229-BT229-BU229</f>
        <v>0</v>
      </c>
      <c r="BX229" s="30" t="n">
        <f aca="false">CA228</f>
        <v>0</v>
      </c>
      <c r="BY229" s="30" t="n">
        <f aca="false">BX229*$BR$5/12</f>
        <v>0</v>
      </c>
      <c r="BZ229" s="30" t="n">
        <f aca="false">MIN($BR$6,BX229+BY229)</f>
        <v>0</v>
      </c>
      <c r="CA229" s="30" t="n">
        <f aca="false">BX229+BY229-BZ229</f>
        <v>0</v>
      </c>
      <c r="CB229" s="30" t="n">
        <f aca="false">CG228</f>
        <v>0</v>
      </c>
      <c r="CC229" s="30" t="n">
        <f aca="false">CB229*$CB$5/12</f>
        <v>0</v>
      </c>
      <c r="CD229" s="30" t="n">
        <f aca="false">MIN($CB$6,CB229+CC229)</f>
        <v>0</v>
      </c>
      <c r="CE229" s="30" t="n">
        <f aca="false">MAX(0,MIN(BV229,CB229+CC229-CD229))</f>
        <v>0</v>
      </c>
      <c r="CF229" s="29" t="n">
        <f aca="false">BV229-CE229</f>
        <v>690</v>
      </c>
      <c r="CG229" s="30" t="n">
        <f aca="false">CB229+CC229-CD229-CE229</f>
        <v>0</v>
      </c>
      <c r="CH229" s="30" t="n">
        <f aca="false">CK228</f>
        <v>0</v>
      </c>
      <c r="CI229" s="30" t="n">
        <f aca="false">CH229*$CB$5/12</f>
        <v>0</v>
      </c>
      <c r="CJ229" s="30" t="n">
        <f aca="false">MIN($CB$6,CH229+CI229)</f>
        <v>0</v>
      </c>
      <c r="CK229" s="30" t="n">
        <f aca="false">CH229+CI229-CJ229</f>
        <v>0</v>
      </c>
    </row>
    <row r="230" customFormat="false" ht="15" hidden="false" customHeight="false" outlineLevel="0" collapsed="false">
      <c r="A230" s="0" t="n">
        <v>222</v>
      </c>
      <c r="B230" s="29" t="n">
        <f aca="false">'1 Your debts'!$B$16-(L230+V230+AF230+AP230+AZ230+BJ230+BT230+CD230)</f>
        <v>690</v>
      </c>
      <c r="C230" s="34" t="n">
        <f aca="false">O230+Y230+AI230+AS230+BC230+BM230+BW230+CG230</f>
        <v>0</v>
      </c>
      <c r="D230" s="34" t="n">
        <f aca="false">K230+U230+AE230+AO230+AY230+BI230+BS230+CC230</f>
        <v>0</v>
      </c>
      <c r="F230" s="34" t="n">
        <f aca="false">S230+AC230+AM230+AW230+BG230+BQ230+CA230+CK230</f>
        <v>0</v>
      </c>
      <c r="G230" s="34" t="n">
        <f aca="false">Q230+AA230+AK230+AU230+BE230+BO230+BY230+CI230</f>
        <v>0</v>
      </c>
      <c r="J230" s="34" t="n">
        <f aca="false">O229</f>
        <v>0</v>
      </c>
      <c r="K230" s="34" t="n">
        <f aca="false">J230*$J$5/12</f>
        <v>0</v>
      </c>
      <c r="L230" s="29" t="n">
        <f aca="false">MIN($J$6,J230+K230)</f>
        <v>0</v>
      </c>
      <c r="M230" s="30" t="n">
        <f aca="false">MAX(0,MIN($B230,J230+K230-L230))</f>
        <v>0</v>
      </c>
      <c r="N230" s="29" t="n">
        <f aca="false">$B230-M230</f>
        <v>690</v>
      </c>
      <c r="O230" s="34" t="n">
        <f aca="false">J230+K230-L230-M230</f>
        <v>0</v>
      </c>
      <c r="P230" s="34" t="n">
        <f aca="false">S229</f>
        <v>0</v>
      </c>
      <c r="Q230" s="34" t="n">
        <f aca="false">P230*$J$5/12</f>
        <v>0</v>
      </c>
      <c r="R230" s="29" t="n">
        <f aca="false">MIN($J$6,P230+Q230)</f>
        <v>0</v>
      </c>
      <c r="S230" s="34" t="n">
        <f aca="false">P230+Q230-R230</f>
        <v>0</v>
      </c>
      <c r="T230" s="34" t="n">
        <f aca="false">Y229</f>
        <v>0</v>
      </c>
      <c r="U230" s="34" t="n">
        <f aca="false">T230*$T$5/12</f>
        <v>0</v>
      </c>
      <c r="V230" s="29" t="n">
        <f aca="false">MIN($T$6,T230+U230)</f>
        <v>0</v>
      </c>
      <c r="W230" s="30" t="n">
        <f aca="false">MAX(0,MIN(N230,T230+U230-V230))</f>
        <v>0</v>
      </c>
      <c r="X230" s="29" t="n">
        <f aca="false">N230-W230</f>
        <v>690</v>
      </c>
      <c r="Y230" s="34" t="n">
        <f aca="false">T230+U230-V230-W230</f>
        <v>0</v>
      </c>
      <c r="Z230" s="34" t="n">
        <f aca="false">AC229</f>
        <v>0</v>
      </c>
      <c r="AA230" s="34" t="n">
        <f aca="false">Z230*$T$5/12</f>
        <v>0</v>
      </c>
      <c r="AB230" s="29" t="n">
        <f aca="false">MIN($T$6,Z230+AA230)</f>
        <v>0</v>
      </c>
      <c r="AC230" s="34" t="n">
        <f aca="false">Z230+AA230-AB230</f>
        <v>0</v>
      </c>
      <c r="AD230" s="34" t="n">
        <f aca="false">AI229</f>
        <v>0</v>
      </c>
      <c r="AE230" s="34" t="n">
        <f aca="false">AD230*$AD$5/12</f>
        <v>0</v>
      </c>
      <c r="AF230" s="29" t="n">
        <f aca="false">MIN($AD$6,AD230+AE230)</f>
        <v>0</v>
      </c>
      <c r="AG230" s="30" t="n">
        <f aca="false">MAX(0,MIN(X230,AD230+AE230-AF230))</f>
        <v>0</v>
      </c>
      <c r="AH230" s="29" t="n">
        <f aca="false">X230-AG230</f>
        <v>690</v>
      </c>
      <c r="AI230" s="34" t="n">
        <f aca="false">AD230+AE230-AF230-AG230</f>
        <v>0</v>
      </c>
      <c r="AJ230" s="34" t="n">
        <f aca="false">AM229</f>
        <v>0</v>
      </c>
      <c r="AK230" s="34" t="n">
        <f aca="false">AJ230*$AD$5/12</f>
        <v>0</v>
      </c>
      <c r="AL230" s="29" t="n">
        <f aca="false">MIN($AD$6,AJ230+AK230)</f>
        <v>0</v>
      </c>
      <c r="AM230" s="34" t="n">
        <f aca="false">AJ230+AK230-AL230</f>
        <v>0</v>
      </c>
      <c r="AN230" s="34" t="n">
        <f aca="false">AS229</f>
        <v>0</v>
      </c>
      <c r="AO230" s="34" t="n">
        <f aca="false">AN230*$AN$5/12</f>
        <v>0</v>
      </c>
      <c r="AP230" s="29" t="n">
        <f aca="false">MIN($AN$6,AN230+AO230)</f>
        <v>0</v>
      </c>
      <c r="AQ230" s="30" t="n">
        <f aca="false">MAX(0,MIN(AH230,AN230+AO230-AP230))</f>
        <v>0</v>
      </c>
      <c r="AR230" s="29" t="n">
        <f aca="false">AH230-AQ230</f>
        <v>690</v>
      </c>
      <c r="AS230" s="34" t="n">
        <f aca="false">AN230+AO230-AP230-AQ230</f>
        <v>0</v>
      </c>
      <c r="AT230" s="34" t="n">
        <f aca="false">AW229</f>
        <v>0</v>
      </c>
      <c r="AU230" s="34" t="n">
        <f aca="false">AT230*$AN$5/12</f>
        <v>0</v>
      </c>
      <c r="AV230" s="29" t="n">
        <f aca="false">MIN($AN$6,AT230+AU230)</f>
        <v>0</v>
      </c>
      <c r="AW230" s="34" t="n">
        <f aca="false">AT230+AU230-AV230</f>
        <v>0</v>
      </c>
      <c r="AX230" s="30" t="n">
        <f aca="false">BC229</f>
        <v>0</v>
      </c>
      <c r="AY230" s="30" t="n">
        <f aca="false">AX230*$AX$5/12</f>
        <v>0</v>
      </c>
      <c r="AZ230" s="30" t="n">
        <f aca="false">MIN($AX$6,AX230+AY230)</f>
        <v>0</v>
      </c>
      <c r="BA230" s="30" t="n">
        <f aca="false">MAX(0,MIN(AR230,AX230+AY230-AZ230))</f>
        <v>0</v>
      </c>
      <c r="BB230" s="29" t="n">
        <f aca="false">AR230-BA230</f>
        <v>690</v>
      </c>
      <c r="BC230" s="30" t="n">
        <f aca="false">AX230+AY230-AZ230-BA230</f>
        <v>0</v>
      </c>
      <c r="BD230" s="30" t="n">
        <f aca="false">BG229</f>
        <v>0</v>
      </c>
      <c r="BE230" s="30" t="n">
        <f aca="false">BD230*$AX$5/12</f>
        <v>0</v>
      </c>
      <c r="BF230" s="30" t="n">
        <f aca="false">MIN($AX$6,BD230+BE230)</f>
        <v>0</v>
      </c>
      <c r="BG230" s="30" t="n">
        <f aca="false">BD230+BE230-BF230</f>
        <v>0</v>
      </c>
      <c r="BH230" s="30" t="n">
        <f aca="false">BM229</f>
        <v>0</v>
      </c>
      <c r="BI230" s="30" t="n">
        <f aca="false">BH230*$BH$5/12</f>
        <v>0</v>
      </c>
      <c r="BJ230" s="30" t="n">
        <f aca="false">MIN($BH$6,BH230+BI230)</f>
        <v>0</v>
      </c>
      <c r="BK230" s="30" t="n">
        <f aca="false">MAX(0,MIN(BB230,BH230+BI230-BJ230))</f>
        <v>0</v>
      </c>
      <c r="BL230" s="29" t="n">
        <f aca="false">BB230-BK230</f>
        <v>690</v>
      </c>
      <c r="BM230" s="30" t="n">
        <f aca="false">BH230+BI230-BJ230-BK230</f>
        <v>0</v>
      </c>
      <c r="BN230" s="30" t="n">
        <f aca="false">BQ229</f>
        <v>0</v>
      </c>
      <c r="BO230" s="30" t="n">
        <f aca="false">BN230*$BH$5/12</f>
        <v>0</v>
      </c>
      <c r="BP230" s="30" t="n">
        <f aca="false">MIN($BH$6,BN230+BO230)</f>
        <v>0</v>
      </c>
      <c r="BQ230" s="30" t="n">
        <f aca="false">BN230+BO230-BP230</f>
        <v>0</v>
      </c>
      <c r="BR230" s="30" t="n">
        <f aca="false">BW229</f>
        <v>0</v>
      </c>
      <c r="BS230" s="30" t="n">
        <f aca="false">BR230*$BR$5/12</f>
        <v>0</v>
      </c>
      <c r="BT230" s="30" t="n">
        <f aca="false">MIN($BR$6,BR230+BS230)</f>
        <v>0</v>
      </c>
      <c r="BU230" s="30" t="n">
        <f aca="false">MAX(0,MIN(BL230,BR230+BS230-BT230))</f>
        <v>0</v>
      </c>
      <c r="BV230" s="29" t="n">
        <f aca="false">BL230-BU230</f>
        <v>690</v>
      </c>
      <c r="BW230" s="30" t="n">
        <f aca="false">BR230+BS230-BT230-BU230</f>
        <v>0</v>
      </c>
      <c r="BX230" s="30" t="n">
        <f aca="false">CA229</f>
        <v>0</v>
      </c>
      <c r="BY230" s="30" t="n">
        <f aca="false">BX230*$BR$5/12</f>
        <v>0</v>
      </c>
      <c r="BZ230" s="30" t="n">
        <f aca="false">MIN($BR$6,BX230+BY230)</f>
        <v>0</v>
      </c>
      <c r="CA230" s="30" t="n">
        <f aca="false">BX230+BY230-BZ230</f>
        <v>0</v>
      </c>
      <c r="CB230" s="30" t="n">
        <f aca="false">CG229</f>
        <v>0</v>
      </c>
      <c r="CC230" s="30" t="n">
        <f aca="false">CB230*$CB$5/12</f>
        <v>0</v>
      </c>
      <c r="CD230" s="30" t="n">
        <f aca="false">MIN($CB$6,CB230+CC230)</f>
        <v>0</v>
      </c>
      <c r="CE230" s="30" t="n">
        <f aca="false">MAX(0,MIN(BV230,CB230+CC230-CD230))</f>
        <v>0</v>
      </c>
      <c r="CF230" s="29" t="n">
        <f aca="false">BV230-CE230</f>
        <v>690</v>
      </c>
      <c r="CG230" s="30" t="n">
        <f aca="false">CB230+CC230-CD230-CE230</f>
        <v>0</v>
      </c>
      <c r="CH230" s="30" t="n">
        <f aca="false">CK229</f>
        <v>0</v>
      </c>
      <c r="CI230" s="30" t="n">
        <f aca="false">CH230*$CB$5/12</f>
        <v>0</v>
      </c>
      <c r="CJ230" s="30" t="n">
        <f aca="false">MIN($CB$6,CH230+CI230)</f>
        <v>0</v>
      </c>
      <c r="CK230" s="30" t="n">
        <f aca="false">CH230+CI230-CJ230</f>
        <v>0</v>
      </c>
    </row>
    <row r="231" customFormat="false" ht="15" hidden="false" customHeight="false" outlineLevel="0" collapsed="false">
      <c r="A231" s="0" t="n">
        <v>223</v>
      </c>
      <c r="B231" s="29" t="n">
        <f aca="false">'1 Your debts'!$B$16-(L231+V231+AF231+AP231+AZ231+BJ231+BT231+CD231)</f>
        <v>690</v>
      </c>
      <c r="C231" s="34" t="n">
        <f aca="false">O231+Y231+AI231+AS231+BC231+BM231+BW231+CG231</f>
        <v>0</v>
      </c>
      <c r="D231" s="34" t="n">
        <f aca="false">K231+U231+AE231+AO231+AY231+BI231+BS231+CC231</f>
        <v>0</v>
      </c>
      <c r="F231" s="34" t="n">
        <f aca="false">S231+AC231+AM231+AW231+BG231+BQ231+CA231+CK231</f>
        <v>0</v>
      </c>
      <c r="G231" s="34" t="n">
        <f aca="false">Q231+AA231+AK231+AU231+BE231+BO231+BY231+CI231</f>
        <v>0</v>
      </c>
      <c r="J231" s="34" t="n">
        <f aca="false">O230</f>
        <v>0</v>
      </c>
      <c r="K231" s="34" t="n">
        <f aca="false">J231*$J$5/12</f>
        <v>0</v>
      </c>
      <c r="L231" s="29" t="n">
        <f aca="false">MIN($J$6,J231+K231)</f>
        <v>0</v>
      </c>
      <c r="M231" s="30" t="n">
        <f aca="false">MAX(0,MIN($B231,J231+K231-L231))</f>
        <v>0</v>
      </c>
      <c r="N231" s="29" t="n">
        <f aca="false">$B231-M231</f>
        <v>690</v>
      </c>
      <c r="O231" s="34" t="n">
        <f aca="false">J231+K231-L231-M231</f>
        <v>0</v>
      </c>
      <c r="P231" s="34" t="n">
        <f aca="false">S230</f>
        <v>0</v>
      </c>
      <c r="Q231" s="34" t="n">
        <f aca="false">P231*$J$5/12</f>
        <v>0</v>
      </c>
      <c r="R231" s="29" t="n">
        <f aca="false">MIN($J$6,P231+Q231)</f>
        <v>0</v>
      </c>
      <c r="S231" s="34" t="n">
        <f aca="false">P231+Q231-R231</f>
        <v>0</v>
      </c>
      <c r="T231" s="34" t="n">
        <f aca="false">Y230</f>
        <v>0</v>
      </c>
      <c r="U231" s="34" t="n">
        <f aca="false">T231*$T$5/12</f>
        <v>0</v>
      </c>
      <c r="V231" s="29" t="n">
        <f aca="false">MIN($T$6,T231+U231)</f>
        <v>0</v>
      </c>
      <c r="W231" s="30" t="n">
        <f aca="false">MAX(0,MIN(N231,T231+U231-V231))</f>
        <v>0</v>
      </c>
      <c r="X231" s="29" t="n">
        <f aca="false">N231-W231</f>
        <v>690</v>
      </c>
      <c r="Y231" s="34" t="n">
        <f aca="false">T231+U231-V231-W231</f>
        <v>0</v>
      </c>
      <c r="Z231" s="34" t="n">
        <f aca="false">AC230</f>
        <v>0</v>
      </c>
      <c r="AA231" s="34" t="n">
        <f aca="false">Z231*$T$5/12</f>
        <v>0</v>
      </c>
      <c r="AB231" s="29" t="n">
        <f aca="false">MIN($T$6,Z231+AA231)</f>
        <v>0</v>
      </c>
      <c r="AC231" s="34" t="n">
        <f aca="false">Z231+AA231-AB231</f>
        <v>0</v>
      </c>
      <c r="AD231" s="34" t="n">
        <f aca="false">AI230</f>
        <v>0</v>
      </c>
      <c r="AE231" s="34" t="n">
        <f aca="false">AD231*$AD$5/12</f>
        <v>0</v>
      </c>
      <c r="AF231" s="29" t="n">
        <f aca="false">MIN($AD$6,AD231+AE231)</f>
        <v>0</v>
      </c>
      <c r="AG231" s="30" t="n">
        <f aca="false">MAX(0,MIN(X231,AD231+AE231-AF231))</f>
        <v>0</v>
      </c>
      <c r="AH231" s="29" t="n">
        <f aca="false">X231-AG231</f>
        <v>690</v>
      </c>
      <c r="AI231" s="34" t="n">
        <f aca="false">AD231+AE231-AF231-AG231</f>
        <v>0</v>
      </c>
      <c r="AJ231" s="34" t="n">
        <f aca="false">AM230</f>
        <v>0</v>
      </c>
      <c r="AK231" s="34" t="n">
        <f aca="false">AJ231*$AD$5/12</f>
        <v>0</v>
      </c>
      <c r="AL231" s="29" t="n">
        <f aca="false">MIN($AD$6,AJ231+AK231)</f>
        <v>0</v>
      </c>
      <c r="AM231" s="34" t="n">
        <f aca="false">AJ231+AK231-AL231</f>
        <v>0</v>
      </c>
      <c r="AN231" s="34" t="n">
        <f aca="false">AS230</f>
        <v>0</v>
      </c>
      <c r="AO231" s="34" t="n">
        <f aca="false">AN231*$AN$5/12</f>
        <v>0</v>
      </c>
      <c r="AP231" s="29" t="n">
        <f aca="false">MIN($AN$6,AN231+AO231)</f>
        <v>0</v>
      </c>
      <c r="AQ231" s="30" t="n">
        <f aca="false">MAX(0,MIN(AH231,AN231+AO231-AP231))</f>
        <v>0</v>
      </c>
      <c r="AR231" s="29" t="n">
        <f aca="false">AH231-AQ231</f>
        <v>690</v>
      </c>
      <c r="AS231" s="34" t="n">
        <f aca="false">AN231+AO231-AP231-AQ231</f>
        <v>0</v>
      </c>
      <c r="AT231" s="34" t="n">
        <f aca="false">AW230</f>
        <v>0</v>
      </c>
      <c r="AU231" s="34" t="n">
        <f aca="false">AT231*$AN$5/12</f>
        <v>0</v>
      </c>
      <c r="AV231" s="29" t="n">
        <f aca="false">MIN($AN$6,AT231+AU231)</f>
        <v>0</v>
      </c>
      <c r="AW231" s="34" t="n">
        <f aca="false">AT231+AU231-AV231</f>
        <v>0</v>
      </c>
      <c r="AX231" s="30" t="n">
        <f aca="false">BC230</f>
        <v>0</v>
      </c>
      <c r="AY231" s="30" t="n">
        <f aca="false">AX231*$AX$5/12</f>
        <v>0</v>
      </c>
      <c r="AZ231" s="30" t="n">
        <f aca="false">MIN($AX$6,AX231+AY231)</f>
        <v>0</v>
      </c>
      <c r="BA231" s="30" t="n">
        <f aca="false">MAX(0,MIN(AR231,AX231+AY231-AZ231))</f>
        <v>0</v>
      </c>
      <c r="BB231" s="29" t="n">
        <f aca="false">AR231-BA231</f>
        <v>690</v>
      </c>
      <c r="BC231" s="30" t="n">
        <f aca="false">AX231+AY231-AZ231-BA231</f>
        <v>0</v>
      </c>
      <c r="BD231" s="30" t="n">
        <f aca="false">BG230</f>
        <v>0</v>
      </c>
      <c r="BE231" s="30" t="n">
        <f aca="false">BD231*$AX$5/12</f>
        <v>0</v>
      </c>
      <c r="BF231" s="30" t="n">
        <f aca="false">MIN($AX$6,BD231+BE231)</f>
        <v>0</v>
      </c>
      <c r="BG231" s="30" t="n">
        <f aca="false">BD231+BE231-BF231</f>
        <v>0</v>
      </c>
      <c r="BH231" s="30" t="n">
        <f aca="false">BM230</f>
        <v>0</v>
      </c>
      <c r="BI231" s="30" t="n">
        <f aca="false">BH231*$BH$5/12</f>
        <v>0</v>
      </c>
      <c r="BJ231" s="30" t="n">
        <f aca="false">MIN($BH$6,BH231+BI231)</f>
        <v>0</v>
      </c>
      <c r="BK231" s="30" t="n">
        <f aca="false">MAX(0,MIN(BB231,BH231+BI231-BJ231))</f>
        <v>0</v>
      </c>
      <c r="BL231" s="29" t="n">
        <f aca="false">BB231-BK231</f>
        <v>690</v>
      </c>
      <c r="BM231" s="30" t="n">
        <f aca="false">BH231+BI231-BJ231-BK231</f>
        <v>0</v>
      </c>
      <c r="BN231" s="30" t="n">
        <f aca="false">BQ230</f>
        <v>0</v>
      </c>
      <c r="BO231" s="30" t="n">
        <f aca="false">BN231*$BH$5/12</f>
        <v>0</v>
      </c>
      <c r="BP231" s="30" t="n">
        <f aca="false">MIN($BH$6,BN231+BO231)</f>
        <v>0</v>
      </c>
      <c r="BQ231" s="30" t="n">
        <f aca="false">BN231+BO231-BP231</f>
        <v>0</v>
      </c>
      <c r="BR231" s="30" t="n">
        <f aca="false">BW230</f>
        <v>0</v>
      </c>
      <c r="BS231" s="30" t="n">
        <f aca="false">BR231*$BR$5/12</f>
        <v>0</v>
      </c>
      <c r="BT231" s="30" t="n">
        <f aca="false">MIN($BR$6,BR231+BS231)</f>
        <v>0</v>
      </c>
      <c r="BU231" s="30" t="n">
        <f aca="false">MAX(0,MIN(BL231,BR231+BS231-BT231))</f>
        <v>0</v>
      </c>
      <c r="BV231" s="29" t="n">
        <f aca="false">BL231-BU231</f>
        <v>690</v>
      </c>
      <c r="BW231" s="30" t="n">
        <f aca="false">BR231+BS231-BT231-BU231</f>
        <v>0</v>
      </c>
      <c r="BX231" s="30" t="n">
        <f aca="false">CA230</f>
        <v>0</v>
      </c>
      <c r="BY231" s="30" t="n">
        <f aca="false">BX231*$BR$5/12</f>
        <v>0</v>
      </c>
      <c r="BZ231" s="30" t="n">
        <f aca="false">MIN($BR$6,BX231+BY231)</f>
        <v>0</v>
      </c>
      <c r="CA231" s="30" t="n">
        <f aca="false">BX231+BY231-BZ231</f>
        <v>0</v>
      </c>
      <c r="CB231" s="30" t="n">
        <f aca="false">CG230</f>
        <v>0</v>
      </c>
      <c r="CC231" s="30" t="n">
        <f aca="false">CB231*$CB$5/12</f>
        <v>0</v>
      </c>
      <c r="CD231" s="30" t="n">
        <f aca="false">MIN($CB$6,CB231+CC231)</f>
        <v>0</v>
      </c>
      <c r="CE231" s="30" t="n">
        <f aca="false">MAX(0,MIN(BV231,CB231+CC231-CD231))</f>
        <v>0</v>
      </c>
      <c r="CF231" s="29" t="n">
        <f aca="false">BV231-CE231</f>
        <v>690</v>
      </c>
      <c r="CG231" s="30" t="n">
        <f aca="false">CB231+CC231-CD231-CE231</f>
        <v>0</v>
      </c>
      <c r="CH231" s="30" t="n">
        <f aca="false">CK230</f>
        <v>0</v>
      </c>
      <c r="CI231" s="30" t="n">
        <f aca="false">CH231*$CB$5/12</f>
        <v>0</v>
      </c>
      <c r="CJ231" s="30" t="n">
        <f aca="false">MIN($CB$6,CH231+CI231)</f>
        <v>0</v>
      </c>
      <c r="CK231" s="30" t="n">
        <f aca="false">CH231+CI231-CJ231</f>
        <v>0</v>
      </c>
    </row>
    <row r="232" customFormat="false" ht="15" hidden="false" customHeight="false" outlineLevel="0" collapsed="false">
      <c r="A232" s="0" t="n">
        <v>224</v>
      </c>
      <c r="B232" s="29" t="n">
        <f aca="false">'1 Your debts'!$B$16-(L232+V232+AF232+AP232+AZ232+BJ232+BT232+CD232)</f>
        <v>690</v>
      </c>
      <c r="C232" s="34" t="n">
        <f aca="false">O232+Y232+AI232+AS232+BC232+BM232+BW232+CG232</f>
        <v>0</v>
      </c>
      <c r="D232" s="34" t="n">
        <f aca="false">K232+U232+AE232+AO232+AY232+BI232+BS232+CC232</f>
        <v>0</v>
      </c>
      <c r="F232" s="34" t="n">
        <f aca="false">S232+AC232+AM232+AW232+BG232+BQ232+CA232+CK232</f>
        <v>0</v>
      </c>
      <c r="G232" s="34" t="n">
        <f aca="false">Q232+AA232+AK232+AU232+BE232+BO232+BY232+CI232</f>
        <v>0</v>
      </c>
      <c r="J232" s="34" t="n">
        <f aca="false">O231</f>
        <v>0</v>
      </c>
      <c r="K232" s="34" t="n">
        <f aca="false">J232*$J$5/12</f>
        <v>0</v>
      </c>
      <c r="L232" s="29" t="n">
        <f aca="false">MIN($J$6,J232+K232)</f>
        <v>0</v>
      </c>
      <c r="M232" s="30" t="n">
        <f aca="false">MAX(0,MIN($B232,J232+K232-L232))</f>
        <v>0</v>
      </c>
      <c r="N232" s="29" t="n">
        <f aca="false">$B232-M232</f>
        <v>690</v>
      </c>
      <c r="O232" s="34" t="n">
        <f aca="false">J232+K232-L232-M232</f>
        <v>0</v>
      </c>
      <c r="P232" s="34" t="n">
        <f aca="false">S231</f>
        <v>0</v>
      </c>
      <c r="Q232" s="34" t="n">
        <f aca="false">P232*$J$5/12</f>
        <v>0</v>
      </c>
      <c r="R232" s="29" t="n">
        <f aca="false">MIN($J$6,P232+Q232)</f>
        <v>0</v>
      </c>
      <c r="S232" s="34" t="n">
        <f aca="false">P232+Q232-R232</f>
        <v>0</v>
      </c>
      <c r="T232" s="34" t="n">
        <f aca="false">Y231</f>
        <v>0</v>
      </c>
      <c r="U232" s="34" t="n">
        <f aca="false">T232*$T$5/12</f>
        <v>0</v>
      </c>
      <c r="V232" s="29" t="n">
        <f aca="false">MIN($T$6,T232+U232)</f>
        <v>0</v>
      </c>
      <c r="W232" s="30" t="n">
        <f aca="false">MAX(0,MIN(N232,T232+U232-V232))</f>
        <v>0</v>
      </c>
      <c r="X232" s="29" t="n">
        <f aca="false">N232-W232</f>
        <v>690</v>
      </c>
      <c r="Y232" s="34" t="n">
        <f aca="false">T232+U232-V232-W232</f>
        <v>0</v>
      </c>
      <c r="Z232" s="34" t="n">
        <f aca="false">AC231</f>
        <v>0</v>
      </c>
      <c r="AA232" s="34" t="n">
        <f aca="false">Z232*$T$5/12</f>
        <v>0</v>
      </c>
      <c r="AB232" s="29" t="n">
        <f aca="false">MIN($T$6,Z232+AA232)</f>
        <v>0</v>
      </c>
      <c r="AC232" s="34" t="n">
        <f aca="false">Z232+AA232-AB232</f>
        <v>0</v>
      </c>
      <c r="AD232" s="34" t="n">
        <f aca="false">AI231</f>
        <v>0</v>
      </c>
      <c r="AE232" s="34" t="n">
        <f aca="false">AD232*$AD$5/12</f>
        <v>0</v>
      </c>
      <c r="AF232" s="29" t="n">
        <f aca="false">MIN($AD$6,AD232+AE232)</f>
        <v>0</v>
      </c>
      <c r="AG232" s="30" t="n">
        <f aca="false">MAX(0,MIN(X232,AD232+AE232-AF232))</f>
        <v>0</v>
      </c>
      <c r="AH232" s="29" t="n">
        <f aca="false">X232-AG232</f>
        <v>690</v>
      </c>
      <c r="AI232" s="34" t="n">
        <f aca="false">AD232+AE232-AF232-AG232</f>
        <v>0</v>
      </c>
      <c r="AJ232" s="34" t="n">
        <f aca="false">AM231</f>
        <v>0</v>
      </c>
      <c r="AK232" s="34" t="n">
        <f aca="false">AJ232*$AD$5/12</f>
        <v>0</v>
      </c>
      <c r="AL232" s="29" t="n">
        <f aca="false">MIN($AD$6,AJ232+AK232)</f>
        <v>0</v>
      </c>
      <c r="AM232" s="34" t="n">
        <f aca="false">AJ232+AK232-AL232</f>
        <v>0</v>
      </c>
      <c r="AN232" s="34" t="n">
        <f aca="false">AS231</f>
        <v>0</v>
      </c>
      <c r="AO232" s="34" t="n">
        <f aca="false">AN232*$AN$5/12</f>
        <v>0</v>
      </c>
      <c r="AP232" s="29" t="n">
        <f aca="false">MIN($AN$6,AN232+AO232)</f>
        <v>0</v>
      </c>
      <c r="AQ232" s="30" t="n">
        <f aca="false">MAX(0,MIN(AH232,AN232+AO232-AP232))</f>
        <v>0</v>
      </c>
      <c r="AR232" s="29" t="n">
        <f aca="false">AH232-AQ232</f>
        <v>690</v>
      </c>
      <c r="AS232" s="34" t="n">
        <f aca="false">AN232+AO232-AP232-AQ232</f>
        <v>0</v>
      </c>
      <c r="AT232" s="34" t="n">
        <f aca="false">AW231</f>
        <v>0</v>
      </c>
      <c r="AU232" s="34" t="n">
        <f aca="false">AT232*$AN$5/12</f>
        <v>0</v>
      </c>
      <c r="AV232" s="29" t="n">
        <f aca="false">MIN($AN$6,AT232+AU232)</f>
        <v>0</v>
      </c>
      <c r="AW232" s="34" t="n">
        <f aca="false">AT232+AU232-AV232</f>
        <v>0</v>
      </c>
      <c r="AX232" s="30" t="n">
        <f aca="false">BC231</f>
        <v>0</v>
      </c>
      <c r="AY232" s="30" t="n">
        <f aca="false">AX232*$AX$5/12</f>
        <v>0</v>
      </c>
      <c r="AZ232" s="30" t="n">
        <f aca="false">MIN($AX$6,AX232+AY232)</f>
        <v>0</v>
      </c>
      <c r="BA232" s="30" t="n">
        <f aca="false">MAX(0,MIN(AR232,AX232+AY232-AZ232))</f>
        <v>0</v>
      </c>
      <c r="BB232" s="29" t="n">
        <f aca="false">AR232-BA232</f>
        <v>690</v>
      </c>
      <c r="BC232" s="30" t="n">
        <f aca="false">AX232+AY232-AZ232-BA232</f>
        <v>0</v>
      </c>
      <c r="BD232" s="30" t="n">
        <f aca="false">BG231</f>
        <v>0</v>
      </c>
      <c r="BE232" s="30" t="n">
        <f aca="false">BD232*$AX$5/12</f>
        <v>0</v>
      </c>
      <c r="BF232" s="30" t="n">
        <f aca="false">MIN($AX$6,BD232+BE232)</f>
        <v>0</v>
      </c>
      <c r="BG232" s="30" t="n">
        <f aca="false">BD232+BE232-BF232</f>
        <v>0</v>
      </c>
      <c r="BH232" s="30" t="n">
        <f aca="false">BM231</f>
        <v>0</v>
      </c>
      <c r="BI232" s="30" t="n">
        <f aca="false">BH232*$BH$5/12</f>
        <v>0</v>
      </c>
      <c r="BJ232" s="30" t="n">
        <f aca="false">MIN($BH$6,BH232+BI232)</f>
        <v>0</v>
      </c>
      <c r="BK232" s="30" t="n">
        <f aca="false">MAX(0,MIN(BB232,BH232+BI232-BJ232))</f>
        <v>0</v>
      </c>
      <c r="BL232" s="29" t="n">
        <f aca="false">BB232-BK232</f>
        <v>690</v>
      </c>
      <c r="BM232" s="30" t="n">
        <f aca="false">BH232+BI232-BJ232-BK232</f>
        <v>0</v>
      </c>
      <c r="BN232" s="30" t="n">
        <f aca="false">BQ231</f>
        <v>0</v>
      </c>
      <c r="BO232" s="30" t="n">
        <f aca="false">BN232*$BH$5/12</f>
        <v>0</v>
      </c>
      <c r="BP232" s="30" t="n">
        <f aca="false">MIN($BH$6,BN232+BO232)</f>
        <v>0</v>
      </c>
      <c r="BQ232" s="30" t="n">
        <f aca="false">BN232+BO232-BP232</f>
        <v>0</v>
      </c>
      <c r="BR232" s="30" t="n">
        <f aca="false">BW231</f>
        <v>0</v>
      </c>
      <c r="BS232" s="30" t="n">
        <f aca="false">BR232*$BR$5/12</f>
        <v>0</v>
      </c>
      <c r="BT232" s="30" t="n">
        <f aca="false">MIN($BR$6,BR232+BS232)</f>
        <v>0</v>
      </c>
      <c r="BU232" s="30" t="n">
        <f aca="false">MAX(0,MIN(BL232,BR232+BS232-BT232))</f>
        <v>0</v>
      </c>
      <c r="BV232" s="29" t="n">
        <f aca="false">BL232-BU232</f>
        <v>690</v>
      </c>
      <c r="BW232" s="30" t="n">
        <f aca="false">BR232+BS232-BT232-BU232</f>
        <v>0</v>
      </c>
      <c r="BX232" s="30" t="n">
        <f aca="false">CA231</f>
        <v>0</v>
      </c>
      <c r="BY232" s="30" t="n">
        <f aca="false">BX232*$BR$5/12</f>
        <v>0</v>
      </c>
      <c r="BZ232" s="30" t="n">
        <f aca="false">MIN($BR$6,BX232+BY232)</f>
        <v>0</v>
      </c>
      <c r="CA232" s="30" t="n">
        <f aca="false">BX232+BY232-BZ232</f>
        <v>0</v>
      </c>
      <c r="CB232" s="30" t="n">
        <f aca="false">CG231</f>
        <v>0</v>
      </c>
      <c r="CC232" s="30" t="n">
        <f aca="false">CB232*$CB$5/12</f>
        <v>0</v>
      </c>
      <c r="CD232" s="30" t="n">
        <f aca="false">MIN($CB$6,CB232+CC232)</f>
        <v>0</v>
      </c>
      <c r="CE232" s="30" t="n">
        <f aca="false">MAX(0,MIN(BV232,CB232+CC232-CD232))</f>
        <v>0</v>
      </c>
      <c r="CF232" s="29" t="n">
        <f aca="false">BV232-CE232</f>
        <v>690</v>
      </c>
      <c r="CG232" s="30" t="n">
        <f aca="false">CB232+CC232-CD232-CE232</f>
        <v>0</v>
      </c>
      <c r="CH232" s="30" t="n">
        <f aca="false">CK231</f>
        <v>0</v>
      </c>
      <c r="CI232" s="30" t="n">
        <f aca="false">CH232*$CB$5/12</f>
        <v>0</v>
      </c>
      <c r="CJ232" s="30" t="n">
        <f aca="false">MIN($CB$6,CH232+CI232)</f>
        <v>0</v>
      </c>
      <c r="CK232" s="30" t="n">
        <f aca="false">CH232+CI232-CJ232</f>
        <v>0</v>
      </c>
    </row>
    <row r="233" customFormat="false" ht="15" hidden="false" customHeight="false" outlineLevel="0" collapsed="false">
      <c r="A233" s="0" t="n">
        <v>225</v>
      </c>
      <c r="B233" s="29" t="n">
        <f aca="false">'1 Your debts'!$B$16-(L233+V233+AF233+AP233+AZ233+BJ233+BT233+CD233)</f>
        <v>690</v>
      </c>
      <c r="C233" s="34" t="n">
        <f aca="false">O233+Y233+AI233+AS233+BC233+BM233+BW233+CG233</f>
        <v>0</v>
      </c>
      <c r="D233" s="34" t="n">
        <f aca="false">K233+U233+AE233+AO233+AY233+BI233+BS233+CC233</f>
        <v>0</v>
      </c>
      <c r="F233" s="34" t="n">
        <f aca="false">S233+AC233+AM233+AW233+BG233+BQ233+CA233+CK233</f>
        <v>0</v>
      </c>
      <c r="G233" s="34" t="n">
        <f aca="false">Q233+AA233+AK233+AU233+BE233+BO233+BY233+CI233</f>
        <v>0</v>
      </c>
      <c r="J233" s="34" t="n">
        <f aca="false">O232</f>
        <v>0</v>
      </c>
      <c r="K233" s="34" t="n">
        <f aca="false">J233*$J$5/12</f>
        <v>0</v>
      </c>
      <c r="L233" s="29" t="n">
        <f aca="false">MIN($J$6,J233+K233)</f>
        <v>0</v>
      </c>
      <c r="M233" s="30" t="n">
        <f aca="false">MAX(0,MIN($B233,J233+K233-L233))</f>
        <v>0</v>
      </c>
      <c r="N233" s="29" t="n">
        <f aca="false">$B233-M233</f>
        <v>690</v>
      </c>
      <c r="O233" s="34" t="n">
        <f aca="false">J233+K233-L233-M233</f>
        <v>0</v>
      </c>
      <c r="P233" s="34" t="n">
        <f aca="false">S232</f>
        <v>0</v>
      </c>
      <c r="Q233" s="34" t="n">
        <f aca="false">P233*$J$5/12</f>
        <v>0</v>
      </c>
      <c r="R233" s="29" t="n">
        <f aca="false">MIN($J$6,P233+Q233)</f>
        <v>0</v>
      </c>
      <c r="S233" s="34" t="n">
        <f aca="false">P233+Q233-R233</f>
        <v>0</v>
      </c>
      <c r="T233" s="34" t="n">
        <f aca="false">Y232</f>
        <v>0</v>
      </c>
      <c r="U233" s="34" t="n">
        <f aca="false">T233*$T$5/12</f>
        <v>0</v>
      </c>
      <c r="V233" s="29" t="n">
        <f aca="false">MIN($T$6,T233+U233)</f>
        <v>0</v>
      </c>
      <c r="W233" s="30" t="n">
        <f aca="false">MAX(0,MIN(N233,T233+U233-V233))</f>
        <v>0</v>
      </c>
      <c r="X233" s="29" t="n">
        <f aca="false">N233-W233</f>
        <v>690</v>
      </c>
      <c r="Y233" s="34" t="n">
        <f aca="false">T233+U233-V233-W233</f>
        <v>0</v>
      </c>
      <c r="Z233" s="34" t="n">
        <f aca="false">AC232</f>
        <v>0</v>
      </c>
      <c r="AA233" s="34" t="n">
        <f aca="false">Z233*$T$5/12</f>
        <v>0</v>
      </c>
      <c r="AB233" s="29" t="n">
        <f aca="false">MIN($T$6,Z233+AA233)</f>
        <v>0</v>
      </c>
      <c r="AC233" s="34" t="n">
        <f aca="false">Z233+AA233-AB233</f>
        <v>0</v>
      </c>
      <c r="AD233" s="34" t="n">
        <f aca="false">AI232</f>
        <v>0</v>
      </c>
      <c r="AE233" s="34" t="n">
        <f aca="false">AD233*$AD$5/12</f>
        <v>0</v>
      </c>
      <c r="AF233" s="29" t="n">
        <f aca="false">MIN($AD$6,AD233+AE233)</f>
        <v>0</v>
      </c>
      <c r="AG233" s="30" t="n">
        <f aca="false">MAX(0,MIN(X233,AD233+AE233-AF233))</f>
        <v>0</v>
      </c>
      <c r="AH233" s="29" t="n">
        <f aca="false">X233-AG233</f>
        <v>690</v>
      </c>
      <c r="AI233" s="34" t="n">
        <f aca="false">AD233+AE233-AF233-AG233</f>
        <v>0</v>
      </c>
      <c r="AJ233" s="34" t="n">
        <f aca="false">AM232</f>
        <v>0</v>
      </c>
      <c r="AK233" s="34" t="n">
        <f aca="false">AJ233*$AD$5/12</f>
        <v>0</v>
      </c>
      <c r="AL233" s="29" t="n">
        <f aca="false">MIN($AD$6,AJ233+AK233)</f>
        <v>0</v>
      </c>
      <c r="AM233" s="34" t="n">
        <f aca="false">AJ233+AK233-AL233</f>
        <v>0</v>
      </c>
      <c r="AN233" s="34" t="n">
        <f aca="false">AS232</f>
        <v>0</v>
      </c>
      <c r="AO233" s="34" t="n">
        <f aca="false">AN233*$AN$5/12</f>
        <v>0</v>
      </c>
      <c r="AP233" s="29" t="n">
        <f aca="false">MIN($AN$6,AN233+AO233)</f>
        <v>0</v>
      </c>
      <c r="AQ233" s="30" t="n">
        <f aca="false">MAX(0,MIN(AH233,AN233+AO233-AP233))</f>
        <v>0</v>
      </c>
      <c r="AR233" s="29" t="n">
        <f aca="false">AH233-AQ233</f>
        <v>690</v>
      </c>
      <c r="AS233" s="34" t="n">
        <f aca="false">AN233+AO233-AP233-AQ233</f>
        <v>0</v>
      </c>
      <c r="AT233" s="34" t="n">
        <f aca="false">AW232</f>
        <v>0</v>
      </c>
      <c r="AU233" s="34" t="n">
        <f aca="false">AT233*$AN$5/12</f>
        <v>0</v>
      </c>
      <c r="AV233" s="29" t="n">
        <f aca="false">MIN($AN$6,AT233+AU233)</f>
        <v>0</v>
      </c>
      <c r="AW233" s="34" t="n">
        <f aca="false">AT233+AU233-AV233</f>
        <v>0</v>
      </c>
      <c r="AX233" s="30" t="n">
        <f aca="false">BC232</f>
        <v>0</v>
      </c>
      <c r="AY233" s="30" t="n">
        <f aca="false">AX233*$AX$5/12</f>
        <v>0</v>
      </c>
      <c r="AZ233" s="30" t="n">
        <f aca="false">MIN($AX$6,AX233+AY233)</f>
        <v>0</v>
      </c>
      <c r="BA233" s="30" t="n">
        <f aca="false">MAX(0,MIN(AR233,AX233+AY233-AZ233))</f>
        <v>0</v>
      </c>
      <c r="BB233" s="29" t="n">
        <f aca="false">AR233-BA233</f>
        <v>690</v>
      </c>
      <c r="BC233" s="30" t="n">
        <f aca="false">AX233+AY233-AZ233-BA233</f>
        <v>0</v>
      </c>
      <c r="BD233" s="30" t="n">
        <f aca="false">BG232</f>
        <v>0</v>
      </c>
      <c r="BE233" s="30" t="n">
        <f aca="false">BD233*$AX$5/12</f>
        <v>0</v>
      </c>
      <c r="BF233" s="30" t="n">
        <f aca="false">MIN($AX$6,BD233+BE233)</f>
        <v>0</v>
      </c>
      <c r="BG233" s="30" t="n">
        <f aca="false">BD233+BE233-BF233</f>
        <v>0</v>
      </c>
      <c r="BH233" s="30" t="n">
        <f aca="false">BM232</f>
        <v>0</v>
      </c>
      <c r="BI233" s="30" t="n">
        <f aca="false">BH233*$BH$5/12</f>
        <v>0</v>
      </c>
      <c r="BJ233" s="30" t="n">
        <f aca="false">MIN($BH$6,BH233+BI233)</f>
        <v>0</v>
      </c>
      <c r="BK233" s="30" t="n">
        <f aca="false">MAX(0,MIN(BB233,BH233+BI233-BJ233))</f>
        <v>0</v>
      </c>
      <c r="BL233" s="29" t="n">
        <f aca="false">BB233-BK233</f>
        <v>690</v>
      </c>
      <c r="BM233" s="30" t="n">
        <f aca="false">BH233+BI233-BJ233-BK233</f>
        <v>0</v>
      </c>
      <c r="BN233" s="30" t="n">
        <f aca="false">BQ232</f>
        <v>0</v>
      </c>
      <c r="BO233" s="30" t="n">
        <f aca="false">BN233*$BH$5/12</f>
        <v>0</v>
      </c>
      <c r="BP233" s="30" t="n">
        <f aca="false">MIN($BH$6,BN233+BO233)</f>
        <v>0</v>
      </c>
      <c r="BQ233" s="30" t="n">
        <f aca="false">BN233+BO233-BP233</f>
        <v>0</v>
      </c>
      <c r="BR233" s="30" t="n">
        <f aca="false">BW232</f>
        <v>0</v>
      </c>
      <c r="BS233" s="30" t="n">
        <f aca="false">BR233*$BR$5/12</f>
        <v>0</v>
      </c>
      <c r="BT233" s="30" t="n">
        <f aca="false">MIN($BR$6,BR233+BS233)</f>
        <v>0</v>
      </c>
      <c r="BU233" s="30" t="n">
        <f aca="false">MAX(0,MIN(BL233,BR233+BS233-BT233))</f>
        <v>0</v>
      </c>
      <c r="BV233" s="29" t="n">
        <f aca="false">BL233-BU233</f>
        <v>690</v>
      </c>
      <c r="BW233" s="30" t="n">
        <f aca="false">BR233+BS233-BT233-BU233</f>
        <v>0</v>
      </c>
      <c r="BX233" s="30" t="n">
        <f aca="false">CA232</f>
        <v>0</v>
      </c>
      <c r="BY233" s="30" t="n">
        <f aca="false">BX233*$BR$5/12</f>
        <v>0</v>
      </c>
      <c r="BZ233" s="30" t="n">
        <f aca="false">MIN($BR$6,BX233+BY233)</f>
        <v>0</v>
      </c>
      <c r="CA233" s="30" t="n">
        <f aca="false">BX233+BY233-BZ233</f>
        <v>0</v>
      </c>
      <c r="CB233" s="30" t="n">
        <f aca="false">CG232</f>
        <v>0</v>
      </c>
      <c r="CC233" s="30" t="n">
        <f aca="false">CB233*$CB$5/12</f>
        <v>0</v>
      </c>
      <c r="CD233" s="30" t="n">
        <f aca="false">MIN($CB$6,CB233+CC233)</f>
        <v>0</v>
      </c>
      <c r="CE233" s="30" t="n">
        <f aca="false">MAX(0,MIN(BV233,CB233+CC233-CD233))</f>
        <v>0</v>
      </c>
      <c r="CF233" s="29" t="n">
        <f aca="false">BV233-CE233</f>
        <v>690</v>
      </c>
      <c r="CG233" s="30" t="n">
        <f aca="false">CB233+CC233-CD233-CE233</f>
        <v>0</v>
      </c>
      <c r="CH233" s="30" t="n">
        <f aca="false">CK232</f>
        <v>0</v>
      </c>
      <c r="CI233" s="30" t="n">
        <f aca="false">CH233*$CB$5/12</f>
        <v>0</v>
      </c>
      <c r="CJ233" s="30" t="n">
        <f aca="false">MIN($CB$6,CH233+CI233)</f>
        <v>0</v>
      </c>
      <c r="CK233" s="30" t="n">
        <f aca="false">CH233+CI233-CJ233</f>
        <v>0</v>
      </c>
    </row>
    <row r="234" customFormat="false" ht="15" hidden="false" customHeight="false" outlineLevel="0" collapsed="false">
      <c r="A234" s="0" t="n">
        <v>226</v>
      </c>
      <c r="B234" s="29" t="n">
        <f aca="false">'1 Your debts'!$B$16-(L234+V234+AF234+AP234+AZ234+BJ234+BT234+CD234)</f>
        <v>690</v>
      </c>
      <c r="C234" s="34" t="n">
        <f aca="false">O234+Y234+AI234+AS234+BC234+BM234+BW234+CG234</f>
        <v>0</v>
      </c>
      <c r="D234" s="34" t="n">
        <f aca="false">K234+U234+AE234+AO234+AY234+BI234+BS234+CC234</f>
        <v>0</v>
      </c>
      <c r="F234" s="34" t="n">
        <f aca="false">S234+AC234+AM234+AW234+BG234+BQ234+CA234+CK234</f>
        <v>0</v>
      </c>
      <c r="G234" s="34" t="n">
        <f aca="false">Q234+AA234+AK234+AU234+BE234+BO234+BY234+CI234</f>
        <v>0</v>
      </c>
      <c r="J234" s="34" t="n">
        <f aca="false">O233</f>
        <v>0</v>
      </c>
      <c r="K234" s="34" t="n">
        <f aca="false">J234*$J$5/12</f>
        <v>0</v>
      </c>
      <c r="L234" s="29" t="n">
        <f aca="false">MIN($J$6,J234+K234)</f>
        <v>0</v>
      </c>
      <c r="M234" s="30" t="n">
        <f aca="false">MAX(0,MIN($B234,J234+K234-L234))</f>
        <v>0</v>
      </c>
      <c r="N234" s="29" t="n">
        <f aca="false">$B234-M234</f>
        <v>690</v>
      </c>
      <c r="O234" s="34" t="n">
        <f aca="false">J234+K234-L234-M234</f>
        <v>0</v>
      </c>
      <c r="P234" s="34" t="n">
        <f aca="false">S233</f>
        <v>0</v>
      </c>
      <c r="Q234" s="34" t="n">
        <f aca="false">P234*$J$5/12</f>
        <v>0</v>
      </c>
      <c r="R234" s="29" t="n">
        <f aca="false">MIN($J$6,P234+Q234)</f>
        <v>0</v>
      </c>
      <c r="S234" s="34" t="n">
        <f aca="false">P234+Q234-R234</f>
        <v>0</v>
      </c>
      <c r="T234" s="34" t="n">
        <f aca="false">Y233</f>
        <v>0</v>
      </c>
      <c r="U234" s="34" t="n">
        <f aca="false">T234*$T$5/12</f>
        <v>0</v>
      </c>
      <c r="V234" s="29" t="n">
        <f aca="false">MIN($T$6,T234+U234)</f>
        <v>0</v>
      </c>
      <c r="W234" s="30" t="n">
        <f aca="false">MAX(0,MIN(N234,T234+U234-V234))</f>
        <v>0</v>
      </c>
      <c r="X234" s="29" t="n">
        <f aca="false">N234-W234</f>
        <v>690</v>
      </c>
      <c r="Y234" s="34" t="n">
        <f aca="false">T234+U234-V234-W234</f>
        <v>0</v>
      </c>
      <c r="Z234" s="34" t="n">
        <f aca="false">AC233</f>
        <v>0</v>
      </c>
      <c r="AA234" s="34" t="n">
        <f aca="false">Z234*$T$5/12</f>
        <v>0</v>
      </c>
      <c r="AB234" s="29" t="n">
        <f aca="false">MIN($T$6,Z234+AA234)</f>
        <v>0</v>
      </c>
      <c r="AC234" s="34" t="n">
        <f aca="false">Z234+AA234-AB234</f>
        <v>0</v>
      </c>
      <c r="AD234" s="34" t="n">
        <f aca="false">AI233</f>
        <v>0</v>
      </c>
      <c r="AE234" s="34" t="n">
        <f aca="false">AD234*$AD$5/12</f>
        <v>0</v>
      </c>
      <c r="AF234" s="29" t="n">
        <f aca="false">MIN($AD$6,AD234+AE234)</f>
        <v>0</v>
      </c>
      <c r="AG234" s="30" t="n">
        <f aca="false">MAX(0,MIN(X234,AD234+AE234-AF234))</f>
        <v>0</v>
      </c>
      <c r="AH234" s="29" t="n">
        <f aca="false">X234-AG234</f>
        <v>690</v>
      </c>
      <c r="AI234" s="34" t="n">
        <f aca="false">AD234+AE234-AF234-AG234</f>
        <v>0</v>
      </c>
      <c r="AJ234" s="34" t="n">
        <f aca="false">AM233</f>
        <v>0</v>
      </c>
      <c r="AK234" s="34" t="n">
        <f aca="false">AJ234*$AD$5/12</f>
        <v>0</v>
      </c>
      <c r="AL234" s="29" t="n">
        <f aca="false">MIN($AD$6,AJ234+AK234)</f>
        <v>0</v>
      </c>
      <c r="AM234" s="34" t="n">
        <f aca="false">AJ234+AK234-AL234</f>
        <v>0</v>
      </c>
      <c r="AN234" s="34" t="n">
        <f aca="false">AS233</f>
        <v>0</v>
      </c>
      <c r="AO234" s="34" t="n">
        <f aca="false">AN234*$AN$5/12</f>
        <v>0</v>
      </c>
      <c r="AP234" s="29" t="n">
        <f aca="false">MIN($AN$6,AN234+AO234)</f>
        <v>0</v>
      </c>
      <c r="AQ234" s="30" t="n">
        <f aca="false">MAX(0,MIN(AH234,AN234+AO234-AP234))</f>
        <v>0</v>
      </c>
      <c r="AR234" s="29" t="n">
        <f aca="false">AH234-AQ234</f>
        <v>690</v>
      </c>
      <c r="AS234" s="34" t="n">
        <f aca="false">AN234+AO234-AP234-AQ234</f>
        <v>0</v>
      </c>
      <c r="AT234" s="34" t="n">
        <f aca="false">AW233</f>
        <v>0</v>
      </c>
      <c r="AU234" s="34" t="n">
        <f aca="false">AT234*$AN$5/12</f>
        <v>0</v>
      </c>
      <c r="AV234" s="29" t="n">
        <f aca="false">MIN($AN$6,AT234+AU234)</f>
        <v>0</v>
      </c>
      <c r="AW234" s="34" t="n">
        <f aca="false">AT234+AU234-AV234</f>
        <v>0</v>
      </c>
      <c r="AX234" s="30" t="n">
        <f aca="false">BC233</f>
        <v>0</v>
      </c>
      <c r="AY234" s="30" t="n">
        <f aca="false">AX234*$AX$5/12</f>
        <v>0</v>
      </c>
      <c r="AZ234" s="30" t="n">
        <f aca="false">MIN($AX$6,AX234+AY234)</f>
        <v>0</v>
      </c>
      <c r="BA234" s="30" t="n">
        <f aca="false">MAX(0,MIN(AR234,AX234+AY234-AZ234))</f>
        <v>0</v>
      </c>
      <c r="BB234" s="29" t="n">
        <f aca="false">AR234-BA234</f>
        <v>690</v>
      </c>
      <c r="BC234" s="30" t="n">
        <f aca="false">AX234+AY234-AZ234-BA234</f>
        <v>0</v>
      </c>
      <c r="BD234" s="30" t="n">
        <f aca="false">BG233</f>
        <v>0</v>
      </c>
      <c r="BE234" s="30" t="n">
        <f aca="false">BD234*$AX$5/12</f>
        <v>0</v>
      </c>
      <c r="BF234" s="30" t="n">
        <f aca="false">MIN($AX$6,BD234+BE234)</f>
        <v>0</v>
      </c>
      <c r="BG234" s="30" t="n">
        <f aca="false">BD234+BE234-BF234</f>
        <v>0</v>
      </c>
      <c r="BH234" s="30" t="n">
        <f aca="false">BM233</f>
        <v>0</v>
      </c>
      <c r="BI234" s="30" t="n">
        <f aca="false">BH234*$BH$5/12</f>
        <v>0</v>
      </c>
      <c r="BJ234" s="30" t="n">
        <f aca="false">MIN($BH$6,BH234+BI234)</f>
        <v>0</v>
      </c>
      <c r="BK234" s="30" t="n">
        <f aca="false">MAX(0,MIN(BB234,BH234+BI234-BJ234))</f>
        <v>0</v>
      </c>
      <c r="BL234" s="29" t="n">
        <f aca="false">BB234-BK234</f>
        <v>690</v>
      </c>
      <c r="BM234" s="30" t="n">
        <f aca="false">BH234+BI234-BJ234-BK234</f>
        <v>0</v>
      </c>
      <c r="BN234" s="30" t="n">
        <f aca="false">BQ233</f>
        <v>0</v>
      </c>
      <c r="BO234" s="30" t="n">
        <f aca="false">BN234*$BH$5/12</f>
        <v>0</v>
      </c>
      <c r="BP234" s="30" t="n">
        <f aca="false">MIN($BH$6,BN234+BO234)</f>
        <v>0</v>
      </c>
      <c r="BQ234" s="30" t="n">
        <f aca="false">BN234+BO234-BP234</f>
        <v>0</v>
      </c>
      <c r="BR234" s="30" t="n">
        <f aca="false">BW233</f>
        <v>0</v>
      </c>
      <c r="BS234" s="30" t="n">
        <f aca="false">BR234*$BR$5/12</f>
        <v>0</v>
      </c>
      <c r="BT234" s="30" t="n">
        <f aca="false">MIN($BR$6,BR234+BS234)</f>
        <v>0</v>
      </c>
      <c r="BU234" s="30" t="n">
        <f aca="false">MAX(0,MIN(BL234,BR234+BS234-BT234))</f>
        <v>0</v>
      </c>
      <c r="BV234" s="29" t="n">
        <f aca="false">BL234-BU234</f>
        <v>690</v>
      </c>
      <c r="BW234" s="30" t="n">
        <f aca="false">BR234+BS234-BT234-BU234</f>
        <v>0</v>
      </c>
      <c r="BX234" s="30" t="n">
        <f aca="false">CA233</f>
        <v>0</v>
      </c>
      <c r="BY234" s="30" t="n">
        <f aca="false">BX234*$BR$5/12</f>
        <v>0</v>
      </c>
      <c r="BZ234" s="30" t="n">
        <f aca="false">MIN($BR$6,BX234+BY234)</f>
        <v>0</v>
      </c>
      <c r="CA234" s="30" t="n">
        <f aca="false">BX234+BY234-BZ234</f>
        <v>0</v>
      </c>
      <c r="CB234" s="30" t="n">
        <f aca="false">CG233</f>
        <v>0</v>
      </c>
      <c r="CC234" s="30" t="n">
        <f aca="false">CB234*$CB$5/12</f>
        <v>0</v>
      </c>
      <c r="CD234" s="30" t="n">
        <f aca="false">MIN($CB$6,CB234+CC234)</f>
        <v>0</v>
      </c>
      <c r="CE234" s="30" t="n">
        <f aca="false">MAX(0,MIN(BV234,CB234+CC234-CD234))</f>
        <v>0</v>
      </c>
      <c r="CF234" s="29" t="n">
        <f aca="false">BV234-CE234</f>
        <v>690</v>
      </c>
      <c r="CG234" s="30" t="n">
        <f aca="false">CB234+CC234-CD234-CE234</f>
        <v>0</v>
      </c>
      <c r="CH234" s="30" t="n">
        <f aca="false">CK233</f>
        <v>0</v>
      </c>
      <c r="CI234" s="30" t="n">
        <f aca="false">CH234*$CB$5/12</f>
        <v>0</v>
      </c>
      <c r="CJ234" s="30" t="n">
        <f aca="false">MIN($CB$6,CH234+CI234)</f>
        <v>0</v>
      </c>
      <c r="CK234" s="30" t="n">
        <f aca="false">CH234+CI234-CJ234</f>
        <v>0</v>
      </c>
    </row>
    <row r="235" customFormat="false" ht="15" hidden="false" customHeight="false" outlineLevel="0" collapsed="false">
      <c r="A235" s="0" t="n">
        <v>227</v>
      </c>
      <c r="B235" s="29" t="n">
        <f aca="false">'1 Your debts'!$B$16-(L235+V235+AF235+AP235+AZ235+BJ235+BT235+CD235)</f>
        <v>690</v>
      </c>
      <c r="C235" s="34" t="n">
        <f aca="false">O235+Y235+AI235+AS235+BC235+BM235+BW235+CG235</f>
        <v>0</v>
      </c>
      <c r="D235" s="34" t="n">
        <f aca="false">K235+U235+AE235+AO235+AY235+BI235+BS235+CC235</f>
        <v>0</v>
      </c>
      <c r="F235" s="34" t="n">
        <f aca="false">S235+AC235+AM235+AW235+BG235+BQ235+CA235+CK235</f>
        <v>0</v>
      </c>
      <c r="G235" s="34" t="n">
        <f aca="false">Q235+AA235+AK235+AU235+BE235+BO235+BY235+CI235</f>
        <v>0</v>
      </c>
      <c r="J235" s="34" t="n">
        <f aca="false">O234</f>
        <v>0</v>
      </c>
      <c r="K235" s="34" t="n">
        <f aca="false">J235*$J$5/12</f>
        <v>0</v>
      </c>
      <c r="L235" s="29" t="n">
        <f aca="false">MIN($J$6,J235+K235)</f>
        <v>0</v>
      </c>
      <c r="M235" s="30" t="n">
        <f aca="false">MAX(0,MIN($B235,J235+K235-L235))</f>
        <v>0</v>
      </c>
      <c r="N235" s="29" t="n">
        <f aca="false">$B235-M235</f>
        <v>690</v>
      </c>
      <c r="O235" s="34" t="n">
        <f aca="false">J235+K235-L235-M235</f>
        <v>0</v>
      </c>
      <c r="P235" s="34" t="n">
        <f aca="false">S234</f>
        <v>0</v>
      </c>
      <c r="Q235" s="34" t="n">
        <f aca="false">P235*$J$5/12</f>
        <v>0</v>
      </c>
      <c r="R235" s="29" t="n">
        <f aca="false">MIN($J$6,P235+Q235)</f>
        <v>0</v>
      </c>
      <c r="S235" s="34" t="n">
        <f aca="false">P235+Q235-R235</f>
        <v>0</v>
      </c>
      <c r="T235" s="34" t="n">
        <f aca="false">Y234</f>
        <v>0</v>
      </c>
      <c r="U235" s="34" t="n">
        <f aca="false">T235*$T$5/12</f>
        <v>0</v>
      </c>
      <c r="V235" s="29" t="n">
        <f aca="false">MIN($T$6,T235+U235)</f>
        <v>0</v>
      </c>
      <c r="W235" s="30" t="n">
        <f aca="false">MAX(0,MIN(N235,T235+U235-V235))</f>
        <v>0</v>
      </c>
      <c r="X235" s="29" t="n">
        <f aca="false">N235-W235</f>
        <v>690</v>
      </c>
      <c r="Y235" s="34" t="n">
        <f aca="false">T235+U235-V235-W235</f>
        <v>0</v>
      </c>
      <c r="Z235" s="34" t="n">
        <f aca="false">AC234</f>
        <v>0</v>
      </c>
      <c r="AA235" s="34" t="n">
        <f aca="false">Z235*$T$5/12</f>
        <v>0</v>
      </c>
      <c r="AB235" s="29" t="n">
        <f aca="false">MIN($T$6,Z235+AA235)</f>
        <v>0</v>
      </c>
      <c r="AC235" s="34" t="n">
        <f aca="false">Z235+AA235-AB235</f>
        <v>0</v>
      </c>
      <c r="AD235" s="34" t="n">
        <f aca="false">AI234</f>
        <v>0</v>
      </c>
      <c r="AE235" s="34" t="n">
        <f aca="false">AD235*$AD$5/12</f>
        <v>0</v>
      </c>
      <c r="AF235" s="29" t="n">
        <f aca="false">MIN($AD$6,AD235+AE235)</f>
        <v>0</v>
      </c>
      <c r="AG235" s="30" t="n">
        <f aca="false">MAX(0,MIN(X235,AD235+AE235-AF235))</f>
        <v>0</v>
      </c>
      <c r="AH235" s="29" t="n">
        <f aca="false">X235-AG235</f>
        <v>690</v>
      </c>
      <c r="AI235" s="34" t="n">
        <f aca="false">AD235+AE235-AF235-AG235</f>
        <v>0</v>
      </c>
      <c r="AJ235" s="34" t="n">
        <f aca="false">AM234</f>
        <v>0</v>
      </c>
      <c r="AK235" s="34" t="n">
        <f aca="false">AJ235*$AD$5/12</f>
        <v>0</v>
      </c>
      <c r="AL235" s="29" t="n">
        <f aca="false">MIN($AD$6,AJ235+AK235)</f>
        <v>0</v>
      </c>
      <c r="AM235" s="34" t="n">
        <f aca="false">AJ235+AK235-AL235</f>
        <v>0</v>
      </c>
      <c r="AN235" s="34" t="n">
        <f aca="false">AS234</f>
        <v>0</v>
      </c>
      <c r="AO235" s="34" t="n">
        <f aca="false">AN235*$AN$5/12</f>
        <v>0</v>
      </c>
      <c r="AP235" s="29" t="n">
        <f aca="false">MIN($AN$6,AN235+AO235)</f>
        <v>0</v>
      </c>
      <c r="AQ235" s="30" t="n">
        <f aca="false">MAX(0,MIN(AH235,AN235+AO235-AP235))</f>
        <v>0</v>
      </c>
      <c r="AR235" s="29" t="n">
        <f aca="false">AH235-AQ235</f>
        <v>690</v>
      </c>
      <c r="AS235" s="34" t="n">
        <f aca="false">AN235+AO235-AP235-AQ235</f>
        <v>0</v>
      </c>
      <c r="AT235" s="34" t="n">
        <f aca="false">AW234</f>
        <v>0</v>
      </c>
      <c r="AU235" s="34" t="n">
        <f aca="false">AT235*$AN$5/12</f>
        <v>0</v>
      </c>
      <c r="AV235" s="29" t="n">
        <f aca="false">MIN($AN$6,AT235+AU235)</f>
        <v>0</v>
      </c>
      <c r="AW235" s="34" t="n">
        <f aca="false">AT235+AU235-AV235</f>
        <v>0</v>
      </c>
      <c r="AX235" s="30" t="n">
        <f aca="false">BC234</f>
        <v>0</v>
      </c>
      <c r="AY235" s="30" t="n">
        <f aca="false">AX235*$AX$5/12</f>
        <v>0</v>
      </c>
      <c r="AZ235" s="30" t="n">
        <f aca="false">MIN($AX$6,AX235+AY235)</f>
        <v>0</v>
      </c>
      <c r="BA235" s="30" t="n">
        <f aca="false">MAX(0,MIN(AR235,AX235+AY235-AZ235))</f>
        <v>0</v>
      </c>
      <c r="BB235" s="29" t="n">
        <f aca="false">AR235-BA235</f>
        <v>690</v>
      </c>
      <c r="BC235" s="30" t="n">
        <f aca="false">AX235+AY235-AZ235-BA235</f>
        <v>0</v>
      </c>
      <c r="BD235" s="30" t="n">
        <f aca="false">BG234</f>
        <v>0</v>
      </c>
      <c r="BE235" s="30" t="n">
        <f aca="false">BD235*$AX$5/12</f>
        <v>0</v>
      </c>
      <c r="BF235" s="30" t="n">
        <f aca="false">MIN($AX$6,BD235+BE235)</f>
        <v>0</v>
      </c>
      <c r="BG235" s="30" t="n">
        <f aca="false">BD235+BE235-BF235</f>
        <v>0</v>
      </c>
      <c r="BH235" s="30" t="n">
        <f aca="false">BM234</f>
        <v>0</v>
      </c>
      <c r="BI235" s="30" t="n">
        <f aca="false">BH235*$BH$5/12</f>
        <v>0</v>
      </c>
      <c r="BJ235" s="30" t="n">
        <f aca="false">MIN($BH$6,BH235+BI235)</f>
        <v>0</v>
      </c>
      <c r="BK235" s="30" t="n">
        <f aca="false">MAX(0,MIN(BB235,BH235+BI235-BJ235))</f>
        <v>0</v>
      </c>
      <c r="BL235" s="29" t="n">
        <f aca="false">BB235-BK235</f>
        <v>690</v>
      </c>
      <c r="BM235" s="30" t="n">
        <f aca="false">BH235+BI235-BJ235-BK235</f>
        <v>0</v>
      </c>
      <c r="BN235" s="30" t="n">
        <f aca="false">BQ234</f>
        <v>0</v>
      </c>
      <c r="BO235" s="30" t="n">
        <f aca="false">BN235*$BH$5/12</f>
        <v>0</v>
      </c>
      <c r="BP235" s="30" t="n">
        <f aca="false">MIN($BH$6,BN235+BO235)</f>
        <v>0</v>
      </c>
      <c r="BQ235" s="30" t="n">
        <f aca="false">BN235+BO235-BP235</f>
        <v>0</v>
      </c>
      <c r="BR235" s="30" t="n">
        <f aca="false">BW234</f>
        <v>0</v>
      </c>
      <c r="BS235" s="30" t="n">
        <f aca="false">BR235*$BR$5/12</f>
        <v>0</v>
      </c>
      <c r="BT235" s="30" t="n">
        <f aca="false">MIN($BR$6,BR235+BS235)</f>
        <v>0</v>
      </c>
      <c r="BU235" s="30" t="n">
        <f aca="false">MAX(0,MIN(BL235,BR235+BS235-BT235))</f>
        <v>0</v>
      </c>
      <c r="BV235" s="29" t="n">
        <f aca="false">BL235-BU235</f>
        <v>690</v>
      </c>
      <c r="BW235" s="30" t="n">
        <f aca="false">BR235+BS235-BT235-BU235</f>
        <v>0</v>
      </c>
      <c r="BX235" s="30" t="n">
        <f aca="false">CA234</f>
        <v>0</v>
      </c>
      <c r="BY235" s="30" t="n">
        <f aca="false">BX235*$BR$5/12</f>
        <v>0</v>
      </c>
      <c r="BZ235" s="30" t="n">
        <f aca="false">MIN($BR$6,BX235+BY235)</f>
        <v>0</v>
      </c>
      <c r="CA235" s="30" t="n">
        <f aca="false">BX235+BY235-BZ235</f>
        <v>0</v>
      </c>
      <c r="CB235" s="30" t="n">
        <f aca="false">CG234</f>
        <v>0</v>
      </c>
      <c r="CC235" s="30" t="n">
        <f aca="false">CB235*$CB$5/12</f>
        <v>0</v>
      </c>
      <c r="CD235" s="30" t="n">
        <f aca="false">MIN($CB$6,CB235+CC235)</f>
        <v>0</v>
      </c>
      <c r="CE235" s="30" t="n">
        <f aca="false">MAX(0,MIN(BV235,CB235+CC235-CD235))</f>
        <v>0</v>
      </c>
      <c r="CF235" s="29" t="n">
        <f aca="false">BV235-CE235</f>
        <v>690</v>
      </c>
      <c r="CG235" s="30" t="n">
        <f aca="false">CB235+CC235-CD235-CE235</f>
        <v>0</v>
      </c>
      <c r="CH235" s="30" t="n">
        <f aca="false">CK234</f>
        <v>0</v>
      </c>
      <c r="CI235" s="30" t="n">
        <f aca="false">CH235*$CB$5/12</f>
        <v>0</v>
      </c>
      <c r="CJ235" s="30" t="n">
        <f aca="false">MIN($CB$6,CH235+CI235)</f>
        <v>0</v>
      </c>
      <c r="CK235" s="30" t="n">
        <f aca="false">CH235+CI235-CJ235</f>
        <v>0</v>
      </c>
    </row>
    <row r="236" customFormat="false" ht="15" hidden="false" customHeight="false" outlineLevel="0" collapsed="false">
      <c r="A236" s="0" t="n">
        <v>228</v>
      </c>
      <c r="B236" s="29" t="n">
        <f aca="false">'1 Your debts'!$B$16-(L236+V236+AF236+AP236+AZ236+BJ236+BT236+CD236)</f>
        <v>690</v>
      </c>
      <c r="C236" s="34" t="n">
        <f aca="false">O236+Y236+AI236+AS236+BC236+BM236+BW236+CG236</f>
        <v>0</v>
      </c>
      <c r="D236" s="34" t="n">
        <f aca="false">K236+U236+AE236+AO236+AY236+BI236+BS236+CC236</f>
        <v>0</v>
      </c>
      <c r="F236" s="34" t="n">
        <f aca="false">S236+AC236+AM236+AW236+BG236+BQ236+CA236+CK236</f>
        <v>0</v>
      </c>
      <c r="G236" s="34" t="n">
        <f aca="false">Q236+AA236+AK236+AU236+BE236+BO236+BY236+CI236</f>
        <v>0</v>
      </c>
      <c r="J236" s="34" t="n">
        <f aca="false">O235</f>
        <v>0</v>
      </c>
      <c r="K236" s="34" t="n">
        <f aca="false">J236*$J$5/12</f>
        <v>0</v>
      </c>
      <c r="L236" s="29" t="n">
        <f aca="false">MIN($J$6,J236+K236)</f>
        <v>0</v>
      </c>
      <c r="M236" s="30" t="n">
        <f aca="false">MAX(0,MIN($B236,J236+K236-L236))</f>
        <v>0</v>
      </c>
      <c r="N236" s="29" t="n">
        <f aca="false">$B236-M236</f>
        <v>690</v>
      </c>
      <c r="O236" s="34" t="n">
        <f aca="false">J236+K236-L236-M236</f>
        <v>0</v>
      </c>
      <c r="P236" s="34" t="n">
        <f aca="false">S235</f>
        <v>0</v>
      </c>
      <c r="Q236" s="34" t="n">
        <f aca="false">P236*$J$5/12</f>
        <v>0</v>
      </c>
      <c r="R236" s="29" t="n">
        <f aca="false">MIN($J$6,P236+Q236)</f>
        <v>0</v>
      </c>
      <c r="S236" s="34" t="n">
        <f aca="false">P236+Q236-R236</f>
        <v>0</v>
      </c>
      <c r="T236" s="34" t="n">
        <f aca="false">Y235</f>
        <v>0</v>
      </c>
      <c r="U236" s="34" t="n">
        <f aca="false">T236*$T$5/12</f>
        <v>0</v>
      </c>
      <c r="V236" s="29" t="n">
        <f aca="false">MIN($T$6,T236+U236)</f>
        <v>0</v>
      </c>
      <c r="W236" s="30" t="n">
        <f aca="false">MAX(0,MIN(N236,T236+U236-V236))</f>
        <v>0</v>
      </c>
      <c r="X236" s="29" t="n">
        <f aca="false">N236-W236</f>
        <v>690</v>
      </c>
      <c r="Y236" s="34" t="n">
        <f aca="false">T236+U236-V236-W236</f>
        <v>0</v>
      </c>
      <c r="Z236" s="34" t="n">
        <f aca="false">AC235</f>
        <v>0</v>
      </c>
      <c r="AA236" s="34" t="n">
        <f aca="false">Z236*$T$5/12</f>
        <v>0</v>
      </c>
      <c r="AB236" s="29" t="n">
        <f aca="false">MIN($T$6,Z236+AA236)</f>
        <v>0</v>
      </c>
      <c r="AC236" s="34" t="n">
        <f aca="false">Z236+AA236-AB236</f>
        <v>0</v>
      </c>
      <c r="AD236" s="34" t="n">
        <f aca="false">AI235</f>
        <v>0</v>
      </c>
      <c r="AE236" s="34" t="n">
        <f aca="false">AD236*$AD$5/12</f>
        <v>0</v>
      </c>
      <c r="AF236" s="29" t="n">
        <f aca="false">MIN($AD$6,AD236+AE236)</f>
        <v>0</v>
      </c>
      <c r="AG236" s="30" t="n">
        <f aca="false">MAX(0,MIN(X236,AD236+AE236-AF236))</f>
        <v>0</v>
      </c>
      <c r="AH236" s="29" t="n">
        <f aca="false">X236-AG236</f>
        <v>690</v>
      </c>
      <c r="AI236" s="34" t="n">
        <f aca="false">AD236+AE236-AF236-AG236</f>
        <v>0</v>
      </c>
      <c r="AJ236" s="34" t="n">
        <f aca="false">AM235</f>
        <v>0</v>
      </c>
      <c r="AK236" s="34" t="n">
        <f aca="false">AJ236*$AD$5/12</f>
        <v>0</v>
      </c>
      <c r="AL236" s="29" t="n">
        <f aca="false">MIN($AD$6,AJ236+AK236)</f>
        <v>0</v>
      </c>
      <c r="AM236" s="34" t="n">
        <f aca="false">AJ236+AK236-AL236</f>
        <v>0</v>
      </c>
      <c r="AN236" s="34" t="n">
        <f aca="false">AS235</f>
        <v>0</v>
      </c>
      <c r="AO236" s="34" t="n">
        <f aca="false">AN236*$AN$5/12</f>
        <v>0</v>
      </c>
      <c r="AP236" s="29" t="n">
        <f aca="false">MIN($AN$6,AN236+AO236)</f>
        <v>0</v>
      </c>
      <c r="AQ236" s="30" t="n">
        <f aca="false">MAX(0,MIN(AH236,AN236+AO236-AP236))</f>
        <v>0</v>
      </c>
      <c r="AR236" s="29" t="n">
        <f aca="false">AH236-AQ236</f>
        <v>690</v>
      </c>
      <c r="AS236" s="34" t="n">
        <f aca="false">AN236+AO236-AP236-AQ236</f>
        <v>0</v>
      </c>
      <c r="AT236" s="34" t="n">
        <f aca="false">AW235</f>
        <v>0</v>
      </c>
      <c r="AU236" s="34" t="n">
        <f aca="false">AT236*$AN$5/12</f>
        <v>0</v>
      </c>
      <c r="AV236" s="29" t="n">
        <f aca="false">MIN($AN$6,AT236+AU236)</f>
        <v>0</v>
      </c>
      <c r="AW236" s="34" t="n">
        <f aca="false">AT236+AU236-AV236</f>
        <v>0</v>
      </c>
      <c r="AX236" s="30" t="n">
        <f aca="false">BC235</f>
        <v>0</v>
      </c>
      <c r="AY236" s="30" t="n">
        <f aca="false">AX236*$AX$5/12</f>
        <v>0</v>
      </c>
      <c r="AZ236" s="30" t="n">
        <f aca="false">MIN($AX$6,AX236+AY236)</f>
        <v>0</v>
      </c>
      <c r="BA236" s="30" t="n">
        <f aca="false">MAX(0,MIN(AR236,AX236+AY236-AZ236))</f>
        <v>0</v>
      </c>
      <c r="BB236" s="29" t="n">
        <f aca="false">AR236-BA236</f>
        <v>690</v>
      </c>
      <c r="BC236" s="30" t="n">
        <f aca="false">AX236+AY236-AZ236-BA236</f>
        <v>0</v>
      </c>
      <c r="BD236" s="30" t="n">
        <f aca="false">BG235</f>
        <v>0</v>
      </c>
      <c r="BE236" s="30" t="n">
        <f aca="false">BD236*$AX$5/12</f>
        <v>0</v>
      </c>
      <c r="BF236" s="30" t="n">
        <f aca="false">MIN($AX$6,BD236+BE236)</f>
        <v>0</v>
      </c>
      <c r="BG236" s="30" t="n">
        <f aca="false">BD236+BE236-BF236</f>
        <v>0</v>
      </c>
      <c r="BH236" s="30" t="n">
        <f aca="false">BM235</f>
        <v>0</v>
      </c>
      <c r="BI236" s="30" t="n">
        <f aca="false">BH236*$BH$5/12</f>
        <v>0</v>
      </c>
      <c r="BJ236" s="30" t="n">
        <f aca="false">MIN($BH$6,BH236+BI236)</f>
        <v>0</v>
      </c>
      <c r="BK236" s="30" t="n">
        <f aca="false">MAX(0,MIN(BB236,BH236+BI236-BJ236))</f>
        <v>0</v>
      </c>
      <c r="BL236" s="29" t="n">
        <f aca="false">BB236-BK236</f>
        <v>690</v>
      </c>
      <c r="BM236" s="30" t="n">
        <f aca="false">BH236+BI236-BJ236-BK236</f>
        <v>0</v>
      </c>
      <c r="BN236" s="30" t="n">
        <f aca="false">BQ235</f>
        <v>0</v>
      </c>
      <c r="BO236" s="30" t="n">
        <f aca="false">BN236*$BH$5/12</f>
        <v>0</v>
      </c>
      <c r="BP236" s="30" t="n">
        <f aca="false">MIN($BH$6,BN236+BO236)</f>
        <v>0</v>
      </c>
      <c r="BQ236" s="30" t="n">
        <f aca="false">BN236+BO236-BP236</f>
        <v>0</v>
      </c>
      <c r="BR236" s="30" t="n">
        <f aca="false">BW235</f>
        <v>0</v>
      </c>
      <c r="BS236" s="30" t="n">
        <f aca="false">BR236*$BR$5/12</f>
        <v>0</v>
      </c>
      <c r="BT236" s="30" t="n">
        <f aca="false">MIN($BR$6,BR236+BS236)</f>
        <v>0</v>
      </c>
      <c r="BU236" s="30" t="n">
        <f aca="false">MAX(0,MIN(BL236,BR236+BS236-BT236))</f>
        <v>0</v>
      </c>
      <c r="BV236" s="29" t="n">
        <f aca="false">BL236-BU236</f>
        <v>690</v>
      </c>
      <c r="BW236" s="30" t="n">
        <f aca="false">BR236+BS236-BT236-BU236</f>
        <v>0</v>
      </c>
      <c r="BX236" s="30" t="n">
        <f aca="false">CA235</f>
        <v>0</v>
      </c>
      <c r="BY236" s="30" t="n">
        <f aca="false">BX236*$BR$5/12</f>
        <v>0</v>
      </c>
      <c r="BZ236" s="30" t="n">
        <f aca="false">MIN($BR$6,BX236+BY236)</f>
        <v>0</v>
      </c>
      <c r="CA236" s="30" t="n">
        <f aca="false">BX236+BY236-BZ236</f>
        <v>0</v>
      </c>
      <c r="CB236" s="30" t="n">
        <f aca="false">CG235</f>
        <v>0</v>
      </c>
      <c r="CC236" s="30" t="n">
        <f aca="false">CB236*$CB$5/12</f>
        <v>0</v>
      </c>
      <c r="CD236" s="30" t="n">
        <f aca="false">MIN($CB$6,CB236+CC236)</f>
        <v>0</v>
      </c>
      <c r="CE236" s="30" t="n">
        <f aca="false">MAX(0,MIN(BV236,CB236+CC236-CD236))</f>
        <v>0</v>
      </c>
      <c r="CF236" s="29" t="n">
        <f aca="false">BV236-CE236</f>
        <v>690</v>
      </c>
      <c r="CG236" s="30" t="n">
        <f aca="false">CB236+CC236-CD236-CE236</f>
        <v>0</v>
      </c>
      <c r="CH236" s="30" t="n">
        <f aca="false">CK235</f>
        <v>0</v>
      </c>
      <c r="CI236" s="30" t="n">
        <f aca="false">CH236*$CB$5/12</f>
        <v>0</v>
      </c>
      <c r="CJ236" s="30" t="n">
        <f aca="false">MIN($CB$6,CH236+CI236)</f>
        <v>0</v>
      </c>
      <c r="CK236" s="30" t="n">
        <f aca="false">CH236+CI236-CJ236</f>
        <v>0</v>
      </c>
    </row>
    <row r="237" customFormat="false" ht="15" hidden="false" customHeight="false" outlineLevel="0" collapsed="false">
      <c r="A237" s="0" t="n">
        <v>229</v>
      </c>
      <c r="B237" s="29" t="n">
        <f aca="false">'1 Your debts'!$B$16-(L237+V237+AF237+AP237+AZ237+BJ237+BT237+CD237)</f>
        <v>690</v>
      </c>
      <c r="C237" s="34" t="n">
        <f aca="false">O237+Y237+AI237+AS237+BC237+BM237+BW237+CG237</f>
        <v>0</v>
      </c>
      <c r="D237" s="34" t="n">
        <f aca="false">K237+U237+AE237+AO237+AY237+BI237+BS237+CC237</f>
        <v>0</v>
      </c>
      <c r="F237" s="34" t="n">
        <f aca="false">S237+AC237+AM237+AW237+BG237+BQ237+CA237+CK237</f>
        <v>0</v>
      </c>
      <c r="G237" s="34" t="n">
        <f aca="false">Q237+AA237+AK237+AU237+BE237+BO237+BY237+CI237</f>
        <v>0</v>
      </c>
      <c r="J237" s="34" t="n">
        <f aca="false">O236</f>
        <v>0</v>
      </c>
      <c r="K237" s="34" t="n">
        <f aca="false">J237*$J$5/12</f>
        <v>0</v>
      </c>
      <c r="L237" s="29" t="n">
        <f aca="false">MIN($J$6,J237+K237)</f>
        <v>0</v>
      </c>
      <c r="M237" s="30" t="n">
        <f aca="false">MAX(0,MIN($B237,J237+K237-L237))</f>
        <v>0</v>
      </c>
      <c r="N237" s="29" t="n">
        <f aca="false">$B237-M237</f>
        <v>690</v>
      </c>
      <c r="O237" s="34" t="n">
        <f aca="false">J237+K237-L237-M237</f>
        <v>0</v>
      </c>
      <c r="P237" s="34" t="n">
        <f aca="false">S236</f>
        <v>0</v>
      </c>
      <c r="Q237" s="34" t="n">
        <f aca="false">P237*$J$5/12</f>
        <v>0</v>
      </c>
      <c r="R237" s="29" t="n">
        <f aca="false">MIN($J$6,P237+Q237)</f>
        <v>0</v>
      </c>
      <c r="S237" s="34" t="n">
        <f aca="false">P237+Q237-R237</f>
        <v>0</v>
      </c>
      <c r="T237" s="34" t="n">
        <f aca="false">Y236</f>
        <v>0</v>
      </c>
      <c r="U237" s="34" t="n">
        <f aca="false">T237*$T$5/12</f>
        <v>0</v>
      </c>
      <c r="V237" s="29" t="n">
        <f aca="false">MIN($T$6,T237+U237)</f>
        <v>0</v>
      </c>
      <c r="W237" s="30" t="n">
        <f aca="false">MAX(0,MIN(N237,T237+U237-V237))</f>
        <v>0</v>
      </c>
      <c r="X237" s="29" t="n">
        <f aca="false">N237-W237</f>
        <v>690</v>
      </c>
      <c r="Y237" s="34" t="n">
        <f aca="false">T237+U237-V237-W237</f>
        <v>0</v>
      </c>
      <c r="Z237" s="34" t="n">
        <f aca="false">AC236</f>
        <v>0</v>
      </c>
      <c r="AA237" s="34" t="n">
        <f aca="false">Z237*$T$5/12</f>
        <v>0</v>
      </c>
      <c r="AB237" s="29" t="n">
        <f aca="false">MIN($T$6,Z237+AA237)</f>
        <v>0</v>
      </c>
      <c r="AC237" s="34" t="n">
        <f aca="false">Z237+AA237-AB237</f>
        <v>0</v>
      </c>
      <c r="AD237" s="34" t="n">
        <f aca="false">AI236</f>
        <v>0</v>
      </c>
      <c r="AE237" s="34" t="n">
        <f aca="false">AD237*$AD$5/12</f>
        <v>0</v>
      </c>
      <c r="AF237" s="29" t="n">
        <f aca="false">MIN($AD$6,AD237+AE237)</f>
        <v>0</v>
      </c>
      <c r="AG237" s="30" t="n">
        <f aca="false">MAX(0,MIN(X237,AD237+AE237-AF237))</f>
        <v>0</v>
      </c>
      <c r="AH237" s="29" t="n">
        <f aca="false">X237-AG237</f>
        <v>690</v>
      </c>
      <c r="AI237" s="34" t="n">
        <f aca="false">AD237+AE237-AF237-AG237</f>
        <v>0</v>
      </c>
      <c r="AJ237" s="34" t="n">
        <f aca="false">AM236</f>
        <v>0</v>
      </c>
      <c r="AK237" s="34" t="n">
        <f aca="false">AJ237*$AD$5/12</f>
        <v>0</v>
      </c>
      <c r="AL237" s="29" t="n">
        <f aca="false">MIN($AD$6,AJ237+AK237)</f>
        <v>0</v>
      </c>
      <c r="AM237" s="34" t="n">
        <f aca="false">AJ237+AK237-AL237</f>
        <v>0</v>
      </c>
      <c r="AN237" s="34" t="n">
        <f aca="false">AS236</f>
        <v>0</v>
      </c>
      <c r="AO237" s="34" t="n">
        <f aca="false">AN237*$AN$5/12</f>
        <v>0</v>
      </c>
      <c r="AP237" s="29" t="n">
        <f aca="false">MIN($AN$6,AN237+AO237)</f>
        <v>0</v>
      </c>
      <c r="AQ237" s="30" t="n">
        <f aca="false">MAX(0,MIN(AH237,AN237+AO237-AP237))</f>
        <v>0</v>
      </c>
      <c r="AR237" s="29" t="n">
        <f aca="false">AH237-AQ237</f>
        <v>690</v>
      </c>
      <c r="AS237" s="34" t="n">
        <f aca="false">AN237+AO237-AP237-AQ237</f>
        <v>0</v>
      </c>
      <c r="AT237" s="34" t="n">
        <f aca="false">AW236</f>
        <v>0</v>
      </c>
      <c r="AU237" s="34" t="n">
        <f aca="false">AT237*$AN$5/12</f>
        <v>0</v>
      </c>
      <c r="AV237" s="29" t="n">
        <f aca="false">MIN($AN$6,AT237+AU237)</f>
        <v>0</v>
      </c>
      <c r="AW237" s="34" t="n">
        <f aca="false">AT237+AU237-AV237</f>
        <v>0</v>
      </c>
      <c r="AX237" s="30" t="n">
        <f aca="false">BC236</f>
        <v>0</v>
      </c>
      <c r="AY237" s="30" t="n">
        <f aca="false">AX237*$AX$5/12</f>
        <v>0</v>
      </c>
      <c r="AZ237" s="30" t="n">
        <f aca="false">MIN($AX$6,AX237+AY237)</f>
        <v>0</v>
      </c>
      <c r="BA237" s="30" t="n">
        <f aca="false">MAX(0,MIN(AR237,AX237+AY237-AZ237))</f>
        <v>0</v>
      </c>
      <c r="BB237" s="29" t="n">
        <f aca="false">AR237-BA237</f>
        <v>690</v>
      </c>
      <c r="BC237" s="30" t="n">
        <f aca="false">AX237+AY237-AZ237-BA237</f>
        <v>0</v>
      </c>
      <c r="BD237" s="30" t="n">
        <f aca="false">BG236</f>
        <v>0</v>
      </c>
      <c r="BE237" s="30" t="n">
        <f aca="false">BD237*$AX$5/12</f>
        <v>0</v>
      </c>
      <c r="BF237" s="30" t="n">
        <f aca="false">MIN($AX$6,BD237+BE237)</f>
        <v>0</v>
      </c>
      <c r="BG237" s="30" t="n">
        <f aca="false">BD237+BE237-BF237</f>
        <v>0</v>
      </c>
      <c r="BH237" s="30" t="n">
        <f aca="false">BM236</f>
        <v>0</v>
      </c>
      <c r="BI237" s="30" t="n">
        <f aca="false">BH237*$BH$5/12</f>
        <v>0</v>
      </c>
      <c r="BJ237" s="30" t="n">
        <f aca="false">MIN($BH$6,BH237+BI237)</f>
        <v>0</v>
      </c>
      <c r="BK237" s="30" t="n">
        <f aca="false">MAX(0,MIN(BB237,BH237+BI237-BJ237))</f>
        <v>0</v>
      </c>
      <c r="BL237" s="29" t="n">
        <f aca="false">BB237-BK237</f>
        <v>690</v>
      </c>
      <c r="BM237" s="30" t="n">
        <f aca="false">BH237+BI237-BJ237-BK237</f>
        <v>0</v>
      </c>
      <c r="BN237" s="30" t="n">
        <f aca="false">BQ236</f>
        <v>0</v>
      </c>
      <c r="BO237" s="30" t="n">
        <f aca="false">BN237*$BH$5/12</f>
        <v>0</v>
      </c>
      <c r="BP237" s="30" t="n">
        <f aca="false">MIN($BH$6,BN237+BO237)</f>
        <v>0</v>
      </c>
      <c r="BQ237" s="30" t="n">
        <f aca="false">BN237+BO237-BP237</f>
        <v>0</v>
      </c>
      <c r="BR237" s="30" t="n">
        <f aca="false">BW236</f>
        <v>0</v>
      </c>
      <c r="BS237" s="30" t="n">
        <f aca="false">BR237*$BR$5/12</f>
        <v>0</v>
      </c>
      <c r="BT237" s="30" t="n">
        <f aca="false">MIN($BR$6,BR237+BS237)</f>
        <v>0</v>
      </c>
      <c r="BU237" s="30" t="n">
        <f aca="false">MAX(0,MIN(BL237,BR237+BS237-BT237))</f>
        <v>0</v>
      </c>
      <c r="BV237" s="29" t="n">
        <f aca="false">BL237-BU237</f>
        <v>690</v>
      </c>
      <c r="BW237" s="30" t="n">
        <f aca="false">BR237+BS237-BT237-BU237</f>
        <v>0</v>
      </c>
      <c r="BX237" s="30" t="n">
        <f aca="false">CA236</f>
        <v>0</v>
      </c>
      <c r="BY237" s="30" t="n">
        <f aca="false">BX237*$BR$5/12</f>
        <v>0</v>
      </c>
      <c r="BZ237" s="30" t="n">
        <f aca="false">MIN($BR$6,BX237+BY237)</f>
        <v>0</v>
      </c>
      <c r="CA237" s="30" t="n">
        <f aca="false">BX237+BY237-BZ237</f>
        <v>0</v>
      </c>
      <c r="CB237" s="30" t="n">
        <f aca="false">CG236</f>
        <v>0</v>
      </c>
      <c r="CC237" s="30" t="n">
        <f aca="false">CB237*$CB$5/12</f>
        <v>0</v>
      </c>
      <c r="CD237" s="30" t="n">
        <f aca="false">MIN($CB$6,CB237+CC237)</f>
        <v>0</v>
      </c>
      <c r="CE237" s="30" t="n">
        <f aca="false">MAX(0,MIN(BV237,CB237+CC237-CD237))</f>
        <v>0</v>
      </c>
      <c r="CF237" s="29" t="n">
        <f aca="false">BV237-CE237</f>
        <v>690</v>
      </c>
      <c r="CG237" s="30" t="n">
        <f aca="false">CB237+CC237-CD237-CE237</f>
        <v>0</v>
      </c>
      <c r="CH237" s="30" t="n">
        <f aca="false">CK236</f>
        <v>0</v>
      </c>
      <c r="CI237" s="30" t="n">
        <f aca="false">CH237*$CB$5/12</f>
        <v>0</v>
      </c>
      <c r="CJ237" s="30" t="n">
        <f aca="false">MIN($CB$6,CH237+CI237)</f>
        <v>0</v>
      </c>
      <c r="CK237" s="30" t="n">
        <f aca="false">CH237+CI237-CJ237</f>
        <v>0</v>
      </c>
    </row>
    <row r="238" customFormat="false" ht="15" hidden="false" customHeight="false" outlineLevel="0" collapsed="false">
      <c r="A238" s="0" t="n">
        <v>230</v>
      </c>
      <c r="B238" s="29" t="n">
        <f aca="false">'1 Your debts'!$B$16-(L238+V238+AF238+AP238+AZ238+BJ238+BT238+CD238)</f>
        <v>690</v>
      </c>
      <c r="C238" s="34" t="n">
        <f aca="false">O238+Y238+AI238+AS238+BC238+BM238+BW238+CG238</f>
        <v>0</v>
      </c>
      <c r="D238" s="34" t="n">
        <f aca="false">K238+U238+AE238+AO238+AY238+BI238+BS238+CC238</f>
        <v>0</v>
      </c>
      <c r="F238" s="34" t="n">
        <f aca="false">S238+AC238+AM238+AW238+BG238+BQ238+CA238+CK238</f>
        <v>0</v>
      </c>
      <c r="G238" s="34" t="n">
        <f aca="false">Q238+AA238+AK238+AU238+BE238+BO238+BY238+CI238</f>
        <v>0</v>
      </c>
      <c r="J238" s="34" t="n">
        <f aca="false">O237</f>
        <v>0</v>
      </c>
      <c r="K238" s="34" t="n">
        <f aca="false">J238*$J$5/12</f>
        <v>0</v>
      </c>
      <c r="L238" s="29" t="n">
        <f aca="false">MIN($J$6,J238+K238)</f>
        <v>0</v>
      </c>
      <c r="M238" s="30" t="n">
        <f aca="false">MAX(0,MIN($B238,J238+K238-L238))</f>
        <v>0</v>
      </c>
      <c r="N238" s="29" t="n">
        <f aca="false">$B238-M238</f>
        <v>690</v>
      </c>
      <c r="O238" s="34" t="n">
        <f aca="false">J238+K238-L238-M238</f>
        <v>0</v>
      </c>
      <c r="P238" s="34" t="n">
        <f aca="false">S237</f>
        <v>0</v>
      </c>
      <c r="Q238" s="34" t="n">
        <f aca="false">P238*$J$5/12</f>
        <v>0</v>
      </c>
      <c r="R238" s="29" t="n">
        <f aca="false">MIN($J$6,P238+Q238)</f>
        <v>0</v>
      </c>
      <c r="S238" s="34" t="n">
        <f aca="false">P238+Q238-R238</f>
        <v>0</v>
      </c>
      <c r="T238" s="34" t="n">
        <f aca="false">Y237</f>
        <v>0</v>
      </c>
      <c r="U238" s="34" t="n">
        <f aca="false">T238*$T$5/12</f>
        <v>0</v>
      </c>
      <c r="V238" s="29" t="n">
        <f aca="false">MIN($T$6,T238+U238)</f>
        <v>0</v>
      </c>
      <c r="W238" s="30" t="n">
        <f aca="false">MAX(0,MIN(N238,T238+U238-V238))</f>
        <v>0</v>
      </c>
      <c r="X238" s="29" t="n">
        <f aca="false">N238-W238</f>
        <v>690</v>
      </c>
      <c r="Y238" s="34" t="n">
        <f aca="false">T238+U238-V238-W238</f>
        <v>0</v>
      </c>
      <c r="Z238" s="34" t="n">
        <f aca="false">AC237</f>
        <v>0</v>
      </c>
      <c r="AA238" s="34" t="n">
        <f aca="false">Z238*$T$5/12</f>
        <v>0</v>
      </c>
      <c r="AB238" s="29" t="n">
        <f aca="false">MIN($T$6,Z238+AA238)</f>
        <v>0</v>
      </c>
      <c r="AC238" s="34" t="n">
        <f aca="false">Z238+AA238-AB238</f>
        <v>0</v>
      </c>
      <c r="AD238" s="34" t="n">
        <f aca="false">AI237</f>
        <v>0</v>
      </c>
      <c r="AE238" s="34" t="n">
        <f aca="false">AD238*$AD$5/12</f>
        <v>0</v>
      </c>
      <c r="AF238" s="29" t="n">
        <f aca="false">MIN($AD$6,AD238+AE238)</f>
        <v>0</v>
      </c>
      <c r="AG238" s="30" t="n">
        <f aca="false">MAX(0,MIN(X238,AD238+AE238-AF238))</f>
        <v>0</v>
      </c>
      <c r="AH238" s="29" t="n">
        <f aca="false">X238-AG238</f>
        <v>690</v>
      </c>
      <c r="AI238" s="34" t="n">
        <f aca="false">AD238+AE238-AF238-AG238</f>
        <v>0</v>
      </c>
      <c r="AJ238" s="34" t="n">
        <f aca="false">AM237</f>
        <v>0</v>
      </c>
      <c r="AK238" s="34" t="n">
        <f aca="false">AJ238*$AD$5/12</f>
        <v>0</v>
      </c>
      <c r="AL238" s="29" t="n">
        <f aca="false">MIN($AD$6,AJ238+AK238)</f>
        <v>0</v>
      </c>
      <c r="AM238" s="34" t="n">
        <f aca="false">AJ238+AK238-AL238</f>
        <v>0</v>
      </c>
      <c r="AN238" s="34" t="n">
        <f aca="false">AS237</f>
        <v>0</v>
      </c>
      <c r="AO238" s="34" t="n">
        <f aca="false">AN238*$AN$5/12</f>
        <v>0</v>
      </c>
      <c r="AP238" s="29" t="n">
        <f aca="false">MIN($AN$6,AN238+AO238)</f>
        <v>0</v>
      </c>
      <c r="AQ238" s="30" t="n">
        <f aca="false">MAX(0,MIN(AH238,AN238+AO238-AP238))</f>
        <v>0</v>
      </c>
      <c r="AR238" s="29" t="n">
        <f aca="false">AH238-AQ238</f>
        <v>690</v>
      </c>
      <c r="AS238" s="34" t="n">
        <f aca="false">AN238+AO238-AP238-AQ238</f>
        <v>0</v>
      </c>
      <c r="AT238" s="34" t="n">
        <f aca="false">AW237</f>
        <v>0</v>
      </c>
      <c r="AU238" s="34" t="n">
        <f aca="false">AT238*$AN$5/12</f>
        <v>0</v>
      </c>
      <c r="AV238" s="29" t="n">
        <f aca="false">MIN($AN$6,AT238+AU238)</f>
        <v>0</v>
      </c>
      <c r="AW238" s="34" t="n">
        <f aca="false">AT238+AU238-AV238</f>
        <v>0</v>
      </c>
      <c r="AX238" s="30" t="n">
        <f aca="false">BC237</f>
        <v>0</v>
      </c>
      <c r="AY238" s="30" t="n">
        <f aca="false">AX238*$AX$5/12</f>
        <v>0</v>
      </c>
      <c r="AZ238" s="30" t="n">
        <f aca="false">MIN($AX$6,AX238+AY238)</f>
        <v>0</v>
      </c>
      <c r="BA238" s="30" t="n">
        <f aca="false">MAX(0,MIN(AR238,AX238+AY238-AZ238))</f>
        <v>0</v>
      </c>
      <c r="BB238" s="29" t="n">
        <f aca="false">AR238-BA238</f>
        <v>690</v>
      </c>
      <c r="BC238" s="30" t="n">
        <f aca="false">AX238+AY238-AZ238-BA238</f>
        <v>0</v>
      </c>
      <c r="BD238" s="30" t="n">
        <f aca="false">BG237</f>
        <v>0</v>
      </c>
      <c r="BE238" s="30" t="n">
        <f aca="false">BD238*$AX$5/12</f>
        <v>0</v>
      </c>
      <c r="BF238" s="30" t="n">
        <f aca="false">MIN($AX$6,BD238+BE238)</f>
        <v>0</v>
      </c>
      <c r="BG238" s="30" t="n">
        <f aca="false">BD238+BE238-BF238</f>
        <v>0</v>
      </c>
      <c r="BH238" s="30" t="n">
        <f aca="false">BM237</f>
        <v>0</v>
      </c>
      <c r="BI238" s="30" t="n">
        <f aca="false">BH238*$BH$5/12</f>
        <v>0</v>
      </c>
      <c r="BJ238" s="30" t="n">
        <f aca="false">MIN($BH$6,BH238+BI238)</f>
        <v>0</v>
      </c>
      <c r="BK238" s="30" t="n">
        <f aca="false">MAX(0,MIN(BB238,BH238+BI238-BJ238))</f>
        <v>0</v>
      </c>
      <c r="BL238" s="29" t="n">
        <f aca="false">BB238-BK238</f>
        <v>690</v>
      </c>
      <c r="BM238" s="30" t="n">
        <f aca="false">BH238+BI238-BJ238-BK238</f>
        <v>0</v>
      </c>
      <c r="BN238" s="30" t="n">
        <f aca="false">BQ237</f>
        <v>0</v>
      </c>
      <c r="BO238" s="30" t="n">
        <f aca="false">BN238*$BH$5/12</f>
        <v>0</v>
      </c>
      <c r="BP238" s="30" t="n">
        <f aca="false">MIN($BH$6,BN238+BO238)</f>
        <v>0</v>
      </c>
      <c r="BQ238" s="30" t="n">
        <f aca="false">BN238+BO238-BP238</f>
        <v>0</v>
      </c>
      <c r="BR238" s="30" t="n">
        <f aca="false">BW237</f>
        <v>0</v>
      </c>
      <c r="BS238" s="30" t="n">
        <f aca="false">BR238*$BR$5/12</f>
        <v>0</v>
      </c>
      <c r="BT238" s="30" t="n">
        <f aca="false">MIN($BR$6,BR238+BS238)</f>
        <v>0</v>
      </c>
      <c r="BU238" s="30" t="n">
        <f aca="false">MAX(0,MIN(BL238,BR238+BS238-BT238))</f>
        <v>0</v>
      </c>
      <c r="BV238" s="29" t="n">
        <f aca="false">BL238-BU238</f>
        <v>690</v>
      </c>
      <c r="BW238" s="30" t="n">
        <f aca="false">BR238+BS238-BT238-BU238</f>
        <v>0</v>
      </c>
      <c r="BX238" s="30" t="n">
        <f aca="false">CA237</f>
        <v>0</v>
      </c>
      <c r="BY238" s="30" t="n">
        <f aca="false">BX238*$BR$5/12</f>
        <v>0</v>
      </c>
      <c r="BZ238" s="30" t="n">
        <f aca="false">MIN($BR$6,BX238+BY238)</f>
        <v>0</v>
      </c>
      <c r="CA238" s="30" t="n">
        <f aca="false">BX238+BY238-BZ238</f>
        <v>0</v>
      </c>
      <c r="CB238" s="30" t="n">
        <f aca="false">CG237</f>
        <v>0</v>
      </c>
      <c r="CC238" s="30" t="n">
        <f aca="false">CB238*$CB$5/12</f>
        <v>0</v>
      </c>
      <c r="CD238" s="30" t="n">
        <f aca="false">MIN($CB$6,CB238+CC238)</f>
        <v>0</v>
      </c>
      <c r="CE238" s="30" t="n">
        <f aca="false">MAX(0,MIN(BV238,CB238+CC238-CD238))</f>
        <v>0</v>
      </c>
      <c r="CF238" s="29" t="n">
        <f aca="false">BV238-CE238</f>
        <v>690</v>
      </c>
      <c r="CG238" s="30" t="n">
        <f aca="false">CB238+CC238-CD238-CE238</f>
        <v>0</v>
      </c>
      <c r="CH238" s="30" t="n">
        <f aca="false">CK237</f>
        <v>0</v>
      </c>
      <c r="CI238" s="30" t="n">
        <f aca="false">CH238*$CB$5/12</f>
        <v>0</v>
      </c>
      <c r="CJ238" s="30" t="n">
        <f aca="false">MIN($CB$6,CH238+CI238)</f>
        <v>0</v>
      </c>
      <c r="CK238" s="30" t="n">
        <f aca="false">CH238+CI238-CJ238</f>
        <v>0</v>
      </c>
    </row>
    <row r="239" customFormat="false" ht="15" hidden="false" customHeight="false" outlineLevel="0" collapsed="false">
      <c r="A239" s="0" t="n">
        <v>231</v>
      </c>
      <c r="B239" s="29" t="n">
        <f aca="false">'1 Your debts'!$B$16-(L239+V239+AF239+AP239+AZ239+BJ239+BT239+CD239)</f>
        <v>690</v>
      </c>
      <c r="C239" s="34" t="n">
        <f aca="false">O239+Y239+AI239+AS239+BC239+BM239+BW239+CG239</f>
        <v>0</v>
      </c>
      <c r="D239" s="34" t="n">
        <f aca="false">K239+U239+AE239+AO239+AY239+BI239+BS239+CC239</f>
        <v>0</v>
      </c>
      <c r="F239" s="34" t="n">
        <f aca="false">S239+AC239+AM239+AW239+BG239+BQ239+CA239+CK239</f>
        <v>0</v>
      </c>
      <c r="G239" s="34" t="n">
        <f aca="false">Q239+AA239+AK239+AU239+BE239+BO239+BY239+CI239</f>
        <v>0</v>
      </c>
      <c r="J239" s="34" t="n">
        <f aca="false">O238</f>
        <v>0</v>
      </c>
      <c r="K239" s="34" t="n">
        <f aca="false">J239*$J$5/12</f>
        <v>0</v>
      </c>
      <c r="L239" s="29" t="n">
        <f aca="false">MIN($J$6,J239+K239)</f>
        <v>0</v>
      </c>
      <c r="M239" s="30" t="n">
        <f aca="false">MAX(0,MIN($B239,J239+K239-L239))</f>
        <v>0</v>
      </c>
      <c r="N239" s="29" t="n">
        <f aca="false">$B239-M239</f>
        <v>690</v>
      </c>
      <c r="O239" s="34" t="n">
        <f aca="false">J239+K239-L239-M239</f>
        <v>0</v>
      </c>
      <c r="P239" s="34" t="n">
        <f aca="false">S238</f>
        <v>0</v>
      </c>
      <c r="Q239" s="34" t="n">
        <f aca="false">P239*$J$5/12</f>
        <v>0</v>
      </c>
      <c r="R239" s="29" t="n">
        <f aca="false">MIN($J$6,P239+Q239)</f>
        <v>0</v>
      </c>
      <c r="S239" s="34" t="n">
        <f aca="false">P239+Q239-R239</f>
        <v>0</v>
      </c>
      <c r="T239" s="34" t="n">
        <f aca="false">Y238</f>
        <v>0</v>
      </c>
      <c r="U239" s="34" t="n">
        <f aca="false">T239*$T$5/12</f>
        <v>0</v>
      </c>
      <c r="V239" s="29" t="n">
        <f aca="false">MIN($T$6,T239+U239)</f>
        <v>0</v>
      </c>
      <c r="W239" s="30" t="n">
        <f aca="false">MAX(0,MIN(N239,T239+U239-V239))</f>
        <v>0</v>
      </c>
      <c r="X239" s="29" t="n">
        <f aca="false">N239-W239</f>
        <v>690</v>
      </c>
      <c r="Y239" s="34" t="n">
        <f aca="false">T239+U239-V239-W239</f>
        <v>0</v>
      </c>
      <c r="Z239" s="34" t="n">
        <f aca="false">AC238</f>
        <v>0</v>
      </c>
      <c r="AA239" s="34" t="n">
        <f aca="false">Z239*$T$5/12</f>
        <v>0</v>
      </c>
      <c r="AB239" s="29" t="n">
        <f aca="false">MIN($T$6,Z239+AA239)</f>
        <v>0</v>
      </c>
      <c r="AC239" s="34" t="n">
        <f aca="false">Z239+AA239-AB239</f>
        <v>0</v>
      </c>
      <c r="AD239" s="34" t="n">
        <f aca="false">AI238</f>
        <v>0</v>
      </c>
      <c r="AE239" s="34" t="n">
        <f aca="false">AD239*$AD$5/12</f>
        <v>0</v>
      </c>
      <c r="AF239" s="29" t="n">
        <f aca="false">MIN($AD$6,AD239+AE239)</f>
        <v>0</v>
      </c>
      <c r="AG239" s="30" t="n">
        <f aca="false">MAX(0,MIN(X239,AD239+AE239-AF239))</f>
        <v>0</v>
      </c>
      <c r="AH239" s="29" t="n">
        <f aca="false">X239-AG239</f>
        <v>690</v>
      </c>
      <c r="AI239" s="34" t="n">
        <f aca="false">AD239+AE239-AF239-AG239</f>
        <v>0</v>
      </c>
      <c r="AJ239" s="34" t="n">
        <f aca="false">AM238</f>
        <v>0</v>
      </c>
      <c r="AK239" s="34" t="n">
        <f aca="false">AJ239*$AD$5/12</f>
        <v>0</v>
      </c>
      <c r="AL239" s="29" t="n">
        <f aca="false">MIN($AD$6,AJ239+AK239)</f>
        <v>0</v>
      </c>
      <c r="AM239" s="34" t="n">
        <f aca="false">AJ239+AK239-AL239</f>
        <v>0</v>
      </c>
      <c r="AN239" s="34" t="n">
        <f aca="false">AS238</f>
        <v>0</v>
      </c>
      <c r="AO239" s="34" t="n">
        <f aca="false">AN239*$AN$5/12</f>
        <v>0</v>
      </c>
      <c r="AP239" s="29" t="n">
        <f aca="false">MIN($AN$6,AN239+AO239)</f>
        <v>0</v>
      </c>
      <c r="AQ239" s="30" t="n">
        <f aca="false">MAX(0,MIN(AH239,AN239+AO239-AP239))</f>
        <v>0</v>
      </c>
      <c r="AR239" s="29" t="n">
        <f aca="false">AH239-AQ239</f>
        <v>690</v>
      </c>
      <c r="AS239" s="34" t="n">
        <f aca="false">AN239+AO239-AP239-AQ239</f>
        <v>0</v>
      </c>
      <c r="AT239" s="34" t="n">
        <f aca="false">AW238</f>
        <v>0</v>
      </c>
      <c r="AU239" s="34" t="n">
        <f aca="false">AT239*$AN$5/12</f>
        <v>0</v>
      </c>
      <c r="AV239" s="29" t="n">
        <f aca="false">MIN($AN$6,AT239+AU239)</f>
        <v>0</v>
      </c>
      <c r="AW239" s="34" t="n">
        <f aca="false">AT239+AU239-AV239</f>
        <v>0</v>
      </c>
      <c r="AX239" s="30" t="n">
        <f aca="false">BC238</f>
        <v>0</v>
      </c>
      <c r="AY239" s="30" t="n">
        <f aca="false">AX239*$AX$5/12</f>
        <v>0</v>
      </c>
      <c r="AZ239" s="30" t="n">
        <f aca="false">MIN($AX$6,AX239+AY239)</f>
        <v>0</v>
      </c>
      <c r="BA239" s="30" t="n">
        <f aca="false">MAX(0,MIN(AR239,AX239+AY239-AZ239))</f>
        <v>0</v>
      </c>
      <c r="BB239" s="29" t="n">
        <f aca="false">AR239-BA239</f>
        <v>690</v>
      </c>
      <c r="BC239" s="30" t="n">
        <f aca="false">AX239+AY239-AZ239-BA239</f>
        <v>0</v>
      </c>
      <c r="BD239" s="30" t="n">
        <f aca="false">BG238</f>
        <v>0</v>
      </c>
      <c r="BE239" s="30" t="n">
        <f aca="false">BD239*$AX$5/12</f>
        <v>0</v>
      </c>
      <c r="BF239" s="30" t="n">
        <f aca="false">MIN($AX$6,BD239+BE239)</f>
        <v>0</v>
      </c>
      <c r="BG239" s="30" t="n">
        <f aca="false">BD239+BE239-BF239</f>
        <v>0</v>
      </c>
      <c r="BH239" s="30" t="n">
        <f aca="false">BM238</f>
        <v>0</v>
      </c>
      <c r="BI239" s="30" t="n">
        <f aca="false">BH239*$BH$5/12</f>
        <v>0</v>
      </c>
      <c r="BJ239" s="30" t="n">
        <f aca="false">MIN($BH$6,BH239+BI239)</f>
        <v>0</v>
      </c>
      <c r="BK239" s="30" t="n">
        <f aca="false">MAX(0,MIN(BB239,BH239+BI239-BJ239))</f>
        <v>0</v>
      </c>
      <c r="BL239" s="29" t="n">
        <f aca="false">BB239-BK239</f>
        <v>690</v>
      </c>
      <c r="BM239" s="30" t="n">
        <f aca="false">BH239+BI239-BJ239-BK239</f>
        <v>0</v>
      </c>
      <c r="BN239" s="30" t="n">
        <f aca="false">BQ238</f>
        <v>0</v>
      </c>
      <c r="BO239" s="30" t="n">
        <f aca="false">BN239*$BH$5/12</f>
        <v>0</v>
      </c>
      <c r="BP239" s="30" t="n">
        <f aca="false">MIN($BH$6,BN239+BO239)</f>
        <v>0</v>
      </c>
      <c r="BQ239" s="30" t="n">
        <f aca="false">BN239+BO239-BP239</f>
        <v>0</v>
      </c>
      <c r="BR239" s="30" t="n">
        <f aca="false">BW238</f>
        <v>0</v>
      </c>
      <c r="BS239" s="30" t="n">
        <f aca="false">BR239*$BR$5/12</f>
        <v>0</v>
      </c>
      <c r="BT239" s="30" t="n">
        <f aca="false">MIN($BR$6,BR239+BS239)</f>
        <v>0</v>
      </c>
      <c r="BU239" s="30" t="n">
        <f aca="false">MAX(0,MIN(BL239,BR239+BS239-BT239))</f>
        <v>0</v>
      </c>
      <c r="BV239" s="29" t="n">
        <f aca="false">BL239-BU239</f>
        <v>690</v>
      </c>
      <c r="BW239" s="30" t="n">
        <f aca="false">BR239+BS239-BT239-BU239</f>
        <v>0</v>
      </c>
      <c r="BX239" s="30" t="n">
        <f aca="false">CA238</f>
        <v>0</v>
      </c>
      <c r="BY239" s="30" t="n">
        <f aca="false">BX239*$BR$5/12</f>
        <v>0</v>
      </c>
      <c r="BZ239" s="30" t="n">
        <f aca="false">MIN($BR$6,BX239+BY239)</f>
        <v>0</v>
      </c>
      <c r="CA239" s="30" t="n">
        <f aca="false">BX239+BY239-BZ239</f>
        <v>0</v>
      </c>
      <c r="CB239" s="30" t="n">
        <f aca="false">CG238</f>
        <v>0</v>
      </c>
      <c r="CC239" s="30" t="n">
        <f aca="false">CB239*$CB$5/12</f>
        <v>0</v>
      </c>
      <c r="CD239" s="30" t="n">
        <f aca="false">MIN($CB$6,CB239+CC239)</f>
        <v>0</v>
      </c>
      <c r="CE239" s="30" t="n">
        <f aca="false">MAX(0,MIN(BV239,CB239+CC239-CD239))</f>
        <v>0</v>
      </c>
      <c r="CF239" s="29" t="n">
        <f aca="false">BV239-CE239</f>
        <v>690</v>
      </c>
      <c r="CG239" s="30" t="n">
        <f aca="false">CB239+CC239-CD239-CE239</f>
        <v>0</v>
      </c>
      <c r="CH239" s="30" t="n">
        <f aca="false">CK238</f>
        <v>0</v>
      </c>
      <c r="CI239" s="30" t="n">
        <f aca="false">CH239*$CB$5/12</f>
        <v>0</v>
      </c>
      <c r="CJ239" s="30" t="n">
        <f aca="false">MIN($CB$6,CH239+CI239)</f>
        <v>0</v>
      </c>
      <c r="CK239" s="30" t="n">
        <f aca="false">CH239+CI239-CJ239</f>
        <v>0</v>
      </c>
    </row>
    <row r="240" customFormat="false" ht="15" hidden="false" customHeight="false" outlineLevel="0" collapsed="false">
      <c r="A240" s="0" t="n">
        <v>232</v>
      </c>
      <c r="B240" s="29" t="n">
        <f aca="false">'1 Your debts'!$B$16-(L240+V240+AF240+AP240+AZ240+BJ240+BT240+CD240)</f>
        <v>690</v>
      </c>
      <c r="C240" s="34" t="n">
        <f aca="false">O240+Y240+AI240+AS240+BC240+BM240+BW240+CG240</f>
        <v>0</v>
      </c>
      <c r="D240" s="34" t="n">
        <f aca="false">K240+U240+AE240+AO240+AY240+BI240+BS240+CC240</f>
        <v>0</v>
      </c>
      <c r="F240" s="34" t="n">
        <f aca="false">S240+AC240+AM240+AW240+BG240+BQ240+CA240+CK240</f>
        <v>0</v>
      </c>
      <c r="G240" s="34" t="n">
        <f aca="false">Q240+AA240+AK240+AU240+BE240+BO240+BY240+CI240</f>
        <v>0</v>
      </c>
      <c r="J240" s="34" t="n">
        <f aca="false">O239</f>
        <v>0</v>
      </c>
      <c r="K240" s="34" t="n">
        <f aca="false">J240*$J$5/12</f>
        <v>0</v>
      </c>
      <c r="L240" s="29" t="n">
        <f aca="false">MIN($J$6,J240+K240)</f>
        <v>0</v>
      </c>
      <c r="M240" s="30" t="n">
        <f aca="false">MAX(0,MIN($B240,J240+K240-L240))</f>
        <v>0</v>
      </c>
      <c r="N240" s="29" t="n">
        <f aca="false">$B240-M240</f>
        <v>690</v>
      </c>
      <c r="O240" s="34" t="n">
        <f aca="false">J240+K240-L240-M240</f>
        <v>0</v>
      </c>
      <c r="P240" s="34" t="n">
        <f aca="false">S239</f>
        <v>0</v>
      </c>
      <c r="Q240" s="34" t="n">
        <f aca="false">P240*$J$5/12</f>
        <v>0</v>
      </c>
      <c r="R240" s="29" t="n">
        <f aca="false">MIN($J$6,P240+Q240)</f>
        <v>0</v>
      </c>
      <c r="S240" s="34" t="n">
        <f aca="false">P240+Q240-R240</f>
        <v>0</v>
      </c>
      <c r="T240" s="34" t="n">
        <f aca="false">Y239</f>
        <v>0</v>
      </c>
      <c r="U240" s="34" t="n">
        <f aca="false">T240*$T$5/12</f>
        <v>0</v>
      </c>
      <c r="V240" s="29" t="n">
        <f aca="false">MIN($T$6,T240+U240)</f>
        <v>0</v>
      </c>
      <c r="W240" s="30" t="n">
        <f aca="false">MAX(0,MIN(N240,T240+U240-V240))</f>
        <v>0</v>
      </c>
      <c r="X240" s="29" t="n">
        <f aca="false">N240-W240</f>
        <v>690</v>
      </c>
      <c r="Y240" s="34" t="n">
        <f aca="false">T240+U240-V240-W240</f>
        <v>0</v>
      </c>
      <c r="Z240" s="34" t="n">
        <f aca="false">AC239</f>
        <v>0</v>
      </c>
      <c r="AA240" s="34" t="n">
        <f aca="false">Z240*$T$5/12</f>
        <v>0</v>
      </c>
      <c r="AB240" s="29" t="n">
        <f aca="false">MIN($T$6,Z240+AA240)</f>
        <v>0</v>
      </c>
      <c r="AC240" s="34" t="n">
        <f aca="false">Z240+AA240-AB240</f>
        <v>0</v>
      </c>
      <c r="AD240" s="34" t="n">
        <f aca="false">AI239</f>
        <v>0</v>
      </c>
      <c r="AE240" s="34" t="n">
        <f aca="false">AD240*$AD$5/12</f>
        <v>0</v>
      </c>
      <c r="AF240" s="29" t="n">
        <f aca="false">MIN($AD$6,AD240+AE240)</f>
        <v>0</v>
      </c>
      <c r="AG240" s="30" t="n">
        <f aca="false">MAX(0,MIN(X240,AD240+AE240-AF240))</f>
        <v>0</v>
      </c>
      <c r="AH240" s="29" t="n">
        <f aca="false">X240-AG240</f>
        <v>690</v>
      </c>
      <c r="AI240" s="34" t="n">
        <f aca="false">AD240+AE240-AF240-AG240</f>
        <v>0</v>
      </c>
      <c r="AJ240" s="34" t="n">
        <f aca="false">AM239</f>
        <v>0</v>
      </c>
      <c r="AK240" s="34" t="n">
        <f aca="false">AJ240*$AD$5/12</f>
        <v>0</v>
      </c>
      <c r="AL240" s="29" t="n">
        <f aca="false">MIN($AD$6,AJ240+AK240)</f>
        <v>0</v>
      </c>
      <c r="AM240" s="34" t="n">
        <f aca="false">AJ240+AK240-AL240</f>
        <v>0</v>
      </c>
      <c r="AN240" s="34" t="n">
        <f aca="false">AS239</f>
        <v>0</v>
      </c>
      <c r="AO240" s="34" t="n">
        <f aca="false">AN240*$AN$5/12</f>
        <v>0</v>
      </c>
      <c r="AP240" s="29" t="n">
        <f aca="false">MIN($AN$6,AN240+AO240)</f>
        <v>0</v>
      </c>
      <c r="AQ240" s="30" t="n">
        <f aca="false">MAX(0,MIN(AH240,AN240+AO240-AP240))</f>
        <v>0</v>
      </c>
      <c r="AR240" s="29" t="n">
        <f aca="false">AH240-AQ240</f>
        <v>690</v>
      </c>
      <c r="AS240" s="34" t="n">
        <f aca="false">AN240+AO240-AP240-AQ240</f>
        <v>0</v>
      </c>
      <c r="AT240" s="34" t="n">
        <f aca="false">AW239</f>
        <v>0</v>
      </c>
      <c r="AU240" s="34" t="n">
        <f aca="false">AT240*$AN$5/12</f>
        <v>0</v>
      </c>
      <c r="AV240" s="29" t="n">
        <f aca="false">MIN($AN$6,AT240+AU240)</f>
        <v>0</v>
      </c>
      <c r="AW240" s="34" t="n">
        <f aca="false">AT240+AU240-AV240</f>
        <v>0</v>
      </c>
      <c r="AX240" s="30" t="n">
        <f aca="false">BC239</f>
        <v>0</v>
      </c>
      <c r="AY240" s="30" t="n">
        <f aca="false">AX240*$AX$5/12</f>
        <v>0</v>
      </c>
      <c r="AZ240" s="30" t="n">
        <f aca="false">MIN($AX$6,AX240+AY240)</f>
        <v>0</v>
      </c>
      <c r="BA240" s="30" t="n">
        <f aca="false">MAX(0,MIN(AR240,AX240+AY240-AZ240))</f>
        <v>0</v>
      </c>
      <c r="BB240" s="29" t="n">
        <f aca="false">AR240-BA240</f>
        <v>690</v>
      </c>
      <c r="BC240" s="30" t="n">
        <f aca="false">AX240+AY240-AZ240-BA240</f>
        <v>0</v>
      </c>
      <c r="BD240" s="30" t="n">
        <f aca="false">BG239</f>
        <v>0</v>
      </c>
      <c r="BE240" s="30" t="n">
        <f aca="false">BD240*$AX$5/12</f>
        <v>0</v>
      </c>
      <c r="BF240" s="30" t="n">
        <f aca="false">MIN($AX$6,BD240+BE240)</f>
        <v>0</v>
      </c>
      <c r="BG240" s="30" t="n">
        <f aca="false">BD240+BE240-BF240</f>
        <v>0</v>
      </c>
      <c r="BH240" s="30" t="n">
        <f aca="false">BM239</f>
        <v>0</v>
      </c>
      <c r="BI240" s="30" t="n">
        <f aca="false">BH240*$BH$5/12</f>
        <v>0</v>
      </c>
      <c r="BJ240" s="30" t="n">
        <f aca="false">MIN($BH$6,BH240+BI240)</f>
        <v>0</v>
      </c>
      <c r="BK240" s="30" t="n">
        <f aca="false">MAX(0,MIN(BB240,BH240+BI240-BJ240))</f>
        <v>0</v>
      </c>
      <c r="BL240" s="29" t="n">
        <f aca="false">BB240-BK240</f>
        <v>690</v>
      </c>
      <c r="BM240" s="30" t="n">
        <f aca="false">BH240+BI240-BJ240-BK240</f>
        <v>0</v>
      </c>
      <c r="BN240" s="30" t="n">
        <f aca="false">BQ239</f>
        <v>0</v>
      </c>
      <c r="BO240" s="30" t="n">
        <f aca="false">BN240*$BH$5/12</f>
        <v>0</v>
      </c>
      <c r="BP240" s="30" t="n">
        <f aca="false">MIN($BH$6,BN240+BO240)</f>
        <v>0</v>
      </c>
      <c r="BQ240" s="30" t="n">
        <f aca="false">BN240+BO240-BP240</f>
        <v>0</v>
      </c>
      <c r="BR240" s="30" t="n">
        <f aca="false">BW239</f>
        <v>0</v>
      </c>
      <c r="BS240" s="30" t="n">
        <f aca="false">BR240*$BR$5/12</f>
        <v>0</v>
      </c>
      <c r="BT240" s="30" t="n">
        <f aca="false">MIN($BR$6,BR240+BS240)</f>
        <v>0</v>
      </c>
      <c r="BU240" s="30" t="n">
        <f aca="false">MAX(0,MIN(BL240,BR240+BS240-BT240))</f>
        <v>0</v>
      </c>
      <c r="BV240" s="29" t="n">
        <f aca="false">BL240-BU240</f>
        <v>690</v>
      </c>
      <c r="BW240" s="30" t="n">
        <f aca="false">BR240+BS240-BT240-BU240</f>
        <v>0</v>
      </c>
      <c r="BX240" s="30" t="n">
        <f aca="false">CA239</f>
        <v>0</v>
      </c>
      <c r="BY240" s="30" t="n">
        <f aca="false">BX240*$BR$5/12</f>
        <v>0</v>
      </c>
      <c r="BZ240" s="30" t="n">
        <f aca="false">MIN($BR$6,BX240+BY240)</f>
        <v>0</v>
      </c>
      <c r="CA240" s="30" t="n">
        <f aca="false">BX240+BY240-BZ240</f>
        <v>0</v>
      </c>
      <c r="CB240" s="30" t="n">
        <f aca="false">CG239</f>
        <v>0</v>
      </c>
      <c r="CC240" s="30" t="n">
        <f aca="false">CB240*$CB$5/12</f>
        <v>0</v>
      </c>
      <c r="CD240" s="30" t="n">
        <f aca="false">MIN($CB$6,CB240+CC240)</f>
        <v>0</v>
      </c>
      <c r="CE240" s="30" t="n">
        <f aca="false">MAX(0,MIN(BV240,CB240+CC240-CD240))</f>
        <v>0</v>
      </c>
      <c r="CF240" s="29" t="n">
        <f aca="false">BV240-CE240</f>
        <v>690</v>
      </c>
      <c r="CG240" s="30" t="n">
        <f aca="false">CB240+CC240-CD240-CE240</f>
        <v>0</v>
      </c>
      <c r="CH240" s="30" t="n">
        <f aca="false">CK239</f>
        <v>0</v>
      </c>
      <c r="CI240" s="30" t="n">
        <f aca="false">CH240*$CB$5/12</f>
        <v>0</v>
      </c>
      <c r="CJ240" s="30" t="n">
        <f aca="false">MIN($CB$6,CH240+CI240)</f>
        <v>0</v>
      </c>
      <c r="CK240" s="30" t="n">
        <f aca="false">CH240+CI240-CJ240</f>
        <v>0</v>
      </c>
    </row>
    <row r="241" customFormat="false" ht="15" hidden="false" customHeight="false" outlineLevel="0" collapsed="false">
      <c r="A241" s="0" t="n">
        <v>233</v>
      </c>
      <c r="B241" s="29" t="n">
        <f aca="false">'1 Your debts'!$B$16-(L241+V241+AF241+AP241+AZ241+BJ241+BT241+CD241)</f>
        <v>690</v>
      </c>
      <c r="C241" s="34" t="n">
        <f aca="false">O241+Y241+AI241+AS241+BC241+BM241+BW241+CG241</f>
        <v>0</v>
      </c>
      <c r="D241" s="34" t="n">
        <f aca="false">K241+U241+AE241+AO241+AY241+BI241+BS241+CC241</f>
        <v>0</v>
      </c>
      <c r="F241" s="34" t="n">
        <f aca="false">S241+AC241+AM241+AW241+BG241+BQ241+CA241+CK241</f>
        <v>0</v>
      </c>
      <c r="G241" s="34" t="n">
        <f aca="false">Q241+AA241+AK241+AU241+BE241+BO241+BY241+CI241</f>
        <v>0</v>
      </c>
      <c r="J241" s="34" t="n">
        <f aca="false">O240</f>
        <v>0</v>
      </c>
      <c r="K241" s="34" t="n">
        <f aca="false">J241*$J$5/12</f>
        <v>0</v>
      </c>
      <c r="L241" s="29" t="n">
        <f aca="false">MIN($J$6,J241+K241)</f>
        <v>0</v>
      </c>
      <c r="M241" s="30" t="n">
        <f aca="false">MAX(0,MIN($B241,J241+K241-L241))</f>
        <v>0</v>
      </c>
      <c r="N241" s="29" t="n">
        <f aca="false">$B241-M241</f>
        <v>690</v>
      </c>
      <c r="O241" s="34" t="n">
        <f aca="false">J241+K241-L241-M241</f>
        <v>0</v>
      </c>
      <c r="P241" s="34" t="n">
        <f aca="false">S240</f>
        <v>0</v>
      </c>
      <c r="Q241" s="34" t="n">
        <f aca="false">P241*$J$5/12</f>
        <v>0</v>
      </c>
      <c r="R241" s="29" t="n">
        <f aca="false">MIN($J$6,P241+Q241)</f>
        <v>0</v>
      </c>
      <c r="S241" s="34" t="n">
        <f aca="false">P241+Q241-R241</f>
        <v>0</v>
      </c>
      <c r="T241" s="34" t="n">
        <f aca="false">Y240</f>
        <v>0</v>
      </c>
      <c r="U241" s="34" t="n">
        <f aca="false">T241*$T$5/12</f>
        <v>0</v>
      </c>
      <c r="V241" s="29" t="n">
        <f aca="false">MIN($T$6,T241+U241)</f>
        <v>0</v>
      </c>
      <c r="W241" s="30" t="n">
        <f aca="false">MAX(0,MIN(N241,T241+U241-V241))</f>
        <v>0</v>
      </c>
      <c r="X241" s="29" t="n">
        <f aca="false">N241-W241</f>
        <v>690</v>
      </c>
      <c r="Y241" s="34" t="n">
        <f aca="false">T241+U241-V241-W241</f>
        <v>0</v>
      </c>
      <c r="Z241" s="34" t="n">
        <f aca="false">AC240</f>
        <v>0</v>
      </c>
      <c r="AA241" s="34" t="n">
        <f aca="false">Z241*$T$5/12</f>
        <v>0</v>
      </c>
      <c r="AB241" s="29" t="n">
        <f aca="false">MIN($T$6,Z241+AA241)</f>
        <v>0</v>
      </c>
      <c r="AC241" s="34" t="n">
        <f aca="false">Z241+AA241-AB241</f>
        <v>0</v>
      </c>
      <c r="AD241" s="34" t="n">
        <f aca="false">AI240</f>
        <v>0</v>
      </c>
      <c r="AE241" s="34" t="n">
        <f aca="false">AD241*$AD$5/12</f>
        <v>0</v>
      </c>
      <c r="AF241" s="29" t="n">
        <f aca="false">MIN($AD$6,AD241+AE241)</f>
        <v>0</v>
      </c>
      <c r="AG241" s="30" t="n">
        <f aca="false">MAX(0,MIN(X241,AD241+AE241-AF241))</f>
        <v>0</v>
      </c>
      <c r="AH241" s="29" t="n">
        <f aca="false">X241-AG241</f>
        <v>690</v>
      </c>
      <c r="AI241" s="34" t="n">
        <f aca="false">AD241+AE241-AF241-AG241</f>
        <v>0</v>
      </c>
      <c r="AJ241" s="34" t="n">
        <f aca="false">AM240</f>
        <v>0</v>
      </c>
      <c r="AK241" s="34" t="n">
        <f aca="false">AJ241*$AD$5/12</f>
        <v>0</v>
      </c>
      <c r="AL241" s="29" t="n">
        <f aca="false">MIN($AD$6,AJ241+AK241)</f>
        <v>0</v>
      </c>
      <c r="AM241" s="34" t="n">
        <f aca="false">AJ241+AK241-AL241</f>
        <v>0</v>
      </c>
      <c r="AN241" s="34" t="n">
        <f aca="false">AS240</f>
        <v>0</v>
      </c>
      <c r="AO241" s="34" t="n">
        <f aca="false">AN241*$AN$5/12</f>
        <v>0</v>
      </c>
      <c r="AP241" s="29" t="n">
        <f aca="false">MIN($AN$6,AN241+AO241)</f>
        <v>0</v>
      </c>
      <c r="AQ241" s="30" t="n">
        <f aca="false">MAX(0,MIN(AH241,AN241+AO241-AP241))</f>
        <v>0</v>
      </c>
      <c r="AR241" s="29" t="n">
        <f aca="false">AH241-AQ241</f>
        <v>690</v>
      </c>
      <c r="AS241" s="34" t="n">
        <f aca="false">AN241+AO241-AP241-AQ241</f>
        <v>0</v>
      </c>
      <c r="AT241" s="34" t="n">
        <f aca="false">AW240</f>
        <v>0</v>
      </c>
      <c r="AU241" s="34" t="n">
        <f aca="false">AT241*$AN$5/12</f>
        <v>0</v>
      </c>
      <c r="AV241" s="29" t="n">
        <f aca="false">MIN($AN$6,AT241+AU241)</f>
        <v>0</v>
      </c>
      <c r="AW241" s="34" t="n">
        <f aca="false">AT241+AU241-AV241</f>
        <v>0</v>
      </c>
      <c r="AX241" s="30" t="n">
        <f aca="false">BC240</f>
        <v>0</v>
      </c>
      <c r="AY241" s="30" t="n">
        <f aca="false">AX241*$AX$5/12</f>
        <v>0</v>
      </c>
      <c r="AZ241" s="30" t="n">
        <f aca="false">MIN($AX$6,AX241+AY241)</f>
        <v>0</v>
      </c>
      <c r="BA241" s="30" t="n">
        <f aca="false">MAX(0,MIN(AR241,AX241+AY241-AZ241))</f>
        <v>0</v>
      </c>
      <c r="BB241" s="29" t="n">
        <f aca="false">AR241-BA241</f>
        <v>690</v>
      </c>
      <c r="BC241" s="30" t="n">
        <f aca="false">AX241+AY241-AZ241-BA241</f>
        <v>0</v>
      </c>
      <c r="BD241" s="30" t="n">
        <f aca="false">BG240</f>
        <v>0</v>
      </c>
      <c r="BE241" s="30" t="n">
        <f aca="false">BD241*$AX$5/12</f>
        <v>0</v>
      </c>
      <c r="BF241" s="30" t="n">
        <f aca="false">MIN($AX$6,BD241+BE241)</f>
        <v>0</v>
      </c>
      <c r="BG241" s="30" t="n">
        <f aca="false">BD241+BE241-BF241</f>
        <v>0</v>
      </c>
      <c r="BH241" s="30" t="n">
        <f aca="false">BM240</f>
        <v>0</v>
      </c>
      <c r="BI241" s="30" t="n">
        <f aca="false">BH241*$BH$5/12</f>
        <v>0</v>
      </c>
      <c r="BJ241" s="30" t="n">
        <f aca="false">MIN($BH$6,BH241+BI241)</f>
        <v>0</v>
      </c>
      <c r="BK241" s="30" t="n">
        <f aca="false">MAX(0,MIN(BB241,BH241+BI241-BJ241))</f>
        <v>0</v>
      </c>
      <c r="BL241" s="29" t="n">
        <f aca="false">BB241-BK241</f>
        <v>690</v>
      </c>
      <c r="BM241" s="30" t="n">
        <f aca="false">BH241+BI241-BJ241-BK241</f>
        <v>0</v>
      </c>
      <c r="BN241" s="30" t="n">
        <f aca="false">BQ240</f>
        <v>0</v>
      </c>
      <c r="BO241" s="30" t="n">
        <f aca="false">BN241*$BH$5/12</f>
        <v>0</v>
      </c>
      <c r="BP241" s="30" t="n">
        <f aca="false">MIN($BH$6,BN241+BO241)</f>
        <v>0</v>
      </c>
      <c r="BQ241" s="30" t="n">
        <f aca="false">BN241+BO241-BP241</f>
        <v>0</v>
      </c>
      <c r="BR241" s="30" t="n">
        <f aca="false">BW240</f>
        <v>0</v>
      </c>
      <c r="BS241" s="30" t="n">
        <f aca="false">BR241*$BR$5/12</f>
        <v>0</v>
      </c>
      <c r="BT241" s="30" t="n">
        <f aca="false">MIN($BR$6,BR241+BS241)</f>
        <v>0</v>
      </c>
      <c r="BU241" s="30" t="n">
        <f aca="false">MAX(0,MIN(BL241,BR241+BS241-BT241))</f>
        <v>0</v>
      </c>
      <c r="BV241" s="29" t="n">
        <f aca="false">BL241-BU241</f>
        <v>690</v>
      </c>
      <c r="BW241" s="30" t="n">
        <f aca="false">BR241+BS241-BT241-BU241</f>
        <v>0</v>
      </c>
      <c r="BX241" s="30" t="n">
        <f aca="false">CA240</f>
        <v>0</v>
      </c>
      <c r="BY241" s="30" t="n">
        <f aca="false">BX241*$BR$5/12</f>
        <v>0</v>
      </c>
      <c r="BZ241" s="30" t="n">
        <f aca="false">MIN($BR$6,BX241+BY241)</f>
        <v>0</v>
      </c>
      <c r="CA241" s="30" t="n">
        <f aca="false">BX241+BY241-BZ241</f>
        <v>0</v>
      </c>
      <c r="CB241" s="30" t="n">
        <f aca="false">CG240</f>
        <v>0</v>
      </c>
      <c r="CC241" s="30" t="n">
        <f aca="false">CB241*$CB$5/12</f>
        <v>0</v>
      </c>
      <c r="CD241" s="30" t="n">
        <f aca="false">MIN($CB$6,CB241+CC241)</f>
        <v>0</v>
      </c>
      <c r="CE241" s="30" t="n">
        <f aca="false">MAX(0,MIN(BV241,CB241+CC241-CD241))</f>
        <v>0</v>
      </c>
      <c r="CF241" s="29" t="n">
        <f aca="false">BV241-CE241</f>
        <v>690</v>
      </c>
      <c r="CG241" s="30" t="n">
        <f aca="false">CB241+CC241-CD241-CE241</f>
        <v>0</v>
      </c>
      <c r="CH241" s="30" t="n">
        <f aca="false">CK240</f>
        <v>0</v>
      </c>
      <c r="CI241" s="30" t="n">
        <f aca="false">CH241*$CB$5/12</f>
        <v>0</v>
      </c>
      <c r="CJ241" s="30" t="n">
        <f aca="false">MIN($CB$6,CH241+CI241)</f>
        <v>0</v>
      </c>
      <c r="CK241" s="30" t="n">
        <f aca="false">CH241+CI241-CJ241</f>
        <v>0</v>
      </c>
    </row>
    <row r="242" customFormat="false" ht="15" hidden="false" customHeight="false" outlineLevel="0" collapsed="false">
      <c r="A242" s="0" t="n">
        <v>234</v>
      </c>
      <c r="B242" s="29" t="n">
        <f aca="false">'1 Your debts'!$B$16-(L242+V242+AF242+AP242+AZ242+BJ242+BT242+CD242)</f>
        <v>690</v>
      </c>
      <c r="C242" s="34" t="n">
        <f aca="false">O242+Y242+AI242+AS242+BC242+BM242+BW242+CG242</f>
        <v>0</v>
      </c>
      <c r="D242" s="34" t="n">
        <f aca="false">K242+U242+AE242+AO242+AY242+BI242+BS242+CC242</f>
        <v>0</v>
      </c>
      <c r="F242" s="34" t="n">
        <f aca="false">S242+AC242+AM242+AW242+BG242+BQ242+CA242+CK242</f>
        <v>0</v>
      </c>
      <c r="G242" s="34" t="n">
        <f aca="false">Q242+AA242+AK242+AU242+BE242+BO242+BY242+CI242</f>
        <v>0</v>
      </c>
      <c r="J242" s="34" t="n">
        <f aca="false">O241</f>
        <v>0</v>
      </c>
      <c r="K242" s="34" t="n">
        <f aca="false">J242*$J$5/12</f>
        <v>0</v>
      </c>
      <c r="L242" s="29" t="n">
        <f aca="false">MIN($J$6,J242+K242)</f>
        <v>0</v>
      </c>
      <c r="M242" s="30" t="n">
        <f aca="false">MAX(0,MIN($B242,J242+K242-L242))</f>
        <v>0</v>
      </c>
      <c r="N242" s="29" t="n">
        <f aca="false">$B242-M242</f>
        <v>690</v>
      </c>
      <c r="O242" s="34" t="n">
        <f aca="false">J242+K242-L242-M242</f>
        <v>0</v>
      </c>
      <c r="P242" s="34" t="n">
        <f aca="false">S241</f>
        <v>0</v>
      </c>
      <c r="Q242" s="34" t="n">
        <f aca="false">P242*$J$5/12</f>
        <v>0</v>
      </c>
      <c r="R242" s="29" t="n">
        <f aca="false">MIN($J$6,P242+Q242)</f>
        <v>0</v>
      </c>
      <c r="S242" s="34" t="n">
        <f aca="false">P242+Q242-R242</f>
        <v>0</v>
      </c>
      <c r="T242" s="34" t="n">
        <f aca="false">Y241</f>
        <v>0</v>
      </c>
      <c r="U242" s="34" t="n">
        <f aca="false">T242*$T$5/12</f>
        <v>0</v>
      </c>
      <c r="V242" s="29" t="n">
        <f aca="false">MIN($T$6,T242+U242)</f>
        <v>0</v>
      </c>
      <c r="W242" s="30" t="n">
        <f aca="false">MAX(0,MIN(N242,T242+U242-V242))</f>
        <v>0</v>
      </c>
      <c r="X242" s="29" t="n">
        <f aca="false">N242-W242</f>
        <v>690</v>
      </c>
      <c r="Y242" s="34" t="n">
        <f aca="false">T242+U242-V242-W242</f>
        <v>0</v>
      </c>
      <c r="Z242" s="34" t="n">
        <f aca="false">AC241</f>
        <v>0</v>
      </c>
      <c r="AA242" s="34" t="n">
        <f aca="false">Z242*$T$5/12</f>
        <v>0</v>
      </c>
      <c r="AB242" s="29" t="n">
        <f aca="false">MIN($T$6,Z242+AA242)</f>
        <v>0</v>
      </c>
      <c r="AC242" s="34" t="n">
        <f aca="false">Z242+AA242-AB242</f>
        <v>0</v>
      </c>
      <c r="AD242" s="34" t="n">
        <f aca="false">AI241</f>
        <v>0</v>
      </c>
      <c r="AE242" s="34" t="n">
        <f aca="false">AD242*$AD$5/12</f>
        <v>0</v>
      </c>
      <c r="AF242" s="29" t="n">
        <f aca="false">MIN($AD$6,AD242+AE242)</f>
        <v>0</v>
      </c>
      <c r="AG242" s="30" t="n">
        <f aca="false">MAX(0,MIN(X242,AD242+AE242-AF242))</f>
        <v>0</v>
      </c>
      <c r="AH242" s="29" t="n">
        <f aca="false">X242-AG242</f>
        <v>690</v>
      </c>
      <c r="AI242" s="34" t="n">
        <f aca="false">AD242+AE242-AF242-AG242</f>
        <v>0</v>
      </c>
      <c r="AJ242" s="34" t="n">
        <f aca="false">AM241</f>
        <v>0</v>
      </c>
      <c r="AK242" s="34" t="n">
        <f aca="false">AJ242*$AD$5/12</f>
        <v>0</v>
      </c>
      <c r="AL242" s="29" t="n">
        <f aca="false">MIN($AD$6,AJ242+AK242)</f>
        <v>0</v>
      </c>
      <c r="AM242" s="34" t="n">
        <f aca="false">AJ242+AK242-AL242</f>
        <v>0</v>
      </c>
      <c r="AN242" s="34" t="n">
        <f aca="false">AS241</f>
        <v>0</v>
      </c>
      <c r="AO242" s="34" t="n">
        <f aca="false">AN242*$AN$5/12</f>
        <v>0</v>
      </c>
      <c r="AP242" s="29" t="n">
        <f aca="false">MIN($AN$6,AN242+AO242)</f>
        <v>0</v>
      </c>
      <c r="AQ242" s="30" t="n">
        <f aca="false">MAX(0,MIN(AH242,AN242+AO242-AP242))</f>
        <v>0</v>
      </c>
      <c r="AR242" s="29" t="n">
        <f aca="false">AH242-AQ242</f>
        <v>690</v>
      </c>
      <c r="AS242" s="34" t="n">
        <f aca="false">AN242+AO242-AP242-AQ242</f>
        <v>0</v>
      </c>
      <c r="AT242" s="34" t="n">
        <f aca="false">AW241</f>
        <v>0</v>
      </c>
      <c r="AU242" s="34" t="n">
        <f aca="false">AT242*$AN$5/12</f>
        <v>0</v>
      </c>
      <c r="AV242" s="29" t="n">
        <f aca="false">MIN($AN$6,AT242+AU242)</f>
        <v>0</v>
      </c>
      <c r="AW242" s="34" t="n">
        <f aca="false">AT242+AU242-AV242</f>
        <v>0</v>
      </c>
      <c r="AX242" s="30" t="n">
        <f aca="false">BC241</f>
        <v>0</v>
      </c>
      <c r="AY242" s="30" t="n">
        <f aca="false">AX242*$AX$5/12</f>
        <v>0</v>
      </c>
      <c r="AZ242" s="30" t="n">
        <f aca="false">MIN($AX$6,AX242+AY242)</f>
        <v>0</v>
      </c>
      <c r="BA242" s="30" t="n">
        <f aca="false">MAX(0,MIN(AR242,AX242+AY242-AZ242))</f>
        <v>0</v>
      </c>
      <c r="BB242" s="29" t="n">
        <f aca="false">AR242-BA242</f>
        <v>690</v>
      </c>
      <c r="BC242" s="30" t="n">
        <f aca="false">AX242+AY242-AZ242-BA242</f>
        <v>0</v>
      </c>
      <c r="BD242" s="30" t="n">
        <f aca="false">BG241</f>
        <v>0</v>
      </c>
      <c r="BE242" s="30" t="n">
        <f aca="false">BD242*$AX$5/12</f>
        <v>0</v>
      </c>
      <c r="BF242" s="30" t="n">
        <f aca="false">MIN($AX$6,BD242+BE242)</f>
        <v>0</v>
      </c>
      <c r="BG242" s="30" t="n">
        <f aca="false">BD242+BE242-BF242</f>
        <v>0</v>
      </c>
      <c r="BH242" s="30" t="n">
        <f aca="false">BM241</f>
        <v>0</v>
      </c>
      <c r="BI242" s="30" t="n">
        <f aca="false">BH242*$BH$5/12</f>
        <v>0</v>
      </c>
      <c r="BJ242" s="30" t="n">
        <f aca="false">MIN($BH$6,BH242+BI242)</f>
        <v>0</v>
      </c>
      <c r="BK242" s="30" t="n">
        <f aca="false">MAX(0,MIN(BB242,BH242+BI242-BJ242))</f>
        <v>0</v>
      </c>
      <c r="BL242" s="29" t="n">
        <f aca="false">BB242-BK242</f>
        <v>690</v>
      </c>
      <c r="BM242" s="30" t="n">
        <f aca="false">BH242+BI242-BJ242-BK242</f>
        <v>0</v>
      </c>
      <c r="BN242" s="30" t="n">
        <f aca="false">BQ241</f>
        <v>0</v>
      </c>
      <c r="BO242" s="30" t="n">
        <f aca="false">BN242*$BH$5/12</f>
        <v>0</v>
      </c>
      <c r="BP242" s="30" t="n">
        <f aca="false">MIN($BH$6,BN242+BO242)</f>
        <v>0</v>
      </c>
      <c r="BQ242" s="30" t="n">
        <f aca="false">BN242+BO242-BP242</f>
        <v>0</v>
      </c>
      <c r="BR242" s="30" t="n">
        <f aca="false">BW241</f>
        <v>0</v>
      </c>
      <c r="BS242" s="30" t="n">
        <f aca="false">BR242*$BR$5/12</f>
        <v>0</v>
      </c>
      <c r="BT242" s="30" t="n">
        <f aca="false">MIN($BR$6,BR242+BS242)</f>
        <v>0</v>
      </c>
      <c r="BU242" s="30" t="n">
        <f aca="false">MAX(0,MIN(BL242,BR242+BS242-BT242))</f>
        <v>0</v>
      </c>
      <c r="BV242" s="29" t="n">
        <f aca="false">BL242-BU242</f>
        <v>690</v>
      </c>
      <c r="BW242" s="30" t="n">
        <f aca="false">BR242+BS242-BT242-BU242</f>
        <v>0</v>
      </c>
      <c r="BX242" s="30" t="n">
        <f aca="false">CA241</f>
        <v>0</v>
      </c>
      <c r="BY242" s="30" t="n">
        <f aca="false">BX242*$BR$5/12</f>
        <v>0</v>
      </c>
      <c r="BZ242" s="30" t="n">
        <f aca="false">MIN($BR$6,BX242+BY242)</f>
        <v>0</v>
      </c>
      <c r="CA242" s="30" t="n">
        <f aca="false">BX242+BY242-BZ242</f>
        <v>0</v>
      </c>
      <c r="CB242" s="30" t="n">
        <f aca="false">CG241</f>
        <v>0</v>
      </c>
      <c r="CC242" s="30" t="n">
        <f aca="false">CB242*$CB$5/12</f>
        <v>0</v>
      </c>
      <c r="CD242" s="30" t="n">
        <f aca="false">MIN($CB$6,CB242+CC242)</f>
        <v>0</v>
      </c>
      <c r="CE242" s="30" t="n">
        <f aca="false">MAX(0,MIN(BV242,CB242+CC242-CD242))</f>
        <v>0</v>
      </c>
      <c r="CF242" s="29" t="n">
        <f aca="false">BV242-CE242</f>
        <v>690</v>
      </c>
      <c r="CG242" s="30" t="n">
        <f aca="false">CB242+CC242-CD242-CE242</f>
        <v>0</v>
      </c>
      <c r="CH242" s="30" t="n">
        <f aca="false">CK241</f>
        <v>0</v>
      </c>
      <c r="CI242" s="30" t="n">
        <f aca="false">CH242*$CB$5/12</f>
        <v>0</v>
      </c>
      <c r="CJ242" s="30" t="n">
        <f aca="false">MIN($CB$6,CH242+CI242)</f>
        <v>0</v>
      </c>
      <c r="CK242" s="30" t="n">
        <f aca="false">CH242+CI242-CJ242</f>
        <v>0</v>
      </c>
    </row>
    <row r="243" customFormat="false" ht="15" hidden="false" customHeight="false" outlineLevel="0" collapsed="false">
      <c r="A243" s="0" t="n">
        <v>235</v>
      </c>
      <c r="B243" s="29" t="n">
        <f aca="false">'1 Your debts'!$B$16-(L243+V243+AF243+AP243+AZ243+BJ243+BT243+CD243)</f>
        <v>690</v>
      </c>
      <c r="C243" s="34" t="n">
        <f aca="false">O243+Y243+AI243+AS243+BC243+BM243+BW243+CG243</f>
        <v>0</v>
      </c>
      <c r="D243" s="34" t="n">
        <f aca="false">K243+U243+AE243+AO243+AY243+BI243+BS243+CC243</f>
        <v>0</v>
      </c>
      <c r="F243" s="34" t="n">
        <f aca="false">S243+AC243+AM243+AW243+BG243+BQ243+CA243+CK243</f>
        <v>0</v>
      </c>
      <c r="G243" s="34" t="n">
        <f aca="false">Q243+AA243+AK243+AU243+BE243+BO243+BY243+CI243</f>
        <v>0</v>
      </c>
      <c r="J243" s="34" t="n">
        <f aca="false">O242</f>
        <v>0</v>
      </c>
      <c r="K243" s="34" t="n">
        <f aca="false">J243*$J$5/12</f>
        <v>0</v>
      </c>
      <c r="L243" s="29" t="n">
        <f aca="false">MIN($J$6,J243+K243)</f>
        <v>0</v>
      </c>
      <c r="M243" s="30" t="n">
        <f aca="false">MAX(0,MIN($B243,J243+K243-L243))</f>
        <v>0</v>
      </c>
      <c r="N243" s="29" t="n">
        <f aca="false">$B243-M243</f>
        <v>690</v>
      </c>
      <c r="O243" s="34" t="n">
        <f aca="false">J243+K243-L243-M243</f>
        <v>0</v>
      </c>
      <c r="P243" s="34" t="n">
        <f aca="false">S242</f>
        <v>0</v>
      </c>
      <c r="Q243" s="34" t="n">
        <f aca="false">P243*$J$5/12</f>
        <v>0</v>
      </c>
      <c r="R243" s="29" t="n">
        <f aca="false">MIN($J$6,P243+Q243)</f>
        <v>0</v>
      </c>
      <c r="S243" s="34" t="n">
        <f aca="false">P243+Q243-R243</f>
        <v>0</v>
      </c>
      <c r="T243" s="34" t="n">
        <f aca="false">Y242</f>
        <v>0</v>
      </c>
      <c r="U243" s="34" t="n">
        <f aca="false">T243*$T$5/12</f>
        <v>0</v>
      </c>
      <c r="V243" s="29" t="n">
        <f aca="false">MIN($T$6,T243+U243)</f>
        <v>0</v>
      </c>
      <c r="W243" s="30" t="n">
        <f aca="false">MAX(0,MIN(N243,T243+U243-V243))</f>
        <v>0</v>
      </c>
      <c r="X243" s="29" t="n">
        <f aca="false">N243-W243</f>
        <v>690</v>
      </c>
      <c r="Y243" s="34" t="n">
        <f aca="false">T243+U243-V243-W243</f>
        <v>0</v>
      </c>
      <c r="Z243" s="34" t="n">
        <f aca="false">AC242</f>
        <v>0</v>
      </c>
      <c r="AA243" s="34" t="n">
        <f aca="false">Z243*$T$5/12</f>
        <v>0</v>
      </c>
      <c r="AB243" s="29" t="n">
        <f aca="false">MIN($T$6,Z243+AA243)</f>
        <v>0</v>
      </c>
      <c r="AC243" s="34" t="n">
        <f aca="false">Z243+AA243-AB243</f>
        <v>0</v>
      </c>
      <c r="AD243" s="34" t="n">
        <f aca="false">AI242</f>
        <v>0</v>
      </c>
      <c r="AE243" s="34" t="n">
        <f aca="false">AD243*$AD$5/12</f>
        <v>0</v>
      </c>
      <c r="AF243" s="29" t="n">
        <f aca="false">MIN($AD$6,AD243+AE243)</f>
        <v>0</v>
      </c>
      <c r="AG243" s="30" t="n">
        <f aca="false">MAX(0,MIN(X243,AD243+AE243-AF243))</f>
        <v>0</v>
      </c>
      <c r="AH243" s="29" t="n">
        <f aca="false">X243-AG243</f>
        <v>690</v>
      </c>
      <c r="AI243" s="34" t="n">
        <f aca="false">AD243+AE243-AF243-AG243</f>
        <v>0</v>
      </c>
      <c r="AJ243" s="34" t="n">
        <f aca="false">AM242</f>
        <v>0</v>
      </c>
      <c r="AK243" s="34" t="n">
        <f aca="false">AJ243*$AD$5/12</f>
        <v>0</v>
      </c>
      <c r="AL243" s="29" t="n">
        <f aca="false">MIN($AD$6,AJ243+AK243)</f>
        <v>0</v>
      </c>
      <c r="AM243" s="34" t="n">
        <f aca="false">AJ243+AK243-AL243</f>
        <v>0</v>
      </c>
      <c r="AN243" s="34" t="n">
        <f aca="false">AS242</f>
        <v>0</v>
      </c>
      <c r="AO243" s="34" t="n">
        <f aca="false">AN243*$AN$5/12</f>
        <v>0</v>
      </c>
      <c r="AP243" s="29" t="n">
        <f aca="false">MIN($AN$6,AN243+AO243)</f>
        <v>0</v>
      </c>
      <c r="AQ243" s="30" t="n">
        <f aca="false">MAX(0,MIN(AH243,AN243+AO243-AP243))</f>
        <v>0</v>
      </c>
      <c r="AR243" s="29" t="n">
        <f aca="false">AH243-AQ243</f>
        <v>690</v>
      </c>
      <c r="AS243" s="34" t="n">
        <f aca="false">AN243+AO243-AP243-AQ243</f>
        <v>0</v>
      </c>
      <c r="AT243" s="34" t="n">
        <f aca="false">AW242</f>
        <v>0</v>
      </c>
      <c r="AU243" s="34" t="n">
        <f aca="false">AT243*$AN$5/12</f>
        <v>0</v>
      </c>
      <c r="AV243" s="29" t="n">
        <f aca="false">MIN($AN$6,AT243+AU243)</f>
        <v>0</v>
      </c>
      <c r="AW243" s="34" t="n">
        <f aca="false">AT243+AU243-AV243</f>
        <v>0</v>
      </c>
      <c r="AX243" s="30" t="n">
        <f aca="false">BC242</f>
        <v>0</v>
      </c>
      <c r="AY243" s="30" t="n">
        <f aca="false">AX243*$AX$5/12</f>
        <v>0</v>
      </c>
      <c r="AZ243" s="30" t="n">
        <f aca="false">MIN($AX$6,AX243+AY243)</f>
        <v>0</v>
      </c>
      <c r="BA243" s="30" t="n">
        <f aca="false">MAX(0,MIN(AR243,AX243+AY243-AZ243))</f>
        <v>0</v>
      </c>
      <c r="BB243" s="29" t="n">
        <f aca="false">AR243-BA243</f>
        <v>690</v>
      </c>
      <c r="BC243" s="30" t="n">
        <f aca="false">AX243+AY243-AZ243-BA243</f>
        <v>0</v>
      </c>
      <c r="BD243" s="30" t="n">
        <f aca="false">BG242</f>
        <v>0</v>
      </c>
      <c r="BE243" s="30" t="n">
        <f aca="false">BD243*$AX$5/12</f>
        <v>0</v>
      </c>
      <c r="BF243" s="30" t="n">
        <f aca="false">MIN($AX$6,BD243+BE243)</f>
        <v>0</v>
      </c>
      <c r="BG243" s="30" t="n">
        <f aca="false">BD243+BE243-BF243</f>
        <v>0</v>
      </c>
      <c r="BH243" s="30" t="n">
        <f aca="false">BM242</f>
        <v>0</v>
      </c>
      <c r="BI243" s="30" t="n">
        <f aca="false">BH243*$BH$5/12</f>
        <v>0</v>
      </c>
      <c r="BJ243" s="30" t="n">
        <f aca="false">MIN($BH$6,BH243+BI243)</f>
        <v>0</v>
      </c>
      <c r="BK243" s="30" t="n">
        <f aca="false">MAX(0,MIN(BB243,BH243+BI243-BJ243))</f>
        <v>0</v>
      </c>
      <c r="BL243" s="29" t="n">
        <f aca="false">BB243-BK243</f>
        <v>690</v>
      </c>
      <c r="BM243" s="30" t="n">
        <f aca="false">BH243+BI243-BJ243-BK243</f>
        <v>0</v>
      </c>
      <c r="BN243" s="30" t="n">
        <f aca="false">BQ242</f>
        <v>0</v>
      </c>
      <c r="BO243" s="30" t="n">
        <f aca="false">BN243*$BH$5/12</f>
        <v>0</v>
      </c>
      <c r="BP243" s="30" t="n">
        <f aca="false">MIN($BH$6,BN243+BO243)</f>
        <v>0</v>
      </c>
      <c r="BQ243" s="30" t="n">
        <f aca="false">BN243+BO243-BP243</f>
        <v>0</v>
      </c>
      <c r="BR243" s="30" t="n">
        <f aca="false">BW242</f>
        <v>0</v>
      </c>
      <c r="BS243" s="30" t="n">
        <f aca="false">BR243*$BR$5/12</f>
        <v>0</v>
      </c>
      <c r="BT243" s="30" t="n">
        <f aca="false">MIN($BR$6,BR243+BS243)</f>
        <v>0</v>
      </c>
      <c r="BU243" s="30" t="n">
        <f aca="false">MAX(0,MIN(BL243,BR243+BS243-BT243))</f>
        <v>0</v>
      </c>
      <c r="BV243" s="29" t="n">
        <f aca="false">BL243-BU243</f>
        <v>690</v>
      </c>
      <c r="BW243" s="30" t="n">
        <f aca="false">BR243+BS243-BT243-BU243</f>
        <v>0</v>
      </c>
      <c r="BX243" s="30" t="n">
        <f aca="false">CA242</f>
        <v>0</v>
      </c>
      <c r="BY243" s="30" t="n">
        <f aca="false">BX243*$BR$5/12</f>
        <v>0</v>
      </c>
      <c r="BZ243" s="30" t="n">
        <f aca="false">MIN($BR$6,BX243+BY243)</f>
        <v>0</v>
      </c>
      <c r="CA243" s="30" t="n">
        <f aca="false">BX243+BY243-BZ243</f>
        <v>0</v>
      </c>
      <c r="CB243" s="30" t="n">
        <f aca="false">CG242</f>
        <v>0</v>
      </c>
      <c r="CC243" s="30" t="n">
        <f aca="false">CB243*$CB$5/12</f>
        <v>0</v>
      </c>
      <c r="CD243" s="30" t="n">
        <f aca="false">MIN($CB$6,CB243+CC243)</f>
        <v>0</v>
      </c>
      <c r="CE243" s="30" t="n">
        <f aca="false">MAX(0,MIN(BV243,CB243+CC243-CD243))</f>
        <v>0</v>
      </c>
      <c r="CF243" s="29" t="n">
        <f aca="false">BV243-CE243</f>
        <v>690</v>
      </c>
      <c r="CG243" s="30" t="n">
        <f aca="false">CB243+CC243-CD243-CE243</f>
        <v>0</v>
      </c>
      <c r="CH243" s="30" t="n">
        <f aca="false">CK242</f>
        <v>0</v>
      </c>
      <c r="CI243" s="30" t="n">
        <f aca="false">CH243*$CB$5/12</f>
        <v>0</v>
      </c>
      <c r="CJ243" s="30" t="n">
        <f aca="false">MIN($CB$6,CH243+CI243)</f>
        <v>0</v>
      </c>
      <c r="CK243" s="30" t="n">
        <f aca="false">CH243+CI243-CJ243</f>
        <v>0</v>
      </c>
    </row>
    <row r="244" customFormat="false" ht="15" hidden="false" customHeight="false" outlineLevel="0" collapsed="false">
      <c r="A244" s="0" t="n">
        <v>236</v>
      </c>
      <c r="B244" s="29" t="n">
        <f aca="false">'1 Your debts'!$B$16-(L244+V244+AF244+AP244+AZ244+BJ244+BT244+CD244)</f>
        <v>690</v>
      </c>
      <c r="C244" s="34" t="n">
        <f aca="false">O244+Y244+AI244+AS244+BC244+BM244+BW244+CG244</f>
        <v>0</v>
      </c>
      <c r="D244" s="34" t="n">
        <f aca="false">K244+U244+AE244+AO244+AY244+BI244+BS244+CC244</f>
        <v>0</v>
      </c>
      <c r="F244" s="34" t="n">
        <f aca="false">S244+AC244+AM244+AW244+BG244+BQ244+CA244+CK244</f>
        <v>0</v>
      </c>
      <c r="G244" s="34" t="n">
        <f aca="false">Q244+AA244+AK244+AU244+BE244+BO244+BY244+CI244</f>
        <v>0</v>
      </c>
      <c r="J244" s="34" t="n">
        <f aca="false">O243</f>
        <v>0</v>
      </c>
      <c r="K244" s="34" t="n">
        <f aca="false">J244*$J$5/12</f>
        <v>0</v>
      </c>
      <c r="L244" s="29" t="n">
        <f aca="false">MIN($J$6,J244+K244)</f>
        <v>0</v>
      </c>
      <c r="M244" s="30" t="n">
        <f aca="false">MAX(0,MIN($B244,J244+K244-L244))</f>
        <v>0</v>
      </c>
      <c r="N244" s="29" t="n">
        <f aca="false">$B244-M244</f>
        <v>690</v>
      </c>
      <c r="O244" s="34" t="n">
        <f aca="false">J244+K244-L244-M244</f>
        <v>0</v>
      </c>
      <c r="P244" s="34" t="n">
        <f aca="false">S243</f>
        <v>0</v>
      </c>
      <c r="Q244" s="34" t="n">
        <f aca="false">P244*$J$5/12</f>
        <v>0</v>
      </c>
      <c r="R244" s="29" t="n">
        <f aca="false">MIN($J$6,P244+Q244)</f>
        <v>0</v>
      </c>
      <c r="S244" s="34" t="n">
        <f aca="false">P244+Q244-R244</f>
        <v>0</v>
      </c>
      <c r="T244" s="34" t="n">
        <f aca="false">Y243</f>
        <v>0</v>
      </c>
      <c r="U244" s="34" t="n">
        <f aca="false">T244*$T$5/12</f>
        <v>0</v>
      </c>
      <c r="V244" s="29" t="n">
        <f aca="false">MIN($T$6,T244+U244)</f>
        <v>0</v>
      </c>
      <c r="W244" s="30" t="n">
        <f aca="false">MAX(0,MIN(N244,T244+U244-V244))</f>
        <v>0</v>
      </c>
      <c r="X244" s="29" t="n">
        <f aca="false">N244-W244</f>
        <v>690</v>
      </c>
      <c r="Y244" s="34" t="n">
        <f aca="false">T244+U244-V244-W244</f>
        <v>0</v>
      </c>
      <c r="Z244" s="34" t="n">
        <f aca="false">AC243</f>
        <v>0</v>
      </c>
      <c r="AA244" s="34" t="n">
        <f aca="false">Z244*$T$5/12</f>
        <v>0</v>
      </c>
      <c r="AB244" s="29" t="n">
        <f aca="false">MIN($T$6,Z244+AA244)</f>
        <v>0</v>
      </c>
      <c r="AC244" s="34" t="n">
        <f aca="false">Z244+AA244-AB244</f>
        <v>0</v>
      </c>
      <c r="AD244" s="34" t="n">
        <f aca="false">AI243</f>
        <v>0</v>
      </c>
      <c r="AE244" s="34" t="n">
        <f aca="false">AD244*$AD$5/12</f>
        <v>0</v>
      </c>
      <c r="AF244" s="29" t="n">
        <f aca="false">MIN($AD$6,AD244+AE244)</f>
        <v>0</v>
      </c>
      <c r="AG244" s="30" t="n">
        <f aca="false">MAX(0,MIN(X244,AD244+AE244-AF244))</f>
        <v>0</v>
      </c>
      <c r="AH244" s="29" t="n">
        <f aca="false">X244-AG244</f>
        <v>690</v>
      </c>
      <c r="AI244" s="34" t="n">
        <f aca="false">AD244+AE244-AF244-AG244</f>
        <v>0</v>
      </c>
      <c r="AJ244" s="34" t="n">
        <f aca="false">AM243</f>
        <v>0</v>
      </c>
      <c r="AK244" s="34" t="n">
        <f aca="false">AJ244*$AD$5/12</f>
        <v>0</v>
      </c>
      <c r="AL244" s="29" t="n">
        <f aca="false">MIN($AD$6,AJ244+AK244)</f>
        <v>0</v>
      </c>
      <c r="AM244" s="34" t="n">
        <f aca="false">AJ244+AK244-AL244</f>
        <v>0</v>
      </c>
      <c r="AN244" s="34" t="n">
        <f aca="false">AS243</f>
        <v>0</v>
      </c>
      <c r="AO244" s="34" t="n">
        <f aca="false">AN244*$AN$5/12</f>
        <v>0</v>
      </c>
      <c r="AP244" s="29" t="n">
        <f aca="false">MIN($AN$6,AN244+AO244)</f>
        <v>0</v>
      </c>
      <c r="AQ244" s="30" t="n">
        <f aca="false">MAX(0,MIN(AH244,AN244+AO244-AP244))</f>
        <v>0</v>
      </c>
      <c r="AR244" s="29" t="n">
        <f aca="false">AH244-AQ244</f>
        <v>690</v>
      </c>
      <c r="AS244" s="34" t="n">
        <f aca="false">AN244+AO244-AP244-AQ244</f>
        <v>0</v>
      </c>
      <c r="AT244" s="34" t="n">
        <f aca="false">AW243</f>
        <v>0</v>
      </c>
      <c r="AU244" s="34" t="n">
        <f aca="false">AT244*$AN$5/12</f>
        <v>0</v>
      </c>
      <c r="AV244" s="29" t="n">
        <f aca="false">MIN($AN$6,AT244+AU244)</f>
        <v>0</v>
      </c>
      <c r="AW244" s="34" t="n">
        <f aca="false">AT244+AU244-AV244</f>
        <v>0</v>
      </c>
      <c r="AX244" s="30" t="n">
        <f aca="false">BC243</f>
        <v>0</v>
      </c>
      <c r="AY244" s="30" t="n">
        <f aca="false">AX244*$AX$5/12</f>
        <v>0</v>
      </c>
      <c r="AZ244" s="30" t="n">
        <f aca="false">MIN($AX$6,AX244+AY244)</f>
        <v>0</v>
      </c>
      <c r="BA244" s="30" t="n">
        <f aca="false">MAX(0,MIN(AR244,AX244+AY244-AZ244))</f>
        <v>0</v>
      </c>
      <c r="BB244" s="29" t="n">
        <f aca="false">AR244-BA244</f>
        <v>690</v>
      </c>
      <c r="BC244" s="30" t="n">
        <f aca="false">AX244+AY244-AZ244-BA244</f>
        <v>0</v>
      </c>
      <c r="BD244" s="30" t="n">
        <f aca="false">BG243</f>
        <v>0</v>
      </c>
      <c r="BE244" s="30" t="n">
        <f aca="false">BD244*$AX$5/12</f>
        <v>0</v>
      </c>
      <c r="BF244" s="30" t="n">
        <f aca="false">MIN($AX$6,BD244+BE244)</f>
        <v>0</v>
      </c>
      <c r="BG244" s="30" t="n">
        <f aca="false">BD244+BE244-BF244</f>
        <v>0</v>
      </c>
      <c r="BH244" s="30" t="n">
        <f aca="false">BM243</f>
        <v>0</v>
      </c>
      <c r="BI244" s="30" t="n">
        <f aca="false">BH244*$BH$5/12</f>
        <v>0</v>
      </c>
      <c r="BJ244" s="30" t="n">
        <f aca="false">MIN($BH$6,BH244+BI244)</f>
        <v>0</v>
      </c>
      <c r="BK244" s="30" t="n">
        <f aca="false">MAX(0,MIN(BB244,BH244+BI244-BJ244))</f>
        <v>0</v>
      </c>
      <c r="BL244" s="29" t="n">
        <f aca="false">BB244-BK244</f>
        <v>690</v>
      </c>
      <c r="BM244" s="30" t="n">
        <f aca="false">BH244+BI244-BJ244-BK244</f>
        <v>0</v>
      </c>
      <c r="BN244" s="30" t="n">
        <f aca="false">BQ243</f>
        <v>0</v>
      </c>
      <c r="BO244" s="30" t="n">
        <f aca="false">BN244*$BH$5/12</f>
        <v>0</v>
      </c>
      <c r="BP244" s="30" t="n">
        <f aca="false">MIN($BH$6,BN244+BO244)</f>
        <v>0</v>
      </c>
      <c r="BQ244" s="30" t="n">
        <f aca="false">BN244+BO244-BP244</f>
        <v>0</v>
      </c>
      <c r="BR244" s="30" t="n">
        <f aca="false">BW243</f>
        <v>0</v>
      </c>
      <c r="BS244" s="30" t="n">
        <f aca="false">BR244*$BR$5/12</f>
        <v>0</v>
      </c>
      <c r="BT244" s="30" t="n">
        <f aca="false">MIN($BR$6,BR244+BS244)</f>
        <v>0</v>
      </c>
      <c r="BU244" s="30" t="n">
        <f aca="false">MAX(0,MIN(BL244,BR244+BS244-BT244))</f>
        <v>0</v>
      </c>
      <c r="BV244" s="29" t="n">
        <f aca="false">BL244-BU244</f>
        <v>690</v>
      </c>
      <c r="BW244" s="30" t="n">
        <f aca="false">BR244+BS244-BT244-BU244</f>
        <v>0</v>
      </c>
      <c r="BX244" s="30" t="n">
        <f aca="false">CA243</f>
        <v>0</v>
      </c>
      <c r="BY244" s="30" t="n">
        <f aca="false">BX244*$BR$5/12</f>
        <v>0</v>
      </c>
      <c r="BZ244" s="30" t="n">
        <f aca="false">MIN($BR$6,BX244+BY244)</f>
        <v>0</v>
      </c>
      <c r="CA244" s="30" t="n">
        <f aca="false">BX244+BY244-BZ244</f>
        <v>0</v>
      </c>
      <c r="CB244" s="30" t="n">
        <f aca="false">CG243</f>
        <v>0</v>
      </c>
      <c r="CC244" s="30" t="n">
        <f aca="false">CB244*$CB$5/12</f>
        <v>0</v>
      </c>
      <c r="CD244" s="30" t="n">
        <f aca="false">MIN($CB$6,CB244+CC244)</f>
        <v>0</v>
      </c>
      <c r="CE244" s="30" t="n">
        <f aca="false">MAX(0,MIN(BV244,CB244+CC244-CD244))</f>
        <v>0</v>
      </c>
      <c r="CF244" s="29" t="n">
        <f aca="false">BV244-CE244</f>
        <v>690</v>
      </c>
      <c r="CG244" s="30" t="n">
        <f aca="false">CB244+CC244-CD244-CE244</f>
        <v>0</v>
      </c>
      <c r="CH244" s="30" t="n">
        <f aca="false">CK243</f>
        <v>0</v>
      </c>
      <c r="CI244" s="30" t="n">
        <f aca="false">CH244*$CB$5/12</f>
        <v>0</v>
      </c>
      <c r="CJ244" s="30" t="n">
        <f aca="false">MIN($CB$6,CH244+CI244)</f>
        <v>0</v>
      </c>
      <c r="CK244" s="30" t="n">
        <f aca="false">CH244+CI244-CJ244</f>
        <v>0</v>
      </c>
    </row>
    <row r="245" customFormat="false" ht="15" hidden="false" customHeight="false" outlineLevel="0" collapsed="false">
      <c r="A245" s="0" t="n">
        <v>237</v>
      </c>
      <c r="B245" s="29" t="n">
        <f aca="false">'1 Your debts'!$B$16-(L245+V245+AF245+AP245+AZ245+BJ245+BT245+CD245)</f>
        <v>690</v>
      </c>
      <c r="C245" s="34" t="n">
        <f aca="false">O245+Y245+AI245+AS245+BC245+BM245+BW245+CG245</f>
        <v>0</v>
      </c>
      <c r="D245" s="34" t="n">
        <f aca="false">K245+U245+AE245+AO245+AY245+BI245+BS245+CC245</f>
        <v>0</v>
      </c>
      <c r="F245" s="34" t="n">
        <f aca="false">S245+AC245+AM245+AW245+BG245+BQ245+CA245+CK245</f>
        <v>0</v>
      </c>
      <c r="G245" s="34" t="n">
        <f aca="false">Q245+AA245+AK245+AU245+BE245+BO245+BY245+CI245</f>
        <v>0</v>
      </c>
      <c r="J245" s="34" t="n">
        <f aca="false">O244</f>
        <v>0</v>
      </c>
      <c r="K245" s="34" t="n">
        <f aca="false">J245*$J$5/12</f>
        <v>0</v>
      </c>
      <c r="L245" s="29" t="n">
        <f aca="false">MIN($J$6,J245+K245)</f>
        <v>0</v>
      </c>
      <c r="M245" s="30" t="n">
        <f aca="false">MAX(0,MIN($B245,J245+K245-L245))</f>
        <v>0</v>
      </c>
      <c r="N245" s="29" t="n">
        <f aca="false">$B245-M245</f>
        <v>690</v>
      </c>
      <c r="O245" s="34" t="n">
        <f aca="false">J245+K245-L245-M245</f>
        <v>0</v>
      </c>
      <c r="P245" s="34" t="n">
        <f aca="false">S244</f>
        <v>0</v>
      </c>
      <c r="Q245" s="34" t="n">
        <f aca="false">P245*$J$5/12</f>
        <v>0</v>
      </c>
      <c r="R245" s="29" t="n">
        <f aca="false">MIN($J$6,P245+Q245)</f>
        <v>0</v>
      </c>
      <c r="S245" s="34" t="n">
        <f aca="false">P245+Q245-R245</f>
        <v>0</v>
      </c>
      <c r="T245" s="34" t="n">
        <f aca="false">Y244</f>
        <v>0</v>
      </c>
      <c r="U245" s="34" t="n">
        <f aca="false">T245*$T$5/12</f>
        <v>0</v>
      </c>
      <c r="V245" s="29" t="n">
        <f aca="false">MIN($T$6,T245+U245)</f>
        <v>0</v>
      </c>
      <c r="W245" s="30" t="n">
        <f aca="false">MAX(0,MIN(N245,T245+U245-V245))</f>
        <v>0</v>
      </c>
      <c r="X245" s="29" t="n">
        <f aca="false">N245-W245</f>
        <v>690</v>
      </c>
      <c r="Y245" s="34" t="n">
        <f aca="false">T245+U245-V245-W245</f>
        <v>0</v>
      </c>
      <c r="Z245" s="34" t="n">
        <f aca="false">AC244</f>
        <v>0</v>
      </c>
      <c r="AA245" s="34" t="n">
        <f aca="false">Z245*$T$5/12</f>
        <v>0</v>
      </c>
      <c r="AB245" s="29" t="n">
        <f aca="false">MIN($T$6,Z245+AA245)</f>
        <v>0</v>
      </c>
      <c r="AC245" s="34" t="n">
        <f aca="false">Z245+AA245-AB245</f>
        <v>0</v>
      </c>
      <c r="AD245" s="34" t="n">
        <f aca="false">AI244</f>
        <v>0</v>
      </c>
      <c r="AE245" s="34" t="n">
        <f aca="false">AD245*$AD$5/12</f>
        <v>0</v>
      </c>
      <c r="AF245" s="29" t="n">
        <f aca="false">MIN($AD$6,AD245+AE245)</f>
        <v>0</v>
      </c>
      <c r="AG245" s="30" t="n">
        <f aca="false">MAX(0,MIN(X245,AD245+AE245-AF245))</f>
        <v>0</v>
      </c>
      <c r="AH245" s="29" t="n">
        <f aca="false">X245-AG245</f>
        <v>690</v>
      </c>
      <c r="AI245" s="34" t="n">
        <f aca="false">AD245+AE245-AF245-AG245</f>
        <v>0</v>
      </c>
      <c r="AJ245" s="34" t="n">
        <f aca="false">AM244</f>
        <v>0</v>
      </c>
      <c r="AK245" s="34" t="n">
        <f aca="false">AJ245*$AD$5/12</f>
        <v>0</v>
      </c>
      <c r="AL245" s="29" t="n">
        <f aca="false">MIN($AD$6,AJ245+AK245)</f>
        <v>0</v>
      </c>
      <c r="AM245" s="34" t="n">
        <f aca="false">AJ245+AK245-AL245</f>
        <v>0</v>
      </c>
      <c r="AN245" s="34" t="n">
        <f aca="false">AS244</f>
        <v>0</v>
      </c>
      <c r="AO245" s="34" t="n">
        <f aca="false">AN245*$AN$5/12</f>
        <v>0</v>
      </c>
      <c r="AP245" s="29" t="n">
        <f aca="false">MIN($AN$6,AN245+AO245)</f>
        <v>0</v>
      </c>
      <c r="AQ245" s="30" t="n">
        <f aca="false">MAX(0,MIN(AH245,AN245+AO245-AP245))</f>
        <v>0</v>
      </c>
      <c r="AR245" s="29" t="n">
        <f aca="false">AH245-AQ245</f>
        <v>690</v>
      </c>
      <c r="AS245" s="34" t="n">
        <f aca="false">AN245+AO245-AP245-AQ245</f>
        <v>0</v>
      </c>
      <c r="AT245" s="34" t="n">
        <f aca="false">AW244</f>
        <v>0</v>
      </c>
      <c r="AU245" s="34" t="n">
        <f aca="false">AT245*$AN$5/12</f>
        <v>0</v>
      </c>
      <c r="AV245" s="29" t="n">
        <f aca="false">MIN($AN$6,AT245+AU245)</f>
        <v>0</v>
      </c>
      <c r="AW245" s="34" t="n">
        <f aca="false">AT245+AU245-AV245</f>
        <v>0</v>
      </c>
      <c r="AX245" s="30" t="n">
        <f aca="false">BC244</f>
        <v>0</v>
      </c>
      <c r="AY245" s="30" t="n">
        <f aca="false">AX245*$AX$5/12</f>
        <v>0</v>
      </c>
      <c r="AZ245" s="30" t="n">
        <f aca="false">MIN($AX$6,AX245+AY245)</f>
        <v>0</v>
      </c>
      <c r="BA245" s="30" t="n">
        <f aca="false">MAX(0,MIN(AR245,AX245+AY245-AZ245))</f>
        <v>0</v>
      </c>
      <c r="BB245" s="29" t="n">
        <f aca="false">AR245-BA245</f>
        <v>690</v>
      </c>
      <c r="BC245" s="30" t="n">
        <f aca="false">AX245+AY245-AZ245-BA245</f>
        <v>0</v>
      </c>
      <c r="BD245" s="30" t="n">
        <f aca="false">BG244</f>
        <v>0</v>
      </c>
      <c r="BE245" s="30" t="n">
        <f aca="false">BD245*$AX$5/12</f>
        <v>0</v>
      </c>
      <c r="BF245" s="30" t="n">
        <f aca="false">MIN($AX$6,BD245+BE245)</f>
        <v>0</v>
      </c>
      <c r="BG245" s="30" t="n">
        <f aca="false">BD245+BE245-BF245</f>
        <v>0</v>
      </c>
      <c r="BH245" s="30" t="n">
        <f aca="false">BM244</f>
        <v>0</v>
      </c>
      <c r="BI245" s="30" t="n">
        <f aca="false">BH245*$BH$5/12</f>
        <v>0</v>
      </c>
      <c r="BJ245" s="30" t="n">
        <f aca="false">MIN($BH$6,BH245+BI245)</f>
        <v>0</v>
      </c>
      <c r="BK245" s="30" t="n">
        <f aca="false">MAX(0,MIN(BB245,BH245+BI245-BJ245))</f>
        <v>0</v>
      </c>
      <c r="BL245" s="29" t="n">
        <f aca="false">BB245-BK245</f>
        <v>690</v>
      </c>
      <c r="BM245" s="30" t="n">
        <f aca="false">BH245+BI245-BJ245-BK245</f>
        <v>0</v>
      </c>
      <c r="BN245" s="30" t="n">
        <f aca="false">BQ244</f>
        <v>0</v>
      </c>
      <c r="BO245" s="30" t="n">
        <f aca="false">BN245*$BH$5/12</f>
        <v>0</v>
      </c>
      <c r="BP245" s="30" t="n">
        <f aca="false">MIN($BH$6,BN245+BO245)</f>
        <v>0</v>
      </c>
      <c r="BQ245" s="30" t="n">
        <f aca="false">BN245+BO245-BP245</f>
        <v>0</v>
      </c>
      <c r="BR245" s="30" t="n">
        <f aca="false">BW244</f>
        <v>0</v>
      </c>
      <c r="BS245" s="30" t="n">
        <f aca="false">BR245*$BR$5/12</f>
        <v>0</v>
      </c>
      <c r="BT245" s="30" t="n">
        <f aca="false">MIN($BR$6,BR245+BS245)</f>
        <v>0</v>
      </c>
      <c r="BU245" s="30" t="n">
        <f aca="false">MAX(0,MIN(BL245,BR245+BS245-BT245))</f>
        <v>0</v>
      </c>
      <c r="BV245" s="29" t="n">
        <f aca="false">BL245-BU245</f>
        <v>690</v>
      </c>
      <c r="BW245" s="30" t="n">
        <f aca="false">BR245+BS245-BT245-BU245</f>
        <v>0</v>
      </c>
      <c r="BX245" s="30" t="n">
        <f aca="false">CA244</f>
        <v>0</v>
      </c>
      <c r="BY245" s="30" t="n">
        <f aca="false">BX245*$BR$5/12</f>
        <v>0</v>
      </c>
      <c r="BZ245" s="30" t="n">
        <f aca="false">MIN($BR$6,BX245+BY245)</f>
        <v>0</v>
      </c>
      <c r="CA245" s="30" t="n">
        <f aca="false">BX245+BY245-BZ245</f>
        <v>0</v>
      </c>
      <c r="CB245" s="30" t="n">
        <f aca="false">CG244</f>
        <v>0</v>
      </c>
      <c r="CC245" s="30" t="n">
        <f aca="false">CB245*$CB$5/12</f>
        <v>0</v>
      </c>
      <c r="CD245" s="30" t="n">
        <f aca="false">MIN($CB$6,CB245+CC245)</f>
        <v>0</v>
      </c>
      <c r="CE245" s="30" t="n">
        <f aca="false">MAX(0,MIN(BV245,CB245+CC245-CD245))</f>
        <v>0</v>
      </c>
      <c r="CF245" s="29" t="n">
        <f aca="false">BV245-CE245</f>
        <v>690</v>
      </c>
      <c r="CG245" s="30" t="n">
        <f aca="false">CB245+CC245-CD245-CE245</f>
        <v>0</v>
      </c>
      <c r="CH245" s="30" t="n">
        <f aca="false">CK244</f>
        <v>0</v>
      </c>
      <c r="CI245" s="30" t="n">
        <f aca="false">CH245*$CB$5/12</f>
        <v>0</v>
      </c>
      <c r="CJ245" s="30" t="n">
        <f aca="false">MIN($CB$6,CH245+CI245)</f>
        <v>0</v>
      </c>
      <c r="CK245" s="30" t="n">
        <f aca="false">CH245+CI245-CJ245</f>
        <v>0</v>
      </c>
    </row>
    <row r="246" customFormat="false" ht="15" hidden="false" customHeight="false" outlineLevel="0" collapsed="false">
      <c r="A246" s="0" t="n">
        <v>238</v>
      </c>
      <c r="B246" s="29" t="n">
        <f aca="false">'1 Your debts'!$B$16-(L246+V246+AF246+AP246+AZ246+BJ246+BT246+CD246)</f>
        <v>690</v>
      </c>
      <c r="C246" s="34" t="n">
        <f aca="false">O246+Y246+AI246+AS246+BC246+BM246+BW246+CG246</f>
        <v>0</v>
      </c>
      <c r="D246" s="34" t="n">
        <f aca="false">K246+U246+AE246+AO246+AY246+BI246+BS246+CC246</f>
        <v>0</v>
      </c>
      <c r="F246" s="34" t="n">
        <f aca="false">S246+AC246+AM246+AW246+BG246+BQ246+CA246+CK246</f>
        <v>0</v>
      </c>
      <c r="G246" s="34" t="n">
        <f aca="false">Q246+AA246+AK246+AU246+BE246+BO246+BY246+CI246</f>
        <v>0</v>
      </c>
      <c r="J246" s="34" t="n">
        <f aca="false">O245</f>
        <v>0</v>
      </c>
      <c r="K246" s="34" t="n">
        <f aca="false">J246*$J$5/12</f>
        <v>0</v>
      </c>
      <c r="L246" s="29" t="n">
        <f aca="false">MIN($J$6,J246+K246)</f>
        <v>0</v>
      </c>
      <c r="M246" s="30" t="n">
        <f aca="false">MAX(0,MIN($B246,J246+K246-L246))</f>
        <v>0</v>
      </c>
      <c r="N246" s="29" t="n">
        <f aca="false">$B246-M246</f>
        <v>690</v>
      </c>
      <c r="O246" s="34" t="n">
        <f aca="false">J246+K246-L246-M246</f>
        <v>0</v>
      </c>
      <c r="P246" s="34" t="n">
        <f aca="false">S245</f>
        <v>0</v>
      </c>
      <c r="Q246" s="34" t="n">
        <f aca="false">P246*$J$5/12</f>
        <v>0</v>
      </c>
      <c r="R246" s="29" t="n">
        <f aca="false">MIN($J$6,P246+Q246)</f>
        <v>0</v>
      </c>
      <c r="S246" s="34" t="n">
        <f aca="false">P246+Q246-R246</f>
        <v>0</v>
      </c>
      <c r="T246" s="34" t="n">
        <f aca="false">Y245</f>
        <v>0</v>
      </c>
      <c r="U246" s="34" t="n">
        <f aca="false">T246*$T$5/12</f>
        <v>0</v>
      </c>
      <c r="V246" s="29" t="n">
        <f aca="false">MIN($T$6,T246+U246)</f>
        <v>0</v>
      </c>
      <c r="W246" s="30" t="n">
        <f aca="false">MAX(0,MIN(N246,T246+U246-V246))</f>
        <v>0</v>
      </c>
      <c r="X246" s="29" t="n">
        <f aca="false">N246-W246</f>
        <v>690</v>
      </c>
      <c r="Y246" s="34" t="n">
        <f aca="false">T246+U246-V246-W246</f>
        <v>0</v>
      </c>
      <c r="Z246" s="34" t="n">
        <f aca="false">AC245</f>
        <v>0</v>
      </c>
      <c r="AA246" s="34" t="n">
        <f aca="false">Z246*$T$5/12</f>
        <v>0</v>
      </c>
      <c r="AB246" s="29" t="n">
        <f aca="false">MIN($T$6,Z246+AA246)</f>
        <v>0</v>
      </c>
      <c r="AC246" s="34" t="n">
        <f aca="false">Z246+AA246-AB246</f>
        <v>0</v>
      </c>
      <c r="AD246" s="34" t="n">
        <f aca="false">AI245</f>
        <v>0</v>
      </c>
      <c r="AE246" s="34" t="n">
        <f aca="false">AD246*$AD$5/12</f>
        <v>0</v>
      </c>
      <c r="AF246" s="29" t="n">
        <f aca="false">MIN($AD$6,AD246+AE246)</f>
        <v>0</v>
      </c>
      <c r="AG246" s="30" t="n">
        <f aca="false">MAX(0,MIN(X246,AD246+AE246-AF246))</f>
        <v>0</v>
      </c>
      <c r="AH246" s="29" t="n">
        <f aca="false">X246-AG246</f>
        <v>690</v>
      </c>
      <c r="AI246" s="34" t="n">
        <f aca="false">AD246+AE246-AF246-AG246</f>
        <v>0</v>
      </c>
      <c r="AJ246" s="34" t="n">
        <f aca="false">AM245</f>
        <v>0</v>
      </c>
      <c r="AK246" s="34" t="n">
        <f aca="false">AJ246*$AD$5/12</f>
        <v>0</v>
      </c>
      <c r="AL246" s="29" t="n">
        <f aca="false">MIN($AD$6,AJ246+AK246)</f>
        <v>0</v>
      </c>
      <c r="AM246" s="34" t="n">
        <f aca="false">AJ246+AK246-AL246</f>
        <v>0</v>
      </c>
      <c r="AN246" s="34" t="n">
        <f aca="false">AS245</f>
        <v>0</v>
      </c>
      <c r="AO246" s="34" t="n">
        <f aca="false">AN246*$AN$5/12</f>
        <v>0</v>
      </c>
      <c r="AP246" s="29" t="n">
        <f aca="false">MIN($AN$6,AN246+AO246)</f>
        <v>0</v>
      </c>
      <c r="AQ246" s="30" t="n">
        <f aca="false">MAX(0,MIN(AH246,AN246+AO246-AP246))</f>
        <v>0</v>
      </c>
      <c r="AR246" s="29" t="n">
        <f aca="false">AH246-AQ246</f>
        <v>690</v>
      </c>
      <c r="AS246" s="34" t="n">
        <f aca="false">AN246+AO246-AP246-AQ246</f>
        <v>0</v>
      </c>
      <c r="AT246" s="34" t="n">
        <f aca="false">AW245</f>
        <v>0</v>
      </c>
      <c r="AU246" s="34" t="n">
        <f aca="false">AT246*$AN$5/12</f>
        <v>0</v>
      </c>
      <c r="AV246" s="29" t="n">
        <f aca="false">MIN($AN$6,AT246+AU246)</f>
        <v>0</v>
      </c>
      <c r="AW246" s="34" t="n">
        <f aca="false">AT246+AU246-AV246</f>
        <v>0</v>
      </c>
      <c r="AX246" s="30" t="n">
        <f aca="false">BC245</f>
        <v>0</v>
      </c>
      <c r="AY246" s="30" t="n">
        <f aca="false">AX246*$AX$5/12</f>
        <v>0</v>
      </c>
      <c r="AZ246" s="30" t="n">
        <f aca="false">MIN($AX$6,AX246+AY246)</f>
        <v>0</v>
      </c>
      <c r="BA246" s="30" t="n">
        <f aca="false">MAX(0,MIN(AR246,AX246+AY246-AZ246))</f>
        <v>0</v>
      </c>
      <c r="BB246" s="29" t="n">
        <f aca="false">AR246-BA246</f>
        <v>690</v>
      </c>
      <c r="BC246" s="30" t="n">
        <f aca="false">AX246+AY246-AZ246-BA246</f>
        <v>0</v>
      </c>
      <c r="BD246" s="30" t="n">
        <f aca="false">BG245</f>
        <v>0</v>
      </c>
      <c r="BE246" s="30" t="n">
        <f aca="false">BD246*$AX$5/12</f>
        <v>0</v>
      </c>
      <c r="BF246" s="30" t="n">
        <f aca="false">MIN($AX$6,BD246+BE246)</f>
        <v>0</v>
      </c>
      <c r="BG246" s="30" t="n">
        <f aca="false">BD246+BE246-BF246</f>
        <v>0</v>
      </c>
      <c r="BH246" s="30" t="n">
        <f aca="false">BM245</f>
        <v>0</v>
      </c>
      <c r="BI246" s="30" t="n">
        <f aca="false">BH246*$BH$5/12</f>
        <v>0</v>
      </c>
      <c r="BJ246" s="30" t="n">
        <f aca="false">MIN($BH$6,BH246+BI246)</f>
        <v>0</v>
      </c>
      <c r="BK246" s="30" t="n">
        <f aca="false">MAX(0,MIN(BB246,BH246+BI246-BJ246))</f>
        <v>0</v>
      </c>
      <c r="BL246" s="29" t="n">
        <f aca="false">BB246-BK246</f>
        <v>690</v>
      </c>
      <c r="BM246" s="30" t="n">
        <f aca="false">BH246+BI246-BJ246-BK246</f>
        <v>0</v>
      </c>
      <c r="BN246" s="30" t="n">
        <f aca="false">BQ245</f>
        <v>0</v>
      </c>
      <c r="BO246" s="30" t="n">
        <f aca="false">BN246*$BH$5/12</f>
        <v>0</v>
      </c>
      <c r="BP246" s="30" t="n">
        <f aca="false">MIN($BH$6,BN246+BO246)</f>
        <v>0</v>
      </c>
      <c r="BQ246" s="30" t="n">
        <f aca="false">BN246+BO246-BP246</f>
        <v>0</v>
      </c>
      <c r="BR246" s="30" t="n">
        <f aca="false">BW245</f>
        <v>0</v>
      </c>
      <c r="BS246" s="30" t="n">
        <f aca="false">BR246*$BR$5/12</f>
        <v>0</v>
      </c>
      <c r="BT246" s="30" t="n">
        <f aca="false">MIN($BR$6,BR246+BS246)</f>
        <v>0</v>
      </c>
      <c r="BU246" s="30" t="n">
        <f aca="false">MAX(0,MIN(BL246,BR246+BS246-BT246))</f>
        <v>0</v>
      </c>
      <c r="BV246" s="29" t="n">
        <f aca="false">BL246-BU246</f>
        <v>690</v>
      </c>
      <c r="BW246" s="30" t="n">
        <f aca="false">BR246+BS246-BT246-BU246</f>
        <v>0</v>
      </c>
      <c r="BX246" s="30" t="n">
        <f aca="false">CA245</f>
        <v>0</v>
      </c>
      <c r="BY246" s="30" t="n">
        <f aca="false">BX246*$BR$5/12</f>
        <v>0</v>
      </c>
      <c r="BZ246" s="30" t="n">
        <f aca="false">MIN($BR$6,BX246+BY246)</f>
        <v>0</v>
      </c>
      <c r="CA246" s="30" t="n">
        <f aca="false">BX246+BY246-BZ246</f>
        <v>0</v>
      </c>
      <c r="CB246" s="30" t="n">
        <f aca="false">CG245</f>
        <v>0</v>
      </c>
      <c r="CC246" s="30" t="n">
        <f aca="false">CB246*$CB$5/12</f>
        <v>0</v>
      </c>
      <c r="CD246" s="30" t="n">
        <f aca="false">MIN($CB$6,CB246+CC246)</f>
        <v>0</v>
      </c>
      <c r="CE246" s="30" t="n">
        <f aca="false">MAX(0,MIN(BV246,CB246+CC246-CD246))</f>
        <v>0</v>
      </c>
      <c r="CF246" s="29" t="n">
        <f aca="false">BV246-CE246</f>
        <v>690</v>
      </c>
      <c r="CG246" s="30" t="n">
        <f aca="false">CB246+CC246-CD246-CE246</f>
        <v>0</v>
      </c>
      <c r="CH246" s="30" t="n">
        <f aca="false">CK245</f>
        <v>0</v>
      </c>
      <c r="CI246" s="30" t="n">
        <f aca="false">CH246*$CB$5/12</f>
        <v>0</v>
      </c>
      <c r="CJ246" s="30" t="n">
        <f aca="false">MIN($CB$6,CH246+CI246)</f>
        <v>0</v>
      </c>
      <c r="CK246" s="30" t="n">
        <f aca="false">CH246+CI246-CJ246</f>
        <v>0</v>
      </c>
    </row>
    <row r="247" customFormat="false" ht="15" hidden="false" customHeight="false" outlineLevel="0" collapsed="false">
      <c r="A247" s="0" t="n">
        <v>239</v>
      </c>
      <c r="B247" s="29" t="n">
        <f aca="false">'1 Your debts'!$B$16-(L247+V247+AF247+AP247+AZ247+BJ247+BT247+CD247)</f>
        <v>690</v>
      </c>
      <c r="C247" s="34" t="n">
        <f aca="false">O247+Y247+AI247+AS247+BC247+BM247+BW247+CG247</f>
        <v>0</v>
      </c>
      <c r="D247" s="34" t="n">
        <f aca="false">K247+U247+AE247+AO247+AY247+BI247+BS247+CC247</f>
        <v>0</v>
      </c>
      <c r="F247" s="34" t="n">
        <f aca="false">S247+AC247+AM247+AW247+BG247+BQ247+CA247+CK247</f>
        <v>0</v>
      </c>
      <c r="G247" s="34" t="n">
        <f aca="false">Q247+AA247+AK247+AU247+BE247+BO247+BY247+CI247</f>
        <v>0</v>
      </c>
      <c r="J247" s="34" t="n">
        <f aca="false">O246</f>
        <v>0</v>
      </c>
      <c r="K247" s="34" t="n">
        <f aca="false">J247*$J$5/12</f>
        <v>0</v>
      </c>
      <c r="L247" s="29" t="n">
        <f aca="false">MIN($J$6,J247+K247)</f>
        <v>0</v>
      </c>
      <c r="M247" s="30" t="n">
        <f aca="false">MAX(0,MIN($B247,J247+K247-L247))</f>
        <v>0</v>
      </c>
      <c r="N247" s="29" t="n">
        <f aca="false">$B247-M247</f>
        <v>690</v>
      </c>
      <c r="O247" s="34" t="n">
        <f aca="false">J247+K247-L247-M247</f>
        <v>0</v>
      </c>
      <c r="P247" s="34" t="n">
        <f aca="false">S246</f>
        <v>0</v>
      </c>
      <c r="Q247" s="34" t="n">
        <f aca="false">P247*$J$5/12</f>
        <v>0</v>
      </c>
      <c r="R247" s="29" t="n">
        <f aca="false">MIN($J$6,P247+Q247)</f>
        <v>0</v>
      </c>
      <c r="S247" s="34" t="n">
        <f aca="false">P247+Q247-R247</f>
        <v>0</v>
      </c>
      <c r="T247" s="34" t="n">
        <f aca="false">Y246</f>
        <v>0</v>
      </c>
      <c r="U247" s="34" t="n">
        <f aca="false">T247*$T$5/12</f>
        <v>0</v>
      </c>
      <c r="V247" s="29" t="n">
        <f aca="false">MIN($T$6,T247+U247)</f>
        <v>0</v>
      </c>
      <c r="W247" s="30" t="n">
        <f aca="false">MAX(0,MIN(N247,T247+U247-V247))</f>
        <v>0</v>
      </c>
      <c r="X247" s="29" t="n">
        <f aca="false">N247-W247</f>
        <v>690</v>
      </c>
      <c r="Y247" s="34" t="n">
        <f aca="false">T247+U247-V247-W247</f>
        <v>0</v>
      </c>
      <c r="Z247" s="34" t="n">
        <f aca="false">AC246</f>
        <v>0</v>
      </c>
      <c r="AA247" s="34" t="n">
        <f aca="false">Z247*$T$5/12</f>
        <v>0</v>
      </c>
      <c r="AB247" s="29" t="n">
        <f aca="false">MIN($T$6,Z247+AA247)</f>
        <v>0</v>
      </c>
      <c r="AC247" s="34" t="n">
        <f aca="false">Z247+AA247-AB247</f>
        <v>0</v>
      </c>
      <c r="AD247" s="34" t="n">
        <f aca="false">AI246</f>
        <v>0</v>
      </c>
      <c r="AE247" s="34" t="n">
        <f aca="false">AD247*$AD$5/12</f>
        <v>0</v>
      </c>
      <c r="AF247" s="29" t="n">
        <f aca="false">MIN($AD$6,AD247+AE247)</f>
        <v>0</v>
      </c>
      <c r="AG247" s="30" t="n">
        <f aca="false">MAX(0,MIN(X247,AD247+AE247-AF247))</f>
        <v>0</v>
      </c>
      <c r="AH247" s="29" t="n">
        <f aca="false">X247-AG247</f>
        <v>690</v>
      </c>
      <c r="AI247" s="34" t="n">
        <f aca="false">AD247+AE247-AF247-AG247</f>
        <v>0</v>
      </c>
      <c r="AJ247" s="34" t="n">
        <f aca="false">AM246</f>
        <v>0</v>
      </c>
      <c r="AK247" s="34" t="n">
        <f aca="false">AJ247*$AD$5/12</f>
        <v>0</v>
      </c>
      <c r="AL247" s="29" t="n">
        <f aca="false">MIN($AD$6,AJ247+AK247)</f>
        <v>0</v>
      </c>
      <c r="AM247" s="34" t="n">
        <f aca="false">AJ247+AK247-AL247</f>
        <v>0</v>
      </c>
      <c r="AN247" s="34" t="n">
        <f aca="false">AS246</f>
        <v>0</v>
      </c>
      <c r="AO247" s="34" t="n">
        <f aca="false">AN247*$AN$5/12</f>
        <v>0</v>
      </c>
      <c r="AP247" s="29" t="n">
        <f aca="false">MIN($AN$6,AN247+AO247)</f>
        <v>0</v>
      </c>
      <c r="AQ247" s="30" t="n">
        <f aca="false">MAX(0,MIN(AH247,AN247+AO247-AP247))</f>
        <v>0</v>
      </c>
      <c r="AR247" s="29" t="n">
        <f aca="false">AH247-AQ247</f>
        <v>690</v>
      </c>
      <c r="AS247" s="34" t="n">
        <f aca="false">AN247+AO247-AP247-AQ247</f>
        <v>0</v>
      </c>
      <c r="AT247" s="34" t="n">
        <f aca="false">AW246</f>
        <v>0</v>
      </c>
      <c r="AU247" s="34" t="n">
        <f aca="false">AT247*$AN$5/12</f>
        <v>0</v>
      </c>
      <c r="AV247" s="29" t="n">
        <f aca="false">MIN($AN$6,AT247+AU247)</f>
        <v>0</v>
      </c>
      <c r="AW247" s="34" t="n">
        <f aca="false">AT247+AU247-AV247</f>
        <v>0</v>
      </c>
      <c r="AX247" s="30" t="n">
        <f aca="false">BC246</f>
        <v>0</v>
      </c>
      <c r="AY247" s="30" t="n">
        <f aca="false">AX247*$AX$5/12</f>
        <v>0</v>
      </c>
      <c r="AZ247" s="30" t="n">
        <f aca="false">MIN($AX$6,AX247+AY247)</f>
        <v>0</v>
      </c>
      <c r="BA247" s="30" t="n">
        <f aca="false">MAX(0,MIN(AR247,AX247+AY247-AZ247))</f>
        <v>0</v>
      </c>
      <c r="BB247" s="29" t="n">
        <f aca="false">AR247-BA247</f>
        <v>690</v>
      </c>
      <c r="BC247" s="30" t="n">
        <f aca="false">AX247+AY247-AZ247-BA247</f>
        <v>0</v>
      </c>
      <c r="BD247" s="30" t="n">
        <f aca="false">BG246</f>
        <v>0</v>
      </c>
      <c r="BE247" s="30" t="n">
        <f aca="false">BD247*$AX$5/12</f>
        <v>0</v>
      </c>
      <c r="BF247" s="30" t="n">
        <f aca="false">MIN($AX$6,BD247+BE247)</f>
        <v>0</v>
      </c>
      <c r="BG247" s="30" t="n">
        <f aca="false">BD247+BE247-BF247</f>
        <v>0</v>
      </c>
      <c r="BH247" s="30" t="n">
        <f aca="false">BM246</f>
        <v>0</v>
      </c>
      <c r="BI247" s="30" t="n">
        <f aca="false">BH247*$BH$5/12</f>
        <v>0</v>
      </c>
      <c r="BJ247" s="30" t="n">
        <f aca="false">MIN($BH$6,BH247+BI247)</f>
        <v>0</v>
      </c>
      <c r="BK247" s="30" t="n">
        <f aca="false">MAX(0,MIN(BB247,BH247+BI247-BJ247))</f>
        <v>0</v>
      </c>
      <c r="BL247" s="29" t="n">
        <f aca="false">BB247-BK247</f>
        <v>690</v>
      </c>
      <c r="BM247" s="30" t="n">
        <f aca="false">BH247+BI247-BJ247-BK247</f>
        <v>0</v>
      </c>
      <c r="BN247" s="30" t="n">
        <f aca="false">BQ246</f>
        <v>0</v>
      </c>
      <c r="BO247" s="30" t="n">
        <f aca="false">BN247*$BH$5/12</f>
        <v>0</v>
      </c>
      <c r="BP247" s="30" t="n">
        <f aca="false">MIN($BH$6,BN247+BO247)</f>
        <v>0</v>
      </c>
      <c r="BQ247" s="30" t="n">
        <f aca="false">BN247+BO247-BP247</f>
        <v>0</v>
      </c>
      <c r="BR247" s="30" t="n">
        <f aca="false">BW246</f>
        <v>0</v>
      </c>
      <c r="BS247" s="30" t="n">
        <f aca="false">BR247*$BR$5/12</f>
        <v>0</v>
      </c>
      <c r="BT247" s="30" t="n">
        <f aca="false">MIN($BR$6,BR247+BS247)</f>
        <v>0</v>
      </c>
      <c r="BU247" s="30" t="n">
        <f aca="false">MAX(0,MIN(BL247,BR247+BS247-BT247))</f>
        <v>0</v>
      </c>
      <c r="BV247" s="29" t="n">
        <f aca="false">BL247-BU247</f>
        <v>690</v>
      </c>
      <c r="BW247" s="30" t="n">
        <f aca="false">BR247+BS247-BT247-BU247</f>
        <v>0</v>
      </c>
      <c r="BX247" s="30" t="n">
        <f aca="false">CA246</f>
        <v>0</v>
      </c>
      <c r="BY247" s="30" t="n">
        <f aca="false">BX247*$BR$5/12</f>
        <v>0</v>
      </c>
      <c r="BZ247" s="30" t="n">
        <f aca="false">MIN($BR$6,BX247+BY247)</f>
        <v>0</v>
      </c>
      <c r="CA247" s="30" t="n">
        <f aca="false">BX247+BY247-BZ247</f>
        <v>0</v>
      </c>
      <c r="CB247" s="30" t="n">
        <f aca="false">CG246</f>
        <v>0</v>
      </c>
      <c r="CC247" s="30" t="n">
        <f aca="false">CB247*$CB$5/12</f>
        <v>0</v>
      </c>
      <c r="CD247" s="30" t="n">
        <f aca="false">MIN($CB$6,CB247+CC247)</f>
        <v>0</v>
      </c>
      <c r="CE247" s="30" t="n">
        <f aca="false">MAX(0,MIN(BV247,CB247+CC247-CD247))</f>
        <v>0</v>
      </c>
      <c r="CF247" s="29" t="n">
        <f aca="false">BV247-CE247</f>
        <v>690</v>
      </c>
      <c r="CG247" s="30" t="n">
        <f aca="false">CB247+CC247-CD247-CE247</f>
        <v>0</v>
      </c>
      <c r="CH247" s="30" t="n">
        <f aca="false">CK246</f>
        <v>0</v>
      </c>
      <c r="CI247" s="30" t="n">
        <f aca="false">CH247*$CB$5/12</f>
        <v>0</v>
      </c>
      <c r="CJ247" s="30" t="n">
        <f aca="false">MIN($CB$6,CH247+CI247)</f>
        <v>0</v>
      </c>
      <c r="CK247" s="30" t="n">
        <f aca="false">CH247+CI247-CJ247</f>
        <v>0</v>
      </c>
    </row>
    <row r="248" customFormat="false" ht="15" hidden="false" customHeight="false" outlineLevel="0" collapsed="false">
      <c r="A248" s="0" t="n">
        <v>240</v>
      </c>
      <c r="B248" s="29" t="n">
        <f aca="false">'1 Your debts'!$B$16-(L248+V248+AF248+AP248+AZ248+BJ248+BT248+CD248)</f>
        <v>690</v>
      </c>
      <c r="C248" s="34" t="n">
        <f aca="false">O248+Y248+AI248+AS248+BC248+BM248+BW248+CG248</f>
        <v>0</v>
      </c>
      <c r="D248" s="34" t="n">
        <f aca="false">K248+U248+AE248+AO248+AY248+BI248+BS248+CC248</f>
        <v>0</v>
      </c>
      <c r="F248" s="34" t="n">
        <f aca="false">S248+AC248+AM248+AW248+BG248+BQ248+CA248+CK248</f>
        <v>0</v>
      </c>
      <c r="G248" s="34" t="n">
        <f aca="false">Q248+AA248+AK248+AU248+BE248+BO248+BY248+CI248</f>
        <v>0</v>
      </c>
      <c r="J248" s="34" t="n">
        <f aca="false">O247</f>
        <v>0</v>
      </c>
      <c r="K248" s="34" t="n">
        <f aca="false">J248*$J$5/12</f>
        <v>0</v>
      </c>
      <c r="L248" s="29" t="n">
        <f aca="false">MIN($J$6,J248+K248)</f>
        <v>0</v>
      </c>
      <c r="M248" s="30" t="n">
        <f aca="false">MAX(0,MIN($B248,J248+K248-L248))</f>
        <v>0</v>
      </c>
      <c r="N248" s="29" t="n">
        <f aca="false">$B248-M248</f>
        <v>690</v>
      </c>
      <c r="O248" s="34" t="n">
        <f aca="false">J248+K248-L248-M248</f>
        <v>0</v>
      </c>
      <c r="P248" s="34" t="n">
        <f aca="false">S247</f>
        <v>0</v>
      </c>
      <c r="Q248" s="34" t="n">
        <f aca="false">P248*$J$5/12</f>
        <v>0</v>
      </c>
      <c r="R248" s="29" t="n">
        <f aca="false">MIN($J$6,P248+Q248)</f>
        <v>0</v>
      </c>
      <c r="S248" s="34" t="n">
        <f aca="false">P248+Q248-R248</f>
        <v>0</v>
      </c>
      <c r="T248" s="34" t="n">
        <f aca="false">Y247</f>
        <v>0</v>
      </c>
      <c r="U248" s="34" t="n">
        <f aca="false">T248*$T$5/12</f>
        <v>0</v>
      </c>
      <c r="V248" s="29" t="n">
        <f aca="false">MIN($T$6,T248+U248)</f>
        <v>0</v>
      </c>
      <c r="W248" s="30" t="n">
        <f aca="false">MAX(0,MIN(N248,T248+U248-V248))</f>
        <v>0</v>
      </c>
      <c r="X248" s="29" t="n">
        <f aca="false">N248-W248</f>
        <v>690</v>
      </c>
      <c r="Y248" s="34" t="n">
        <f aca="false">T248+U248-V248-W248</f>
        <v>0</v>
      </c>
      <c r="Z248" s="34" t="n">
        <f aca="false">AC247</f>
        <v>0</v>
      </c>
      <c r="AA248" s="34" t="n">
        <f aca="false">Z248*$T$5/12</f>
        <v>0</v>
      </c>
      <c r="AB248" s="29" t="n">
        <f aca="false">MIN($T$6,Z248+AA248)</f>
        <v>0</v>
      </c>
      <c r="AC248" s="34" t="n">
        <f aca="false">Z248+AA248-AB248</f>
        <v>0</v>
      </c>
      <c r="AD248" s="34" t="n">
        <f aca="false">AI247</f>
        <v>0</v>
      </c>
      <c r="AE248" s="34" t="n">
        <f aca="false">AD248*$AD$5/12</f>
        <v>0</v>
      </c>
      <c r="AF248" s="29" t="n">
        <f aca="false">MIN($AD$6,AD248+AE248)</f>
        <v>0</v>
      </c>
      <c r="AG248" s="30" t="n">
        <f aca="false">MAX(0,MIN(X248,AD248+AE248-AF248))</f>
        <v>0</v>
      </c>
      <c r="AH248" s="29" t="n">
        <f aca="false">X248-AG248</f>
        <v>690</v>
      </c>
      <c r="AI248" s="34" t="n">
        <f aca="false">AD248+AE248-AF248-AG248</f>
        <v>0</v>
      </c>
      <c r="AJ248" s="34" t="n">
        <f aca="false">AM247</f>
        <v>0</v>
      </c>
      <c r="AK248" s="34" t="n">
        <f aca="false">AJ248*$AD$5/12</f>
        <v>0</v>
      </c>
      <c r="AL248" s="29" t="n">
        <f aca="false">MIN($AD$6,AJ248+AK248)</f>
        <v>0</v>
      </c>
      <c r="AM248" s="34" t="n">
        <f aca="false">AJ248+AK248-AL248</f>
        <v>0</v>
      </c>
      <c r="AN248" s="34" t="n">
        <f aca="false">AS247</f>
        <v>0</v>
      </c>
      <c r="AO248" s="34" t="n">
        <f aca="false">AN248*$AN$5/12</f>
        <v>0</v>
      </c>
      <c r="AP248" s="29" t="n">
        <f aca="false">MIN($AN$6,AN248+AO248)</f>
        <v>0</v>
      </c>
      <c r="AQ248" s="30" t="n">
        <f aca="false">MAX(0,MIN(AH248,AN248+AO248-AP248))</f>
        <v>0</v>
      </c>
      <c r="AR248" s="29" t="n">
        <f aca="false">AH248-AQ248</f>
        <v>690</v>
      </c>
      <c r="AS248" s="34" t="n">
        <f aca="false">AN248+AO248-AP248-AQ248</f>
        <v>0</v>
      </c>
      <c r="AT248" s="34" t="n">
        <f aca="false">AW247</f>
        <v>0</v>
      </c>
      <c r="AU248" s="34" t="n">
        <f aca="false">AT248*$AN$5/12</f>
        <v>0</v>
      </c>
      <c r="AV248" s="29" t="n">
        <f aca="false">MIN($AN$6,AT248+AU248)</f>
        <v>0</v>
      </c>
      <c r="AW248" s="34" t="n">
        <f aca="false">AT248+AU248-AV248</f>
        <v>0</v>
      </c>
      <c r="AX248" s="30" t="n">
        <f aca="false">BC247</f>
        <v>0</v>
      </c>
      <c r="AY248" s="30" t="n">
        <f aca="false">AX248*$AX$5/12</f>
        <v>0</v>
      </c>
      <c r="AZ248" s="30" t="n">
        <f aca="false">MIN($AX$6,AX248+AY248)</f>
        <v>0</v>
      </c>
      <c r="BA248" s="30" t="n">
        <f aca="false">MAX(0,MIN(AR248,AX248+AY248-AZ248))</f>
        <v>0</v>
      </c>
      <c r="BB248" s="29" t="n">
        <f aca="false">AR248-BA248</f>
        <v>690</v>
      </c>
      <c r="BC248" s="30" t="n">
        <f aca="false">AX248+AY248-AZ248-BA248</f>
        <v>0</v>
      </c>
      <c r="BD248" s="30" t="n">
        <f aca="false">BG247</f>
        <v>0</v>
      </c>
      <c r="BE248" s="30" t="n">
        <f aca="false">BD248*$AX$5/12</f>
        <v>0</v>
      </c>
      <c r="BF248" s="30" t="n">
        <f aca="false">MIN($AX$6,BD248+BE248)</f>
        <v>0</v>
      </c>
      <c r="BG248" s="30" t="n">
        <f aca="false">BD248+BE248-BF248</f>
        <v>0</v>
      </c>
      <c r="BH248" s="30" t="n">
        <f aca="false">BM247</f>
        <v>0</v>
      </c>
      <c r="BI248" s="30" t="n">
        <f aca="false">BH248*$BH$5/12</f>
        <v>0</v>
      </c>
      <c r="BJ248" s="30" t="n">
        <f aca="false">MIN($BH$6,BH248+BI248)</f>
        <v>0</v>
      </c>
      <c r="BK248" s="30" t="n">
        <f aca="false">MAX(0,MIN(BB248,BH248+BI248-BJ248))</f>
        <v>0</v>
      </c>
      <c r="BL248" s="29" t="n">
        <f aca="false">BB248-BK248</f>
        <v>690</v>
      </c>
      <c r="BM248" s="30" t="n">
        <f aca="false">BH248+BI248-BJ248-BK248</f>
        <v>0</v>
      </c>
      <c r="BN248" s="30" t="n">
        <f aca="false">BQ247</f>
        <v>0</v>
      </c>
      <c r="BO248" s="30" t="n">
        <f aca="false">BN248*$BH$5/12</f>
        <v>0</v>
      </c>
      <c r="BP248" s="30" t="n">
        <f aca="false">MIN($BH$6,BN248+BO248)</f>
        <v>0</v>
      </c>
      <c r="BQ248" s="30" t="n">
        <f aca="false">BN248+BO248-BP248</f>
        <v>0</v>
      </c>
      <c r="BR248" s="30" t="n">
        <f aca="false">BW247</f>
        <v>0</v>
      </c>
      <c r="BS248" s="30" t="n">
        <f aca="false">BR248*$BR$5/12</f>
        <v>0</v>
      </c>
      <c r="BT248" s="30" t="n">
        <f aca="false">MIN($BR$6,BR248+BS248)</f>
        <v>0</v>
      </c>
      <c r="BU248" s="30" t="n">
        <f aca="false">MAX(0,MIN(BL248,BR248+BS248-BT248))</f>
        <v>0</v>
      </c>
      <c r="BV248" s="29" t="n">
        <f aca="false">BL248-BU248</f>
        <v>690</v>
      </c>
      <c r="BW248" s="30" t="n">
        <f aca="false">BR248+BS248-BT248-BU248</f>
        <v>0</v>
      </c>
      <c r="BX248" s="30" t="n">
        <f aca="false">CA247</f>
        <v>0</v>
      </c>
      <c r="BY248" s="30" t="n">
        <f aca="false">BX248*$BR$5/12</f>
        <v>0</v>
      </c>
      <c r="BZ248" s="30" t="n">
        <f aca="false">MIN($BR$6,BX248+BY248)</f>
        <v>0</v>
      </c>
      <c r="CA248" s="30" t="n">
        <f aca="false">BX248+BY248-BZ248</f>
        <v>0</v>
      </c>
      <c r="CB248" s="30" t="n">
        <f aca="false">CG247</f>
        <v>0</v>
      </c>
      <c r="CC248" s="30" t="n">
        <f aca="false">CB248*$CB$5/12</f>
        <v>0</v>
      </c>
      <c r="CD248" s="30" t="n">
        <f aca="false">MIN($CB$6,CB248+CC248)</f>
        <v>0</v>
      </c>
      <c r="CE248" s="30" t="n">
        <f aca="false">MAX(0,MIN(BV248,CB248+CC248-CD248))</f>
        <v>0</v>
      </c>
      <c r="CF248" s="29" t="n">
        <f aca="false">BV248-CE248</f>
        <v>690</v>
      </c>
      <c r="CG248" s="30" t="n">
        <f aca="false">CB248+CC248-CD248-CE248</f>
        <v>0</v>
      </c>
      <c r="CH248" s="30" t="n">
        <f aca="false">CK247</f>
        <v>0</v>
      </c>
      <c r="CI248" s="30" t="n">
        <f aca="false">CH248*$CB$5/12</f>
        <v>0</v>
      </c>
      <c r="CJ248" s="30" t="n">
        <f aca="false">MIN($CB$6,CH248+CI248)</f>
        <v>0</v>
      </c>
      <c r="CK248" s="30" t="n">
        <f aca="false">CH248+CI248-CJ248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2026-10-08T13:36:18Z</dcterms:created>
  <dc:creator>Quiet Money</dc:creator>
  <dc:description/>
  <dc:language>en-US</dc:language>
  <cp:lastModifiedBy/>
  <dcterms:modified xsi:type="dcterms:W3CDTF">2026-10-08T13:36:19Z</dcterms:modified>
  <cp:revision>0</cp:revision>
  <dc:subject/>
  <dc:title>Debt Payoff &amp; Compound Interest Planner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